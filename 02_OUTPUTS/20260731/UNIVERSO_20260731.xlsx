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Desarrollo\Cristopher Olmedo\Reporteria 2.0\02_OUTPUTS\20260731\"/>
    </mc:Choice>
  </mc:AlternateContent>
  <xr:revisionPtr revIDLastSave="0" documentId="13_ncr:1_{05419878-AE61-49F1-892B-7D2B86BC9028}" xr6:coauthVersionLast="47" xr6:coauthVersionMax="47" xr10:uidLastSave="{00000000-0000-0000-0000-000000000000}"/>
  <bookViews>
    <workbookView xWindow="-11685" yWindow="-16320" windowWidth="29040" windowHeight="15720" xr2:uid="{00000000-000D-0000-FFFF-FFFF00000000}"/>
  </bookViews>
  <sheets>
    <sheet name="con_ISIN" sheetId="1" r:id="rId1"/>
    <sheet name="sin_ISIN" sheetId="2" r:id="rId2"/>
    <sheet name="defaulteados" sheetId="3" r:id="rId3"/>
    <sheet name="facturas" sheetId="4" r:id="rId4"/>
    <sheet name="universo_objetivo" sheetId="5" r:id="rId5"/>
    <sheet name="resumen" sheetId="6" r:id="rId6"/>
    <sheet name="warnings" sheetId="7" r:id="rId7"/>
  </sheets>
  <definedNames>
    <definedName name="_xlnm._FilterDatabase" localSheetId="0" hidden="1">con_ISIN!$O$1:$O$1236</definedName>
    <definedName name="_xlnm._FilterDatabase" localSheetId="1" hidden="1">sin_ISIN!$A$1:$Z$226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6" l="1"/>
  <c r="A8" i="6"/>
  <c r="A6" i="6"/>
</calcChain>
</file>

<file path=xl/sharedStrings.xml><?xml version="1.0" encoding="utf-8"?>
<sst xmlns="http://schemas.openxmlformats.org/spreadsheetml/2006/main" count="29045" uniqueCount="4311">
  <si>
    <t>ID_Fund</t>
  </si>
  <si>
    <t>FundShortName</t>
  </si>
  <si>
    <t>FundBaseCurrency</t>
  </si>
  <si>
    <t>PK2</t>
  </si>
  <si>
    <t>ID_Instrumento</t>
  </si>
  <si>
    <t>ISIN</t>
  </si>
  <si>
    <t>Name_Instrumento</t>
  </si>
  <si>
    <t>CompanyName</t>
  </si>
  <si>
    <t>base_name</t>
  </si>
  <si>
    <t>serie_grupo_id</t>
  </si>
  <si>
    <t>serie_hermanos</t>
  </si>
  <si>
    <t>tiene_sufijo</t>
  </si>
  <si>
    <t>Risk_Country</t>
  </si>
  <si>
    <t>Risk_Currency</t>
  </si>
  <si>
    <t>Hedge_Currency</t>
  </si>
  <si>
    <t>Hedge_Origen</t>
  </si>
  <si>
    <t>Investment_Type_Code</t>
  </si>
  <si>
    <t>Issue_Type_Code</t>
  </si>
  <si>
    <t>LocalPrice</t>
  </si>
  <si>
    <t>Qty</t>
  </si>
  <si>
    <t>OriginalFace</t>
  </si>
  <si>
    <t>Factor</t>
  </si>
  <si>
    <t>AI</t>
  </si>
  <si>
    <t>MVBook</t>
  </si>
  <si>
    <t>TotalMVal</t>
  </si>
  <si>
    <t>MRCLP</t>
  </si>
  <si>
    <t>CLP</t>
  </si>
  <si>
    <t>211993-1</t>
  </si>
  <si>
    <t>USN4523NAB03</t>
  </si>
  <si>
    <t>INCMBZ 6.5 06/15/2031 REGs TB</t>
  </si>
  <si>
    <t>INTERCEMENT</t>
  </si>
  <si>
    <t>BR</t>
  </si>
  <si>
    <t>USD</t>
  </si>
  <si>
    <t>REGLA</t>
  </si>
  <si>
    <t>225679-1</t>
  </si>
  <si>
    <t>USG7400TAA81</t>
  </si>
  <si>
    <t>JHSFPN 7 07/09/2034 REGS</t>
  </si>
  <si>
    <t>JHSF PENINSULA</t>
  </si>
  <si>
    <t>JHSFPN 7 07/09/2034</t>
  </si>
  <si>
    <t>UY</t>
  </si>
  <si>
    <t>87301-1</t>
  </si>
  <si>
    <t>NO0012864422</t>
  </si>
  <si>
    <t>LATOFF 7 04/13/2028</t>
  </si>
  <si>
    <t>LATINA OFFSHORE</t>
  </si>
  <si>
    <t>MX</t>
  </si>
  <si>
    <t>176139-1</t>
  </si>
  <si>
    <t>USP62138AC95</t>
  </si>
  <si>
    <t>LTMCI 7.625 01/07/2031 REGS</t>
  </si>
  <si>
    <t>LATAM AIRLINES</t>
  </si>
  <si>
    <t>LTMCI 7.625 01/07/2031</t>
  </si>
  <si>
    <t>CL</t>
  </si>
  <si>
    <t>148823-1</t>
  </si>
  <si>
    <t>USP62138AB13</t>
  </si>
  <si>
    <t>LTMCI 7.875 04/15/2030 REGS</t>
  </si>
  <si>
    <t>LTMCI 7.875 04/15/2030</t>
  </si>
  <si>
    <t>US51817RAD89</t>
  </si>
  <si>
    <t>203108-1</t>
  </si>
  <si>
    <t>USP6432AAA36</t>
  </si>
  <si>
    <t>MARSAC 5.75 01/22/2036 REGS</t>
  </si>
  <si>
    <t>MARCOBRE SAC</t>
  </si>
  <si>
    <t>MARSAC 5.75 01/22/2036</t>
  </si>
  <si>
    <t>PE</t>
  </si>
  <si>
    <t>213324-1</t>
  </si>
  <si>
    <t>USP3R80FAA52</t>
  </si>
  <si>
    <t>MUNDOX 7.95 04/20/2031 REGS</t>
  </si>
  <si>
    <t>MUNDOPACIFICO</t>
  </si>
  <si>
    <t>MUNDOX 7.95 04/20/2031</t>
  </si>
  <si>
    <t>US23307FAA66</t>
  </si>
  <si>
    <t>194433-1</t>
  </si>
  <si>
    <t>XS3226519372</t>
  </si>
  <si>
    <t>QUIPOR 9 12/15/2037 REGS</t>
  </si>
  <si>
    <t>AEROPUERTO INTERNACIONAL DE QUITO</t>
  </si>
  <si>
    <t>QUIPOR 9 12/15/2037</t>
  </si>
  <si>
    <t>XS3226519612</t>
  </si>
  <si>
    <t>EC</t>
  </si>
  <si>
    <t>147061-1</t>
  </si>
  <si>
    <t>USE90508AA52</t>
  </si>
  <si>
    <t>TERMOC 7.75 09/17/2031 REGS</t>
  </si>
  <si>
    <t>TERMOCANDELARIA</t>
  </si>
  <si>
    <t>TERMOC 7.75 09/17/2031</t>
  </si>
  <si>
    <t>US88087AAA60</t>
  </si>
  <si>
    <t>CO</t>
  </si>
  <si>
    <t>1104-1</t>
  </si>
  <si>
    <t>USP91308AA74</t>
  </si>
  <si>
    <t>TPESA 8.125 04/01/2037 REGS</t>
  </si>
  <si>
    <t>TERMINALES PORTUARIOS EUROANDINOS</t>
  </si>
  <si>
    <t>TPESA 8.125 04/01/2037</t>
  </si>
  <si>
    <t>US880868AA20</t>
  </si>
  <si>
    <t>1103-1</t>
  </si>
  <si>
    <t>TPESA 8.125 04/01/2037 144A</t>
  </si>
  <si>
    <t>166674-1</t>
  </si>
  <si>
    <t>USP9883KAA99</t>
  </si>
  <si>
    <t>WOMCHH 5 04/01/2032 REGS</t>
  </si>
  <si>
    <t>WOM CHILE</t>
  </si>
  <si>
    <t>WOMCHH 5 04/01/2032</t>
  </si>
  <si>
    <t>US97810KAA97</t>
  </si>
  <si>
    <t>166676-1</t>
  </si>
  <si>
    <t>USP9883LAA72</t>
  </si>
  <si>
    <t>WOMMOB 11 04/01/2031 REGS</t>
  </si>
  <si>
    <t>WOMMOB 11 04/01/2031</t>
  </si>
  <si>
    <t>US97810LAA70</t>
  </si>
  <si>
    <t>46507-39</t>
  </si>
  <si>
    <t>CL0002642776</t>
  </si>
  <si>
    <t>BTP0281033</t>
  </si>
  <si>
    <t>CHILE</t>
  </si>
  <si>
    <t>91949-39</t>
  </si>
  <si>
    <t>CL0002839505</t>
  </si>
  <si>
    <t>BTP0600433</t>
  </si>
  <si>
    <t>3893-1</t>
  </si>
  <si>
    <t>ARARGE3209S6</t>
  </si>
  <si>
    <t>ARGBON 0.125 07/09/2030</t>
  </si>
  <si>
    <t>ARGENTINA</t>
  </si>
  <si>
    <t>AR</t>
  </si>
  <si>
    <t>3817-1</t>
  </si>
  <si>
    <t>US040114HS26</t>
  </si>
  <si>
    <t>ARGENT 0.75 07/09/2030</t>
  </si>
  <si>
    <t>3819-1</t>
  </si>
  <si>
    <t>US040114HX11</t>
  </si>
  <si>
    <t>ARGENT 1 07/09/2029</t>
  </si>
  <si>
    <t>34397-1</t>
  </si>
  <si>
    <t>XS2385150334</t>
  </si>
  <si>
    <t>BUENOS 3.9 09/01/2037 REGS</t>
  </si>
  <si>
    <t>PROVINCIA BUENOS AIRES</t>
  </si>
  <si>
    <t>BUENOS 3.9 09/01/2037</t>
  </si>
  <si>
    <t>MLDL</t>
  </si>
  <si>
    <t>135500-41</t>
  </si>
  <si>
    <t>BBG01PNRC433</t>
  </si>
  <si>
    <t>EXCELCREDIT I TITULOS DE CONTENIDO CREDITICIO</t>
  </si>
  <si>
    <t>EXCEL CREDIT</t>
  </si>
  <si>
    <t>COP</t>
  </si>
  <si>
    <t>153765-41</t>
  </si>
  <si>
    <t>COTI4CH00097</t>
  </si>
  <si>
    <t>Titularice - Avista 01</t>
  </si>
  <si>
    <t>TITULARICE SA</t>
  </si>
  <si>
    <t>132057-41</t>
  </si>
  <si>
    <t>COTI4CH00063</t>
  </si>
  <si>
    <t>Titularice - Kredit 02</t>
  </si>
  <si>
    <t>TITULARICE - KREDIT 02</t>
  </si>
  <si>
    <t>131198-41</t>
  </si>
  <si>
    <t>COI46CB00184</t>
  </si>
  <si>
    <t>UNEEPM 17 04/25/2027 A3</t>
  </si>
  <si>
    <t>MILLICOM</t>
  </si>
  <si>
    <t>139470-41</t>
  </si>
  <si>
    <t>BBG01PNQZGN1</t>
  </si>
  <si>
    <t>UNIVERSALIDAD TIPS PESOS N-23</t>
  </si>
  <si>
    <t>TITULARIZADORA COLOMBIANA</t>
  </si>
  <si>
    <t>757-196</t>
  </si>
  <si>
    <t>USP40684AB17</t>
  </si>
  <si>
    <t>COSTER 6.25 01/15/2034 REGS</t>
  </si>
  <si>
    <t>FIDEICOMISO PA COSTERA</t>
  </si>
  <si>
    <t>COSTER 6.25 01/15/2034</t>
  </si>
  <si>
    <t>UVR COSTER</t>
  </si>
  <si>
    <t>194649-196</t>
  </si>
  <si>
    <t>COTG4CB00043</t>
  </si>
  <si>
    <t>TRONCALES 7,93% 08/10/2039</t>
  </si>
  <si>
    <t>METRO BOGOTA</t>
  </si>
  <si>
    <t>162112-196</t>
  </si>
  <si>
    <t>USP40689AB04</t>
  </si>
  <si>
    <t>PACTRE 7 01/15/2035 REGS</t>
  </si>
  <si>
    <t>FIDEICOMISO PACIFICO</t>
  </si>
  <si>
    <t>PACTRE 7 01/15/2035</t>
  </si>
  <si>
    <t>31601-196</t>
  </si>
  <si>
    <t>USP62010AA41</t>
  </si>
  <si>
    <t>PHIERR 4.1 05/15/2045 REGS</t>
  </si>
  <si>
    <t>PAT. AUTONOMO MONTES DE MARIA</t>
  </si>
  <si>
    <t>PHIERR 4.1 05/15/2045</t>
  </si>
  <si>
    <t>31906-196</t>
  </si>
  <si>
    <t>USP7400PAA68</t>
  </si>
  <si>
    <t>RIOMAG 6.05 06/15/2036 REGS</t>
  </si>
  <si>
    <t>AUTOPISTA RIO MAGDALENA</t>
  </si>
  <si>
    <t>RIOMAG 6.05 06/15/2036</t>
  </si>
  <si>
    <t>1065-196</t>
  </si>
  <si>
    <t>USP4R70UAA21</t>
  </si>
  <si>
    <t>RUTMAR 6.75 02/15/2044 REGS</t>
  </si>
  <si>
    <t>FIDEICOMISO RUTA AL MAR</t>
  </si>
  <si>
    <t>RUTMAR 6.75 02/15/2044</t>
  </si>
  <si>
    <t>459-123</t>
  </si>
  <si>
    <t>MX91AL2F0075</t>
  </si>
  <si>
    <t>ALSEA 8.85 09/22/2027 17-2</t>
  </si>
  <si>
    <t>ALSEA</t>
  </si>
  <si>
    <t>MXN</t>
  </si>
  <si>
    <t>951-1</t>
  </si>
  <si>
    <t>USP79171AE79</t>
  </si>
  <si>
    <t>PDCAR 6.99 06/01/2027 REGS</t>
  </si>
  <si>
    <t>PROVINCIA DE CORDOBA</t>
  </si>
  <si>
    <t>PDCAR 6.99 06/01/2027</t>
  </si>
  <si>
    <t>189777-39</t>
  </si>
  <si>
    <t>CL0003037729</t>
  </si>
  <si>
    <t>CFIPCOFM-E</t>
  </si>
  <si>
    <t>FIP PATRIA COINVESTMENT I</t>
  </si>
  <si>
    <t>120307-123</t>
  </si>
  <si>
    <t>XS2701559440</t>
  </si>
  <si>
    <t>AMXLMM 10.3 01/30/2034</t>
  </si>
  <si>
    <t>AMERICA MOVIL</t>
  </si>
  <si>
    <t>465-123</t>
  </si>
  <si>
    <t>XS0329579600</t>
  </si>
  <si>
    <t>AMXLMM 8.46 12/18/2036</t>
  </si>
  <si>
    <t>2253-123</t>
  </si>
  <si>
    <t>XS0280144220</t>
  </si>
  <si>
    <t>BAC 8.05 11/27/2026 EMTN</t>
  </si>
  <si>
    <t>BANK OF AMERICA</t>
  </si>
  <si>
    <t>BAC 8.05 11/27/2026</t>
  </si>
  <si>
    <t>US</t>
  </si>
  <si>
    <t>1528-123</t>
  </si>
  <si>
    <t>MX91IP3A0008</t>
  </si>
  <si>
    <t>BAINVX 9.95 12/05/2070 19</t>
  </si>
  <si>
    <t>BANCO INVEX</t>
  </si>
  <si>
    <t>107659-123</t>
  </si>
  <si>
    <t>MX91CE0200P3</t>
  </si>
  <si>
    <t>CEMEX 11.48 09/16/2030 232L</t>
  </si>
  <si>
    <t>CEMEX</t>
  </si>
  <si>
    <t>733-123</t>
  </si>
  <si>
    <t>MX95CF050088</t>
  </si>
  <si>
    <t>CFELEC 8.18 12/23/2027 17</t>
  </si>
  <si>
    <t>COMISION FEDERAL ELECTRICIDAD</t>
  </si>
  <si>
    <t>97465-123</t>
  </si>
  <si>
    <t>MX91CM2S0009</t>
  </si>
  <si>
    <t>CMPCCI 10.62 06/18/2032 23L</t>
  </si>
  <si>
    <t>CMPC</t>
  </si>
  <si>
    <t>124106-123</t>
  </si>
  <si>
    <t>MX91FI0T0001</t>
  </si>
  <si>
    <t>FIHOT 8.83 09/13/2029 19</t>
  </si>
  <si>
    <t>FIBRA HOTELERA</t>
  </si>
  <si>
    <t>188163-123</t>
  </si>
  <si>
    <t>MX91FC0D0002</t>
  </si>
  <si>
    <t>FIMACB F 09/11/2031 25</t>
  </si>
  <si>
    <t>FIRMACAR</t>
  </si>
  <si>
    <t>72358-123</t>
  </si>
  <si>
    <t>MX91FU0000G5</t>
  </si>
  <si>
    <t>FUNOMM 11.3 02/25/33 23L</t>
  </si>
  <si>
    <t>FIBRA UNO</t>
  </si>
  <si>
    <t>173737-123</t>
  </si>
  <si>
    <t>MX91FU0000I1</t>
  </si>
  <si>
    <t>FUNOMM 11.36 05/21/2032 252L</t>
  </si>
  <si>
    <t>825-123</t>
  </si>
  <si>
    <t>MX91FU000085</t>
  </si>
  <si>
    <t>FUNOMM 9.2 11/29/2027 17</t>
  </si>
  <si>
    <t>143843-38</t>
  </si>
  <si>
    <t>BBG01PNRKLJ9</t>
  </si>
  <si>
    <t>CREDITO RENTAS COMERCIALES III 31082039</t>
  </si>
  <si>
    <t>RENTAS COMERCIALES III</t>
  </si>
  <si>
    <t>CLF</t>
  </si>
  <si>
    <t>2054-123</t>
  </si>
  <si>
    <t>XS2094573693</t>
  </si>
  <si>
    <t>GGICS 9.5 12/18/2032 REGS</t>
  </si>
  <si>
    <t>GRUPO GICSA</t>
  </si>
  <si>
    <t>GGICS 9.5 12/18/2032</t>
  </si>
  <si>
    <t>1614-123</t>
  </si>
  <si>
    <t>MX91GM1Z0028</t>
  </si>
  <si>
    <t>GMXTSA 8.17 09/10/2029 19</t>
  </si>
  <si>
    <t>GMEXICO TRANSPORTES</t>
  </si>
  <si>
    <t>1928-123</t>
  </si>
  <si>
    <t>MX91GP020014</t>
  </si>
  <si>
    <t>GPH 7.84 05/10/2029</t>
  </si>
  <si>
    <t>PALACIO DE HIERRO</t>
  </si>
  <si>
    <t>3734-123</t>
  </si>
  <si>
    <t>MX91HE010082</t>
  </si>
  <si>
    <t>HERPLA 7.78 08/13/2030 20</t>
  </si>
  <si>
    <t>GRUPO HERDEZ</t>
  </si>
  <si>
    <t>3401-123</t>
  </si>
  <si>
    <t>MX94HS0M00C0</t>
  </si>
  <si>
    <t>HSBCM 7.85 06/11/2030 20-2</t>
  </si>
  <si>
    <t>HSBC MEXICO</t>
  </si>
  <si>
    <t>90454-123</t>
  </si>
  <si>
    <t>MX91MO0M0093</t>
  </si>
  <si>
    <t>MOLYME 10.99 04/20/2029 23-2</t>
  </si>
  <si>
    <t>MOLYMET</t>
  </si>
  <si>
    <t>104273-123</t>
  </si>
  <si>
    <t>MX91OR010021</t>
  </si>
  <si>
    <t>ORBIA 10.63 11/25/2032 222L</t>
  </si>
  <si>
    <t>ORBIA</t>
  </si>
  <si>
    <t>191680-123</t>
  </si>
  <si>
    <t>MX91OR010047</t>
  </si>
  <si>
    <t>ORBIA 11.73 03/30/2035 25-2</t>
  </si>
  <si>
    <t>206226-123</t>
  </si>
  <si>
    <t>MX95PE1X00Q0</t>
  </si>
  <si>
    <t>PEMEX 10.8 08/08/2034 26-2</t>
  </si>
  <si>
    <t>PETROLEOS MEXICANOS</t>
  </si>
  <si>
    <t>993-123</t>
  </si>
  <si>
    <t>XS0936793933</t>
  </si>
  <si>
    <t>RECARR 9 06/10/2028 REGS</t>
  </si>
  <si>
    <t>RED DE CARRETERAS DE OCCIDENTE</t>
  </si>
  <si>
    <t>RECARR 9 06/10/2028</t>
  </si>
  <si>
    <t>1654-123</t>
  </si>
  <si>
    <t>MX91RC090043</t>
  </si>
  <si>
    <t>RECARR 9.67 08/10/2038 19</t>
  </si>
  <si>
    <t>1093-123</t>
  </si>
  <si>
    <t>XS0931063779</t>
  </si>
  <si>
    <t>TELVIS 7.25 05/14/2043 EMTN</t>
  </si>
  <si>
    <t>TELEVISA</t>
  </si>
  <si>
    <t>TELVIS 7.25 05/14/2043</t>
  </si>
  <si>
    <t>1094-123</t>
  </si>
  <si>
    <t>XS0316989523</t>
  </si>
  <si>
    <t>TELVIS 8.49 05/11/2037</t>
  </si>
  <si>
    <t>1096-123</t>
  </si>
  <si>
    <t>MX91TL000031</t>
  </si>
  <si>
    <t>TELVIS 8.79 09/27/2027 17</t>
  </si>
  <si>
    <t>194432-123</t>
  </si>
  <si>
    <t>MX91TI010043</t>
  </si>
  <si>
    <t>TIPCB 10.02 04/18/2031 25</t>
  </si>
  <si>
    <t>BANAMEX</t>
  </si>
  <si>
    <t>3845-123</t>
  </si>
  <si>
    <t>MX91TR0H0007</t>
  </si>
  <si>
    <t>TRAXIO 8.98 09/02/2027 20</t>
  </si>
  <si>
    <t>GRUPO TRAXION</t>
  </si>
  <si>
    <t>175896-123</t>
  </si>
  <si>
    <t>MX91VR020021</t>
  </si>
  <si>
    <t>VANREC Float 06/19/2030</t>
  </si>
  <si>
    <t>VANRENTA</t>
  </si>
  <si>
    <t>106828-123</t>
  </si>
  <si>
    <t>MX91VO070029</t>
  </si>
  <si>
    <t>VOLAMX F 09/20/2028 23</t>
  </si>
  <si>
    <t>VOLARIS</t>
  </si>
  <si>
    <t>712-194</t>
  </si>
  <si>
    <t>MX91CA150002</t>
  </si>
  <si>
    <t>CAMSCB 5.9 12/29/2037 13U</t>
  </si>
  <si>
    <t>CONCESIONARIO AUTOP MONT SALT</t>
  </si>
  <si>
    <t>UDI</t>
  </si>
  <si>
    <t>4063-194</t>
  </si>
  <si>
    <t>MX95CF0500D0</t>
  </si>
  <si>
    <t>CFELEC 4.86 10/13/2028 20U</t>
  </si>
  <si>
    <t>29844-194</t>
  </si>
  <si>
    <t>XS1003265151</t>
  </si>
  <si>
    <t>CONMEX 5.95 12/15/2035 REGS</t>
  </si>
  <si>
    <t>CONCESIONARIA MEXIQUENSE</t>
  </si>
  <si>
    <t>CONMEX 5.95 12/15/2035</t>
  </si>
  <si>
    <t>174740-135</t>
  </si>
  <si>
    <t>USP0161KEA71</t>
  </si>
  <si>
    <t>ALIPE 7.4 06/16/2032 REGS</t>
  </si>
  <si>
    <t>ALICORP</t>
  </si>
  <si>
    <t>ALIPE 7.4 06/16/2032</t>
  </si>
  <si>
    <t>PEN</t>
  </si>
  <si>
    <t>118346-135</t>
  </si>
  <si>
    <t>US05971V2F13</t>
  </si>
  <si>
    <t>BCP 7.85 01/11/2029 REGS</t>
  </si>
  <si>
    <t>BANCO CREDITO PERU</t>
  </si>
  <si>
    <t>BCP 7.85 01/11/2029</t>
  </si>
  <si>
    <t>190120-135</t>
  </si>
  <si>
    <t>USP6411VAC83</t>
  </si>
  <si>
    <t>LUZSUR 6.75 10/09/2032 REGS</t>
  </si>
  <si>
    <t>LUZ DEL SUR</t>
  </si>
  <si>
    <t>LUZSUR 6.75 10/09/2032</t>
  </si>
  <si>
    <t>116819-135</t>
  </si>
  <si>
    <t>US224939AA67</t>
  </si>
  <si>
    <t>MUNMET 10.1 12/15/2043</t>
  </si>
  <si>
    <t>CREDICORP SOCIEDAD TITULIZADORA</t>
  </si>
  <si>
    <t>174739-135</t>
  </si>
  <si>
    <t>US224939AB41</t>
  </si>
  <si>
    <t>MUNMET 9.7 03/05/2045</t>
  </si>
  <si>
    <t>106046-135</t>
  </si>
  <si>
    <t>XS2693815156</t>
  </si>
  <si>
    <t>SILAPE 9.125 09/21/2033</t>
  </si>
  <si>
    <t>SITES DEL PERU</t>
  </si>
  <si>
    <t>964-66</t>
  </si>
  <si>
    <t>XS0835891838</t>
  </si>
  <si>
    <t>PETBRA 5.375 10/01/2029</t>
  </si>
  <si>
    <t>PETROBRAS</t>
  </si>
  <si>
    <t>GBP</t>
  </si>
  <si>
    <t>BRL</t>
  </si>
  <si>
    <t>152071-1</t>
  </si>
  <si>
    <t>USP4955JAC29</t>
  </si>
  <si>
    <t>AEROMX 8.625 11/15/2031 REGS</t>
  </si>
  <si>
    <t>AEROMEXICO</t>
  </si>
  <si>
    <t>AEROMX 8.625 11/15/2031</t>
  </si>
  <si>
    <t>US40054JAD19</t>
  </si>
  <si>
    <t>189238-1</t>
  </si>
  <si>
    <t>CVL56050V023</t>
  </si>
  <si>
    <t>AGROVISION 0% 19/09/2026</t>
  </si>
  <si>
    <t>AGROVISION</t>
  </si>
  <si>
    <t>160292-1</t>
  </si>
  <si>
    <t>USU0489EAA48</t>
  </si>
  <si>
    <t>ATPTOW 7.875 02/03/2030 REGS</t>
  </si>
  <si>
    <t>ATP TOWER</t>
  </si>
  <si>
    <t>ATPTOW 7.875 02/03/2030</t>
  </si>
  <si>
    <t>US00193BAA08</t>
  </si>
  <si>
    <t>193917-1</t>
  </si>
  <si>
    <t>USL04168AA59</t>
  </si>
  <si>
    <t>AUNA 8.75 11/06/2032 REGS</t>
  </si>
  <si>
    <t>AUNA</t>
  </si>
  <si>
    <t>AUNA 8.75 11/06/2032</t>
  </si>
  <si>
    <t>US05151PAA84</t>
  </si>
  <si>
    <t>223116-1</t>
  </si>
  <si>
    <t>USG2957NAF80</t>
  </si>
  <si>
    <t>AVIAGP 10.25 01/07/2032 REGS</t>
  </si>
  <si>
    <t>AVIANCA</t>
  </si>
  <si>
    <t>AVIAGP 10.25 01/07/2032</t>
  </si>
  <si>
    <t>US05369YAE95</t>
  </si>
  <si>
    <t>202700-1</t>
  </si>
  <si>
    <t>USG2957NAD33</t>
  </si>
  <si>
    <t>AVIAGP 9.5 01/28/2031 REGS</t>
  </si>
  <si>
    <t>AVIAGP 9.5 01/28/2031</t>
  </si>
  <si>
    <t>US05369YAD13</t>
  </si>
  <si>
    <t>215023-1</t>
  </si>
  <si>
    <t>USP1S8TDFJ81</t>
  </si>
  <si>
    <t>BANMEX V6.697 08/07/2036 REGS</t>
  </si>
  <si>
    <t>BANMEX V6.697 08/07/2036</t>
  </si>
  <si>
    <t>US05975FAA49</t>
  </si>
  <si>
    <t>131577-1</t>
  </si>
  <si>
    <t>XS2816779263</t>
  </si>
  <si>
    <t>BANOCC V10.875 08/13/2034</t>
  </si>
  <si>
    <t>BANCO DE OCCIDENTE</t>
  </si>
  <si>
    <t>35570-1</t>
  </si>
  <si>
    <t>USP1401KAB72</t>
  </si>
  <si>
    <t>BANORT V6.625 PERP REGS</t>
  </si>
  <si>
    <t>BANCO MERCANTIL DEL NORTE</t>
  </si>
  <si>
    <t>BANORT V6.625 PERP</t>
  </si>
  <si>
    <t>523-1</t>
  </si>
  <si>
    <t>USP1400MAB48</t>
  </si>
  <si>
    <t>BANORT V7.5 PERP REGS</t>
  </si>
  <si>
    <t>BANORT V7.5 PERP</t>
  </si>
  <si>
    <t>524-1</t>
  </si>
  <si>
    <t>USP14008AE91</t>
  </si>
  <si>
    <t>BANORT V7.625 PERP REGS</t>
  </si>
  <si>
    <t>BANORT V7.625 PERP</t>
  </si>
  <si>
    <t>222125-1</t>
  </si>
  <si>
    <t>USP1400MAF51</t>
  </si>
  <si>
    <t>BANORT V8 PERP REGS</t>
  </si>
  <si>
    <t>BANORT V8 PERP</t>
  </si>
  <si>
    <t>US05971PAF53</t>
  </si>
  <si>
    <t>548-1</t>
  </si>
  <si>
    <t>USP16259AM84</t>
  </si>
  <si>
    <t>BBVASM V5.125 01/18/2033 REGS</t>
  </si>
  <si>
    <t>BBVA BANCOMER</t>
  </si>
  <si>
    <t>BBVASM V5.125 01/18/2033</t>
  </si>
  <si>
    <t>1918-1</t>
  </si>
  <si>
    <t>USP16259AN67</t>
  </si>
  <si>
    <t>BBVASM V5.875 09/13/2034 REGS</t>
  </si>
  <si>
    <t>BBVASM V5.875 09/13/2034</t>
  </si>
  <si>
    <t>161093-1</t>
  </si>
  <si>
    <t>USP2000GAA15</t>
  </si>
  <si>
    <t>BBVASM V7.625 02/11/2035 REGS</t>
  </si>
  <si>
    <t>BBVASM V7.625 02/11/2035</t>
  </si>
  <si>
    <t>US072912AA61</t>
  </si>
  <si>
    <t>118335-1</t>
  </si>
  <si>
    <t>USP1S81BAB48</t>
  </si>
  <si>
    <t>BBVASM V8.125 01/08/2039 REGS</t>
  </si>
  <si>
    <t>BBVASM V8.125 01/08/2039</t>
  </si>
  <si>
    <t>96458-1</t>
  </si>
  <si>
    <t>USP1S81BAA64</t>
  </si>
  <si>
    <t>BBVASM 8.45 06/29/2038 REGS</t>
  </si>
  <si>
    <t>BBVASM 8.45 06/29/2038</t>
  </si>
  <si>
    <t>121311-1</t>
  </si>
  <si>
    <t>US05890PAC05</t>
  </si>
  <si>
    <t>BCICI V8.75 PERP REGS</t>
  </si>
  <si>
    <t>BCI</t>
  </si>
  <si>
    <t>BCICI V8.75 PERP</t>
  </si>
  <si>
    <t>187610-1</t>
  </si>
  <si>
    <t>USP1393HAD00</t>
  </si>
  <si>
    <t>BLX V7.5 PERP REGS</t>
  </si>
  <si>
    <t>BANCO LATINOAMERICANO COM. EXT.</t>
  </si>
  <si>
    <t>BLX V7.5 PERP</t>
  </si>
  <si>
    <t>US05968CAD48</t>
  </si>
  <si>
    <t>PA</t>
  </si>
  <si>
    <t>166894-135</t>
  </si>
  <si>
    <t>CVL80050F091</t>
  </si>
  <si>
    <t>PATIO PERU 9.00 29032045</t>
  </si>
  <si>
    <t>GRUPO PATIO PERU</t>
  </si>
  <si>
    <t>166886-1</t>
  </si>
  <si>
    <t>CVL80050F125</t>
  </si>
  <si>
    <t>PATIO USD 12.00 18032030</t>
  </si>
  <si>
    <t>32264-1</t>
  </si>
  <si>
    <t>USP1451JAA18</t>
  </si>
  <si>
    <t>BNCE V2.72 08/11/2031 REGS</t>
  </si>
  <si>
    <t>BANCO NAC. COM. EXT.</t>
  </si>
  <si>
    <t>BNCE V2.72 08/11/2031</t>
  </si>
  <si>
    <t>216347-1</t>
  </si>
  <si>
    <t>USP14519AB13</t>
  </si>
  <si>
    <t>BNCE V6 05/14/2036 REGS</t>
  </si>
  <si>
    <t>BNCE V6 05/14/2036</t>
  </si>
  <si>
    <t>US05974TAB35</t>
  </si>
  <si>
    <t>176054-1</t>
  </si>
  <si>
    <t>USP8T35JAP76</t>
  </si>
  <si>
    <t>BNSPE 6.1 10/01/2035 REGS</t>
  </si>
  <si>
    <t>SCOTIABANK PERU</t>
  </si>
  <si>
    <t>BNSPE 6.1 10/01/2035</t>
  </si>
  <si>
    <t>53985-1</t>
  </si>
  <si>
    <t>USN15516AG70</t>
  </si>
  <si>
    <t>BRASKM 7.25 02/13/2033 REGS</t>
  </si>
  <si>
    <t>BRASKEM</t>
  </si>
  <si>
    <t>BRASKM 7.25 02/13/2033</t>
  </si>
  <si>
    <t>160598-1</t>
  </si>
  <si>
    <t>USP6680PAB78</t>
  </si>
  <si>
    <t>BUENAV 6.8 02/04/2032 REGS</t>
  </si>
  <si>
    <t>BUENAVENTURA</t>
  </si>
  <si>
    <t>BUENAV 6.8 02/04/2032</t>
  </si>
  <si>
    <t>US204448AB05</t>
  </si>
  <si>
    <t>147255-1</t>
  </si>
  <si>
    <t>ARCAPX560071</t>
  </si>
  <si>
    <t>CAPXAR 0 09/07/2026 VI</t>
  </si>
  <si>
    <t>CAPEX</t>
  </si>
  <si>
    <t>ARS</t>
  </si>
  <si>
    <t>201039-1</t>
  </si>
  <si>
    <t>AR0100497988</t>
  </si>
  <si>
    <t>CGC 9 03/29/2027</t>
  </si>
  <si>
    <t>CIA GENERAL DE COMBUSTIBLES</t>
  </si>
  <si>
    <t>162360-1</t>
  </si>
  <si>
    <t>AR0352269929</t>
  </si>
  <si>
    <t>CGP 7.95 02/21/2027 1</t>
  </si>
  <si>
    <t>CAMUZZI GAS PAMPEANA</t>
  </si>
  <si>
    <t>226889-1</t>
  </si>
  <si>
    <t>USL1965HAH32</t>
  </si>
  <si>
    <t>COSHSA 7.7 08/03/2033 REGS</t>
  </si>
  <si>
    <t>CONSTELLATION</t>
  </si>
  <si>
    <t>COSHSA 7.7 08/03/2033</t>
  </si>
  <si>
    <t>US21038MAR43</t>
  </si>
  <si>
    <t>151819-1</t>
  </si>
  <si>
    <t>USL67356AA09</t>
  </si>
  <si>
    <t>COSHSA 9.375 11/07/2029 REGS</t>
  </si>
  <si>
    <t>COSHSA 9.375 11/07/2029</t>
  </si>
  <si>
    <t>US650921AA71</t>
  </si>
  <si>
    <t>758-1</t>
  </si>
  <si>
    <t>USP40684AA34</t>
  </si>
  <si>
    <t>COSTER 6.75 01/15/2034 REGS</t>
  </si>
  <si>
    <t>COSTER 6.75 01/15/2034</t>
  </si>
  <si>
    <t>213327-1</t>
  </si>
  <si>
    <t>XS3349855042</t>
  </si>
  <si>
    <t>CSN Loan FLOAT 04/15/2031</t>
  </si>
  <si>
    <t>CSN</t>
  </si>
  <si>
    <t>114779-1</t>
  </si>
  <si>
    <t>USL21779AL44</t>
  </si>
  <si>
    <t>CSNABZ 8.875 12/05/2030 REGS</t>
  </si>
  <si>
    <t>CSNABZ 8.875 12/05/2030</t>
  </si>
  <si>
    <t>US12644VAF58</t>
  </si>
  <si>
    <t>176053-1</t>
  </si>
  <si>
    <t>USP0R137PD99</t>
  </si>
  <si>
    <t>DAVIVI V8.125 07/02/2035 REGS</t>
  </si>
  <si>
    <t>BANCO DAVIVIENDA</t>
  </si>
  <si>
    <t>DAVIVI V8.125 07/02/2035</t>
  </si>
  <si>
    <t>35708-1</t>
  </si>
  <si>
    <t>US279158AP43</t>
  </si>
  <si>
    <t>ECOPET 4.625 11/02/2031</t>
  </si>
  <si>
    <t>ECOPETROL</t>
  </si>
  <si>
    <t>149965-1</t>
  </si>
  <si>
    <t>US279158AW93</t>
  </si>
  <si>
    <t>ECOPET 7.75 02/01/2032</t>
  </si>
  <si>
    <t>53259-1</t>
  </si>
  <si>
    <t>US279158AS81</t>
  </si>
  <si>
    <t>ECOPET 8.875 01/13/2033</t>
  </si>
  <si>
    <t>147064-1</t>
  </si>
  <si>
    <t>USP0R12RAA88</t>
  </si>
  <si>
    <t>FIEMEX 7.25 01/31/2041 REGS</t>
  </si>
  <si>
    <t>FIEMEX</t>
  </si>
  <si>
    <t>FIEMEX 7.25 01/31/2041</t>
  </si>
  <si>
    <t>US05974EAA82</t>
  </si>
  <si>
    <t>32196-1</t>
  </si>
  <si>
    <t>USP26064AA66</t>
  </si>
  <si>
    <t>FISOMA 4.375 07/22/2031 REGS</t>
  </si>
  <si>
    <t>FIBRA SOMA</t>
  </si>
  <si>
    <t>FISOMA 4.375 07/22/2031</t>
  </si>
  <si>
    <t>218888-1</t>
  </si>
  <si>
    <t>USP3990QAA96</t>
  </si>
  <si>
    <t>FISOMA 7.125 05/28/2036 REGS</t>
  </si>
  <si>
    <t>FISOMA 7.125 05/28/2036</t>
  </si>
  <si>
    <t>US31568VAA89</t>
  </si>
  <si>
    <t>95963-1</t>
  </si>
  <si>
    <t>USL26915AA33</t>
  </si>
  <si>
    <t>FORSEA 7.5 06/15/2030 REGS</t>
  </si>
  <si>
    <t>FORESEA</t>
  </si>
  <si>
    <t>FORSEA 7.5 06/15/2030</t>
  </si>
  <si>
    <t>1545-1</t>
  </si>
  <si>
    <t>USN53766AA41</t>
  </si>
  <si>
    <t>MVFPSO 6.748 06/01/2034 REGS</t>
  </si>
  <si>
    <t>MV24 CAPITAL</t>
  </si>
  <si>
    <t>MVFPSO 6.748 06/01/2034</t>
  </si>
  <si>
    <t>US55388RAA41</t>
  </si>
  <si>
    <t>187868-1</t>
  </si>
  <si>
    <t>USP73906AA03</t>
  </si>
  <si>
    <t>ORSAPE 6.25 09/17/2032 REGS</t>
  </si>
  <si>
    <t>ORAZUL ENERGY</t>
  </si>
  <si>
    <t>ORSAPE 6.25 09/17/2032</t>
  </si>
  <si>
    <t>944-1</t>
  </si>
  <si>
    <t>USP40689AA21</t>
  </si>
  <si>
    <t>PACTRE 8.25 01/15/2035 REGS</t>
  </si>
  <si>
    <t>PACTRE 8.25 01/15/2035</t>
  </si>
  <si>
    <t>147224-1</t>
  </si>
  <si>
    <t>ARPETQ5600H0</t>
  </si>
  <si>
    <t>PCRD 0.5 12/07/2026 K</t>
  </si>
  <si>
    <t>PETROQUIMICA COMODORO RIVADAVIA</t>
  </si>
  <si>
    <t>MLCD</t>
  </si>
  <si>
    <t>CUBO</t>
  </si>
  <si>
    <t>222557-1</t>
  </si>
  <si>
    <t>USP7923WAA91</t>
  </si>
  <si>
    <t>PROMIG V7.75 06/24/2056 REGS</t>
  </si>
  <si>
    <t>PROMIGAS</t>
  </si>
  <si>
    <t>PROMIG V7.75 06/24/2056</t>
  </si>
  <si>
    <t>US74350WAA80</t>
  </si>
  <si>
    <t>1944-1</t>
  </si>
  <si>
    <t>USP7922DAB03</t>
  </si>
  <si>
    <t>PRUPAR 7.5 12/31/2031 REGS</t>
  </si>
  <si>
    <t>PRUMO PARTICIPACOES E INVESTIMENTOS</t>
  </si>
  <si>
    <t>PRUPAR 7.5 12/31/2031</t>
  </si>
  <si>
    <t>114867-1</t>
  </si>
  <si>
    <t>USP8405QAA78</t>
  </si>
  <si>
    <t>SAMMIN 9 06/30/2031 REGS</t>
  </si>
  <si>
    <t>SAMARCO MINERACAO</t>
  </si>
  <si>
    <t>SAMMIN 9 06/30/2031</t>
  </si>
  <si>
    <t>US79588YAA73</t>
  </si>
  <si>
    <t>137747-1</t>
  </si>
  <si>
    <t>USN9733XAA56</t>
  </si>
  <si>
    <t>YPANBR 8.947 07/31/2042 REGS</t>
  </si>
  <si>
    <t>YINSON BORONIA</t>
  </si>
  <si>
    <t>YPANBR 8.947 07/31/2042</t>
  </si>
  <si>
    <t>173055-1</t>
  </si>
  <si>
    <t>AR0688075032</t>
  </si>
  <si>
    <t>YPFDAR 0 10/10/2026 27</t>
  </si>
  <si>
    <t>YPF</t>
  </si>
  <si>
    <t>201936-175</t>
  </si>
  <si>
    <t>UYFFAM220UY2</t>
  </si>
  <si>
    <t>CASH URUGUA 13.50 09/20/2026</t>
  </si>
  <si>
    <t>CASH SA URUGUAY</t>
  </si>
  <si>
    <t>UYU</t>
  </si>
  <si>
    <t>481-11</t>
  </si>
  <si>
    <t>ARARGE03E147</t>
  </si>
  <si>
    <t>ARGENT V0 12/15/35 PGDP OLD</t>
  </si>
  <si>
    <t>173056-11</t>
  </si>
  <si>
    <t>AR0465885959</t>
  </si>
  <si>
    <t>BONCER 0 03/31/2027</t>
  </si>
  <si>
    <t>208993-11</t>
  </si>
  <si>
    <t>AR0404416296</t>
  </si>
  <si>
    <t>BONCER 0 06/30/2028</t>
  </si>
  <si>
    <t>220236-11</t>
  </si>
  <si>
    <t>AR0667778010</t>
  </si>
  <si>
    <t>BONCER 0 09/29/2028 CER</t>
  </si>
  <si>
    <t>172044-11</t>
  </si>
  <si>
    <t>AR0881212424</t>
  </si>
  <si>
    <t>BONCER 0 10/30/2026 CER</t>
  </si>
  <si>
    <t>172244-11</t>
  </si>
  <si>
    <t>AR0611949808</t>
  </si>
  <si>
    <t>BONCER 0 12/15/2027 CER</t>
  </si>
  <si>
    <t>218074-11</t>
  </si>
  <si>
    <t>AR0585812156</t>
  </si>
  <si>
    <t>BONTAM 0 06/29/2029 CER</t>
  </si>
  <si>
    <t>173541-11</t>
  </si>
  <si>
    <t>AR0193433734</t>
  </si>
  <si>
    <t>BONTE 29.5 05/30/2030</t>
  </si>
  <si>
    <t>638-29</t>
  </si>
  <si>
    <t>BRSTNCNTF1P8</t>
  </si>
  <si>
    <t>BNTNF 10 01/01/2027 NTNF</t>
  </si>
  <si>
    <t>BRAZIL</t>
  </si>
  <si>
    <t>639-29</t>
  </si>
  <si>
    <t>BRSTNCNTF1Q6</t>
  </si>
  <si>
    <t>BNTNF 10 01/01/2029 NTNF</t>
  </si>
  <si>
    <t>2057-29</t>
  </si>
  <si>
    <t>BRSTNCNTF204</t>
  </si>
  <si>
    <t>BNTNF 10 01/01/2031 NTNF</t>
  </si>
  <si>
    <t>49827-29</t>
  </si>
  <si>
    <t>BRSTNCNTF212</t>
  </si>
  <si>
    <t>BNTNF 10 01/01/33 NTNF</t>
  </si>
  <si>
    <t>120786-29</t>
  </si>
  <si>
    <t>BRSTNCNTF238</t>
  </si>
  <si>
    <t>BNTNF 10 01/01/2035 NTNF</t>
  </si>
  <si>
    <t>202367-29</t>
  </si>
  <si>
    <t>BRSTNCNTF2K7</t>
  </si>
  <si>
    <t>BNTNF 10 01/01/2037 NTNF</t>
  </si>
  <si>
    <t>192588-41</t>
  </si>
  <si>
    <t>USP17460AF60</t>
  </si>
  <si>
    <t>BOGOTA 13.1404 11/05/2035 REGS</t>
  </si>
  <si>
    <t>BOGOTA DISTRITO CAPITAL</t>
  </si>
  <si>
    <t>BOGOTA 13.1404 11/05/2035</t>
  </si>
  <si>
    <t>3307-41</t>
  </si>
  <si>
    <t>USP17460AB56</t>
  </si>
  <si>
    <t>BOGOTA 9.75 07/26/2028 REGS</t>
  </si>
  <si>
    <t>BOGOTA 9.75 07/26/2028</t>
  </si>
  <si>
    <t>193869-41</t>
  </si>
  <si>
    <t>COL17CT04084</t>
  </si>
  <si>
    <t>COLTES 11.75 01/24/2035 B</t>
  </si>
  <si>
    <t>COLOMBIA</t>
  </si>
  <si>
    <t>44428-41</t>
  </si>
  <si>
    <t>COL17CT03771</t>
  </si>
  <si>
    <t>COLTES 7 03/26/2031</t>
  </si>
  <si>
    <t>44426-41</t>
  </si>
  <si>
    <t>COL17CT03722</t>
  </si>
  <si>
    <t>COLTES 7.25 10/26/2050</t>
  </si>
  <si>
    <t>44429-41</t>
  </si>
  <si>
    <t>COL17CT03813</t>
  </si>
  <si>
    <t>COLTES 9.25 05/28/2042</t>
  </si>
  <si>
    <t>165057-52</t>
  </si>
  <si>
    <t>USP3579ECY16</t>
  </si>
  <si>
    <t>DOMREP 10.5 03/15/2037 REGs</t>
  </si>
  <si>
    <t>DOMINICAN REPUBLIC</t>
  </si>
  <si>
    <t>DOMREP 10.5 03/15/2037</t>
  </si>
  <si>
    <t>DO</t>
  </si>
  <si>
    <t>DOP</t>
  </si>
  <si>
    <t>53264-123</t>
  </si>
  <si>
    <t>MX0MGO0001D6</t>
  </si>
  <si>
    <t>MBONO 7.5 05/26/2033 M</t>
  </si>
  <si>
    <t>MEXICO</t>
  </si>
  <si>
    <t>4001-123</t>
  </si>
  <si>
    <t>MX0MGO0000P2</t>
  </si>
  <si>
    <t>MBONO 7.75 05/29/2031 M</t>
  </si>
  <si>
    <t>44430-123</t>
  </si>
  <si>
    <t>MX0MGO0000U2</t>
  </si>
  <si>
    <t>MBONO 7.75 11/23/2034</t>
  </si>
  <si>
    <t>179353-123</t>
  </si>
  <si>
    <t>MX0MGO0001L9</t>
  </si>
  <si>
    <t>MBONO 8 02/21/2036 M</t>
  </si>
  <si>
    <t>44435-123</t>
  </si>
  <si>
    <t>MX0MGO0001E4</t>
  </si>
  <si>
    <t>MBONO 8 07/31/2053</t>
  </si>
  <si>
    <t>1630-123</t>
  </si>
  <si>
    <t>MX0MGO000102</t>
  </si>
  <si>
    <t>MBONO 8 11/07/2047 M</t>
  </si>
  <si>
    <t>189237-141</t>
  </si>
  <si>
    <t>USP75744AS46</t>
  </si>
  <si>
    <t>PARGUY 8.5 03/04/2035 REGS</t>
  </si>
  <si>
    <t>PARAGUAY</t>
  </si>
  <si>
    <t>PARGUY 8.5 03/04/2035</t>
  </si>
  <si>
    <t>PY</t>
  </si>
  <si>
    <t>PYG</t>
  </si>
  <si>
    <t>206753-141</t>
  </si>
  <si>
    <t>USP75744AU91</t>
  </si>
  <si>
    <t>PARGUY 8.5 04/04/2038 REGS</t>
  </si>
  <si>
    <t>PARGUY 8.5 04/04/2038</t>
  </si>
  <si>
    <t>961-135</t>
  </si>
  <si>
    <t>USP87324BE10</t>
  </si>
  <si>
    <t>PERU 6.9 08/12/2037 REGS</t>
  </si>
  <si>
    <t>PERU</t>
  </si>
  <si>
    <t>PERU 6.9 08/12/2037</t>
  </si>
  <si>
    <t>38622-135</t>
  </si>
  <si>
    <t>PEP01000C2Z1</t>
  </si>
  <si>
    <t>PERUGB 6.9 08/12/2037</t>
  </si>
  <si>
    <t>151394-1</t>
  </si>
  <si>
    <t>USG00912AC21</t>
  </si>
  <si>
    <t>ABRAGF 14 10/22/2029 REGS</t>
  </si>
  <si>
    <t>ABRA GROUP</t>
  </si>
  <si>
    <t>ABRAGF 14 10/22/2029</t>
  </si>
  <si>
    <t>US000852AC70</t>
  </si>
  <si>
    <t>440-1</t>
  </si>
  <si>
    <t>USE0351QAA07</t>
  </si>
  <si>
    <t>ACIAIR 6.875 11/29/2032 REGS</t>
  </si>
  <si>
    <t>ACI AIRPORT SUDAMERICA</t>
  </si>
  <si>
    <t>ACIAIR 6.875 11/29/2032</t>
  </si>
  <si>
    <t>USE0351QAB89</t>
  </si>
  <si>
    <t>3662-1</t>
  </si>
  <si>
    <t>ACIAIR 6.875 11/29/2032 REGs</t>
  </si>
  <si>
    <t>35524-1</t>
  </si>
  <si>
    <t>USE0351QAC62</t>
  </si>
  <si>
    <t>ACIAIR 6.875 11/29/2034 REGS</t>
  </si>
  <si>
    <t>ACIAIR 6.875 11/29/2034</t>
  </si>
  <si>
    <t>US00102JAC99</t>
  </si>
  <si>
    <t>133021-1</t>
  </si>
  <si>
    <t>US00110RAA59</t>
  </si>
  <si>
    <t>ACUPET 7.5 01/13/2032 144A</t>
  </si>
  <si>
    <t>ACU PETROLEO</t>
  </si>
  <si>
    <t>ACUPET 7.5 01/13/2032</t>
  </si>
  <si>
    <t>USL0R80QAA10</t>
  </si>
  <si>
    <t>36160-1</t>
  </si>
  <si>
    <t>106547-1</t>
  </si>
  <si>
    <t>USL01343AB52</t>
  </si>
  <si>
    <t>AEGEBZ 9 01/20/2031 REGS</t>
  </si>
  <si>
    <t>AEGEA</t>
  </si>
  <si>
    <t>AEGEBZ 9 01/20/2031</t>
  </si>
  <si>
    <t>137445-1</t>
  </si>
  <si>
    <t>USP0100VAC74</t>
  </si>
  <si>
    <t>AERDOS 7 06/30/2034 REGS</t>
  </si>
  <si>
    <t>AEROPUERTOS DOMINICANOS SIGLO XXI</t>
  </si>
  <si>
    <t>AERDOS 7 06/30/2034</t>
  </si>
  <si>
    <t>US007866AE69</t>
  </si>
  <si>
    <t>444-1</t>
  </si>
  <si>
    <t>USP0092MAE32</t>
  </si>
  <si>
    <t>AEROAR 6.875 02/01/2027 REGS</t>
  </si>
  <si>
    <t>AEROPUERTOS ARG</t>
  </si>
  <si>
    <t>AEROAR 6.875 02/01/2027</t>
  </si>
  <si>
    <t>USP0092MAF07,US00786PAC86</t>
  </si>
  <si>
    <t>3902-1</t>
  </si>
  <si>
    <t>USP0092MAF07</t>
  </si>
  <si>
    <t>AEROAR 6.875 02/01/2027 REGs</t>
  </si>
  <si>
    <t>USP0092MAE32,US00786PAC86</t>
  </si>
  <si>
    <t>35525-1</t>
  </si>
  <si>
    <t>USP0092MAJ29</t>
  </si>
  <si>
    <t>AEROAR 8.5 08/01/2031 REGS</t>
  </si>
  <si>
    <t>AEROAR 8.5 08/01/2031</t>
  </si>
  <si>
    <t>149070-135</t>
  </si>
  <si>
    <t>PEP01000C5J8</t>
  </si>
  <si>
    <t>PERUGB 7.6 08/12/2039</t>
  </si>
  <si>
    <t>31369-1</t>
  </si>
  <si>
    <t>US040114HV54</t>
  </si>
  <si>
    <t>ARGENT 3.5 07/09/2041</t>
  </si>
  <si>
    <t>480-1</t>
  </si>
  <si>
    <t>ARARGE03E154</t>
  </si>
  <si>
    <t>ARGENT V0 12/15/2035 GDP$</t>
  </si>
  <si>
    <t>228178-1</t>
  </si>
  <si>
    <t>AR0821229090</t>
  </si>
  <si>
    <t>BONTAM 0 01/31/2028 USD</t>
  </si>
  <si>
    <t>29877-1</t>
  </si>
  <si>
    <t>XS1496112407</t>
  </si>
  <si>
    <t>CORDOB 7 09/29/2027</t>
  </si>
  <si>
    <t>CITY OF CORDOBA</t>
  </si>
  <si>
    <t>3443-175</t>
  </si>
  <si>
    <t>US917288BL51</t>
  </si>
  <si>
    <t>URUGUA 3.875 07/02/2040</t>
  </si>
  <si>
    <t>URUGUAY</t>
  </si>
  <si>
    <t>192396-175</t>
  </si>
  <si>
    <t>US760942BJ08</t>
  </si>
  <si>
    <t>URUGUA 8 10/29/2035</t>
  </si>
  <si>
    <t>35456-1</t>
  </si>
  <si>
    <t>XS2405877007</t>
  </si>
  <si>
    <t>AEROAR 9.5 11/01/2028</t>
  </si>
  <si>
    <t>152069-1</t>
  </si>
  <si>
    <t>USP4955JAB46</t>
  </si>
  <si>
    <t>AEROMX 8.25 11/15/2029 REGS</t>
  </si>
  <si>
    <t>AEROMX 8.25 11/15/2029</t>
  </si>
  <si>
    <t>US40054JAC36</t>
  </si>
  <si>
    <t>31626-1</t>
  </si>
  <si>
    <t>USN01007AA64</t>
  </si>
  <si>
    <t>AES 5.7 05/04/2028 REGS</t>
  </si>
  <si>
    <t>AES DOMINICANA</t>
  </si>
  <si>
    <t>AES 5.7 05/04/2028</t>
  </si>
  <si>
    <t>227438-1</t>
  </si>
  <si>
    <t>USN01014AA24</t>
  </si>
  <si>
    <t>AES 7.75 08/03/2033 REGS</t>
  </si>
  <si>
    <t>AES 7.75 08/03/2033</t>
  </si>
  <si>
    <t>US00113LAA52</t>
  </si>
  <si>
    <t>116573-1</t>
  </si>
  <si>
    <t>USP1000CAE41</t>
  </si>
  <si>
    <t>AES 9.5 08/16/2027 REGS</t>
  </si>
  <si>
    <t>AES ARGENTINA GENERACION</t>
  </si>
  <si>
    <t>AES 9.5 08/16/2027</t>
  </si>
  <si>
    <t>450-1</t>
  </si>
  <si>
    <t>USL00849AA47</t>
  </si>
  <si>
    <t>AGRO 6 09/21/2027 REGS</t>
  </si>
  <si>
    <t>ADECOAGRO</t>
  </si>
  <si>
    <t>AGRO 6 09/21/2027</t>
  </si>
  <si>
    <t>31690-1</t>
  </si>
  <si>
    <t>USE0R75RAB28</t>
  </si>
  <si>
    <t>AICNRA 5.75 06/15/2033 REGS</t>
  </si>
  <si>
    <t>AI CANDELARIA</t>
  </si>
  <si>
    <t>AICNRA 5.75 06/15/2033</t>
  </si>
  <si>
    <t>452-1</t>
  </si>
  <si>
    <t>USE0R75QAA61</t>
  </si>
  <si>
    <t>AICNRA 7.5 12/15/2028 REGS</t>
  </si>
  <si>
    <t>AICNRA 7.5 12/15/2028</t>
  </si>
  <si>
    <t>88647-1</t>
  </si>
  <si>
    <t>USP0243BAB10</t>
  </si>
  <si>
    <t>ALTO MAIPO Note 2L 15102062</t>
  </si>
  <si>
    <t>ALTO MAIPO</t>
  </si>
  <si>
    <t>89366-1</t>
  </si>
  <si>
    <t>USP0243BAE58</t>
  </si>
  <si>
    <t>ALTO MAIPO Note Senior 1L 30062040</t>
  </si>
  <si>
    <t>116576-1</t>
  </si>
  <si>
    <t>USL0415AAA18</t>
  </si>
  <si>
    <t>AUNA 10 12/15/2029 REGS</t>
  </si>
  <si>
    <t>AUNA 10 12/15/2029</t>
  </si>
  <si>
    <t>492-1</t>
  </si>
  <si>
    <t>USP05875AB84</t>
  </si>
  <si>
    <t>AUTSOL 7.375 12/30/2030 REGS</t>
  </si>
  <si>
    <t>AUTOPISTAS DEL SOL</t>
  </si>
  <si>
    <t>AUTSOL 7.375 12/30/2030</t>
  </si>
  <si>
    <t>CR</t>
  </si>
  <si>
    <t>4290-1</t>
  </si>
  <si>
    <t>USG42045AC15</t>
  </si>
  <si>
    <t>AVALCB 4.375 02/04/2030 REGS</t>
  </si>
  <si>
    <t>GRUPO AVAL</t>
  </si>
  <si>
    <t>AVALCB 4.375 02/04/2030</t>
  </si>
  <si>
    <t>160668-1</t>
  </si>
  <si>
    <t>USG2957NAA93</t>
  </si>
  <si>
    <t>AVIAGP 9.625 02/14/2030 REGS</t>
  </si>
  <si>
    <t>AVIAGP 9.625 02/14/2030</t>
  </si>
  <si>
    <t>US05369YAA73</t>
  </si>
  <si>
    <t>204148-1</t>
  </si>
  <si>
    <t>USU0551YAK11</t>
  </si>
  <si>
    <t>AZUBBZ 9.875 02/15/2031 REGS</t>
  </si>
  <si>
    <t>AZUL</t>
  </si>
  <si>
    <t>AZUBBZ 9.875 02/15/2031</t>
  </si>
  <si>
    <t>US05501WAJ18</t>
  </si>
  <si>
    <t>34669-1</t>
  </si>
  <si>
    <t>USP1850NAB75</t>
  </si>
  <si>
    <t>BAKIDE 6.99 02/20/2032 REGS</t>
  </si>
  <si>
    <t>BRASKEM IDESA</t>
  </si>
  <si>
    <t>BAKIDE 6.99 02/20/2032</t>
  </si>
  <si>
    <t>1917-1</t>
  </si>
  <si>
    <t>USP1850NAA92</t>
  </si>
  <si>
    <t>BAKIDE 7.45 11/15/2029 REGS</t>
  </si>
  <si>
    <t>BAKIDE 7.45 11/15/2029</t>
  </si>
  <si>
    <t>225327-1</t>
  </si>
  <si>
    <t>USP07003AA78</t>
  </si>
  <si>
    <t>BALUMA 7 07/09/2034 REGS</t>
  </si>
  <si>
    <t>BALUMA</t>
  </si>
  <si>
    <t>BALUMA 7 07/09/2034</t>
  </si>
  <si>
    <t>88047-1</t>
  </si>
  <si>
    <t>USP2000TAB19</t>
  </si>
  <si>
    <t>BANBRA 6.25 04/18/2030 REGS</t>
  </si>
  <si>
    <t>BANCO DO BRASIL</t>
  </si>
  <si>
    <t>BANBRA 6.25 04/18/2030</t>
  </si>
  <si>
    <t>130577-1</t>
  </si>
  <si>
    <t>USP1027DHQ71</t>
  </si>
  <si>
    <t>BANCO V7.95 PERP REGS</t>
  </si>
  <si>
    <t>BANCO ESTADO</t>
  </si>
  <si>
    <t>BANCO V7.95 PERP</t>
  </si>
  <si>
    <t>202363-1</t>
  </si>
  <si>
    <t>USG4800DAA66</t>
  </si>
  <si>
    <t>BANGUA V6.55 04/15/36 REGS</t>
  </si>
  <si>
    <t>BANCO INDUSTRIAL GUATEMALA</t>
  </si>
  <si>
    <t>BANGUA V6.55 04/15/36</t>
  </si>
  <si>
    <t>US456349AA77</t>
  </si>
  <si>
    <t>GT</t>
  </si>
  <si>
    <t>31384-1</t>
  </si>
  <si>
    <t>USP1400MAC21</t>
  </si>
  <si>
    <t>BANORT 8.375 PERP REGS</t>
  </si>
  <si>
    <t>BANORT 8.375 PERP</t>
  </si>
  <si>
    <t>USP1400MAD04</t>
  </si>
  <si>
    <t>146583-1</t>
  </si>
  <si>
    <t>US05956NAF96</t>
  </si>
  <si>
    <t>BCICI V7.5 PERP 144A</t>
  </si>
  <si>
    <t>BCICI V7.5 PERP</t>
  </si>
  <si>
    <t>USP32133CH47</t>
  </si>
  <si>
    <t>146582-1</t>
  </si>
  <si>
    <t>BCICI V7.5 PERP REGS</t>
  </si>
  <si>
    <t>135501-1</t>
  </si>
  <si>
    <t>US05968LAN29</t>
  </si>
  <si>
    <t>BCOLO V8.625 12/24/2034</t>
  </si>
  <si>
    <t>BANCOLOMBIA</t>
  </si>
  <si>
    <t>160288-1</t>
  </si>
  <si>
    <t>USP13435AG03</t>
  </si>
  <si>
    <t>BINTPE V6.397 04/30/2035 REGS</t>
  </si>
  <si>
    <t>BANCO INTERNACIONAL DEL PERU</t>
  </si>
  <si>
    <t>BINTPE V6.397 04/30/2035</t>
  </si>
  <si>
    <t>203109-1</t>
  </si>
  <si>
    <t>USP1047VAN75</t>
  </si>
  <si>
    <t>BMAAR 8 01/28/2031 REGS</t>
  </si>
  <si>
    <t>BANCO MACRO</t>
  </si>
  <si>
    <t>BMAAR 8 01/28/2031</t>
  </si>
  <si>
    <t>US05963GAL23</t>
  </si>
  <si>
    <t>175398-1</t>
  </si>
  <si>
    <t>USP1047VAL10</t>
  </si>
  <si>
    <t>BMAAR 8 06/23/2029 REGS</t>
  </si>
  <si>
    <t>BMAAR 8 06/23/2029</t>
  </si>
  <si>
    <t>US05963GAK40</t>
  </si>
  <si>
    <t>219587-1</t>
  </si>
  <si>
    <t>US100018AC46</t>
  </si>
  <si>
    <t>BORRNO 8.75 01/15/2032 144A</t>
  </si>
  <si>
    <t>BORR DRILLING</t>
  </si>
  <si>
    <t>BORRNO 8.75 01/15/2032</t>
  </si>
  <si>
    <t>USG1467FAH67</t>
  </si>
  <si>
    <t>219586-1</t>
  </si>
  <si>
    <t>US100018AD29</t>
  </si>
  <si>
    <t>BORRNO 9 01/15/2034 144A</t>
  </si>
  <si>
    <t>BORRNO 9 01/15/2034</t>
  </si>
  <si>
    <t>USG1467FAJ24</t>
  </si>
  <si>
    <t>159635-1</t>
  </si>
  <si>
    <t>US05947LBB36</t>
  </si>
  <si>
    <t>BRADES 6.5 01/22/2030 REGS</t>
  </si>
  <si>
    <t>BANCO BRADESCO</t>
  </si>
  <si>
    <t>BRADES 6.5 01/22/2030</t>
  </si>
  <si>
    <t>647-1</t>
  </si>
  <si>
    <t>USN15516AB83</t>
  </si>
  <si>
    <t>BRASKM 4.5 01/10/2028 REGS</t>
  </si>
  <si>
    <t>BRASKM 4.5 01/10/2028</t>
  </si>
  <si>
    <t>149418-1</t>
  </si>
  <si>
    <t>USN15516AJ10</t>
  </si>
  <si>
    <t>BRASKM 8 10/15/2034 REGS</t>
  </si>
  <si>
    <t>BRASKM 8 10/15/2034</t>
  </si>
  <si>
    <t>US10554TAJ43</t>
  </si>
  <si>
    <t>3575-1</t>
  </si>
  <si>
    <t>USN15516AF97</t>
  </si>
  <si>
    <t>BRASKM V12.004 01/23/2081 REGS</t>
  </si>
  <si>
    <t>BRASKM V12.004 01/23/2081</t>
  </si>
  <si>
    <t>1539-1</t>
  </si>
  <si>
    <t>USP1905CJX94</t>
  </si>
  <si>
    <t>BRFSBZ 4.875 01/24/2030 REGS</t>
  </si>
  <si>
    <t>BRASIL FOODS</t>
  </si>
  <si>
    <t>BRFSBZ 4.875 01/24/2030</t>
  </si>
  <si>
    <t>177952-1</t>
  </si>
  <si>
    <t>USP3012UAA45</t>
  </si>
  <si>
    <t>CELELS 8.65 01/24/2033 REGS</t>
  </si>
  <si>
    <t>CEH RIO LEMPA</t>
  </si>
  <si>
    <t>CELELS 8.65 01/24/2033</t>
  </si>
  <si>
    <t>US200444AA57</t>
  </si>
  <si>
    <t>SV</t>
  </si>
  <si>
    <t>174399-1</t>
  </si>
  <si>
    <t>USP2253TJW01</t>
  </si>
  <si>
    <t>CEMEX V7.2 PERP REGS</t>
  </si>
  <si>
    <t>CEMEX V7.2 PERP</t>
  </si>
  <si>
    <t>US151290CC53</t>
  </si>
  <si>
    <t>731-1</t>
  </si>
  <si>
    <t>USP23210AA82</t>
  </si>
  <si>
    <t>CEOAXA 7.25 12/31/2031 REGs</t>
  </si>
  <si>
    <t>CE OAXACA</t>
  </si>
  <si>
    <t>CEOAXA 7.25 12/31/2031</t>
  </si>
  <si>
    <t>196178-1</t>
  </si>
  <si>
    <t>USP3063DAC67</t>
  </si>
  <si>
    <t>CGCSA 11.875 11/28/30 REGS</t>
  </si>
  <si>
    <t>CGCSA 11.875 11/28/30</t>
  </si>
  <si>
    <t>US20448QAC42</t>
  </si>
  <si>
    <t>177297-1</t>
  </si>
  <si>
    <t>XS3121818788</t>
  </si>
  <si>
    <t>VMOS 01 Loan FLOAT 07/08/2030</t>
  </si>
  <si>
    <t>VMOS</t>
  </si>
  <si>
    <t>31569-1</t>
  </si>
  <si>
    <t>USG4923NAB40</t>
  </si>
  <si>
    <t>CMIENE 6.25 04/26/2029 REGS</t>
  </si>
  <si>
    <t>INVESTMENT ENERGY RESOURCES</t>
  </si>
  <si>
    <t>CMIENE 6.25 04/26/2029</t>
  </si>
  <si>
    <t>187071-1</t>
  </si>
  <si>
    <t>USP58072BA92</t>
  </si>
  <si>
    <t>CMPCCI V6.7 12/09/2057 REGS</t>
  </si>
  <si>
    <t>CMPCCI V6.7 12/09/2057</t>
  </si>
  <si>
    <t>US46128MAU53</t>
  </si>
  <si>
    <t>36210-1</t>
  </si>
  <si>
    <t>USG2588BAA29</t>
  </si>
  <si>
    <t>COMCEL 5.125 02/03/2032 REGS</t>
  </si>
  <si>
    <t>COMCEL</t>
  </si>
  <si>
    <t>COMCEL 5.125 02/03/2032</t>
  </si>
  <si>
    <t>157995-1</t>
  </si>
  <si>
    <t>USL19650AB36</t>
  </si>
  <si>
    <t>CONLAT 3 12/31/2034 REGS</t>
  </si>
  <si>
    <t>CONLAT 3 12/31/2034</t>
  </si>
  <si>
    <t>US21039JAB52</t>
  </si>
  <si>
    <t>31968-1</t>
  </si>
  <si>
    <t>USL21779AJ97</t>
  </si>
  <si>
    <t>CSNABZ 4.625 06/10/2031 REGS</t>
  </si>
  <si>
    <t>CSNABZ 4.625 06/10/2031</t>
  </si>
  <si>
    <t>36293-1</t>
  </si>
  <si>
    <t>USL21779AK60</t>
  </si>
  <si>
    <t>CSNABZ 5.875 04/08/2032 REGS</t>
  </si>
  <si>
    <t>CSNABZ 5.875 04/08/2032</t>
  </si>
  <si>
    <t>4244-1</t>
  </si>
  <si>
    <t>USG2583XAB76</t>
  </si>
  <si>
    <t>CSNABZ 6.75 01/28/2028 REGS</t>
  </si>
  <si>
    <t>CSNABZ 6.75 01/28/2028</t>
  </si>
  <si>
    <t>31570-1</t>
  </si>
  <si>
    <t>USP0R11WAG52</t>
  </si>
  <si>
    <t>DAVIVI V6.65 PERP REGS</t>
  </si>
  <si>
    <t>DAVIVI V6.65 PERP</t>
  </si>
  <si>
    <t>179279-1</t>
  </si>
  <si>
    <t>USG2800MAA02</t>
  </si>
  <si>
    <t>DIGDIF 8.625 08/01/2032 REGS</t>
  </si>
  <si>
    <t>DIGICEL</t>
  </si>
  <si>
    <t>DIGDIF 8.625 08/01/2032</t>
  </si>
  <si>
    <t>US25381MAA53</t>
  </si>
  <si>
    <t>JM</t>
  </si>
  <si>
    <t>168617-1</t>
  </si>
  <si>
    <t>US25615WAB90</t>
  </si>
  <si>
    <t>DOCUFO 10.25 07/24/2024 144A</t>
  </si>
  <si>
    <t>DOCUFORMAS</t>
  </si>
  <si>
    <t>DOCUFO 10.25 07/24/2024</t>
  </si>
  <si>
    <t>USP36035AB29</t>
  </si>
  <si>
    <t>4304-1</t>
  </si>
  <si>
    <t>DOCUFO 10.25 07/24/2024 REGS</t>
  </si>
  <si>
    <t>30502-1</t>
  </si>
  <si>
    <t>US279158AJ82</t>
  </si>
  <si>
    <t>ECOPET 5.875 05/28/2045</t>
  </si>
  <si>
    <t>35709-1</t>
  </si>
  <si>
    <t>US279158AQ26</t>
  </si>
  <si>
    <t>ECOPET 5.875 11/02/2051</t>
  </si>
  <si>
    <t>2754-1</t>
  </si>
  <si>
    <t>US279158AN94</t>
  </si>
  <si>
    <t>ECOPET 6.875 04/29/2030</t>
  </si>
  <si>
    <t>30501-1</t>
  </si>
  <si>
    <t>US279158AE95</t>
  </si>
  <si>
    <t>ECOPET 7.375 09/18/2043</t>
  </si>
  <si>
    <t>120782-1</t>
  </si>
  <si>
    <t>US279158AV11</t>
  </si>
  <si>
    <t>ECOPET 8.375 01/19/2036</t>
  </si>
  <si>
    <t>187871-1</t>
  </si>
  <si>
    <t>USG3040LAB83</t>
  </si>
  <si>
    <t>EGUATE 6.35 09/15/2035 REGS</t>
  </si>
  <si>
    <t>ENERGUATE</t>
  </si>
  <si>
    <t>EGUATE 6.35 09/15/2035</t>
  </si>
  <si>
    <t>US29277RAB15</t>
  </si>
  <si>
    <t>221753-1</t>
  </si>
  <si>
    <t>NO0013756023</t>
  </si>
  <si>
    <t>ELDORD 9.125 06/24/2030</t>
  </si>
  <si>
    <t>ELDORADO DRILLING</t>
  </si>
  <si>
    <t>2182-1</t>
  </si>
  <si>
    <t>USP22835AB13</t>
  </si>
  <si>
    <t>ELEBRA 4.625 02/04/2030 REGS</t>
  </si>
  <si>
    <t>ELETROBRAS</t>
  </si>
  <si>
    <t>ELEBRA 4.625 02/04/2030</t>
  </si>
  <si>
    <t>146647-1</t>
  </si>
  <si>
    <t>USP2281VAA81</t>
  </si>
  <si>
    <t>ELEBRA 6.5 01/11/2035 REGS</t>
  </si>
  <si>
    <t>ELEBRA 6.5 01/11/2035</t>
  </si>
  <si>
    <t>35386-1</t>
  </si>
  <si>
    <t>USP3771ABD20</t>
  </si>
  <si>
    <t>ENJOY 8 08/14/2027 B</t>
  </si>
  <si>
    <t>ENJOY</t>
  </si>
  <si>
    <t>187873-1</t>
  </si>
  <si>
    <t>USP24038AA23</t>
  </si>
  <si>
    <t>FCFEMM 5.875 09/23/2040 REGS</t>
  </si>
  <si>
    <t>CFE FIBRA E</t>
  </si>
  <si>
    <t>FCFEMM 5.875 09/23/2040</t>
  </si>
  <si>
    <t>US125276AA34</t>
  </si>
  <si>
    <t>31865-1</t>
  </si>
  <si>
    <t>USC35898AB82</t>
  </si>
  <si>
    <t>FECCN 7.875 06/21/2028 REGS</t>
  </si>
  <si>
    <t>FRONTERA ENERGY CORP</t>
  </si>
  <si>
    <t>FECCN 7.875 06/21/2028</t>
  </si>
  <si>
    <t>US35905BAC19</t>
  </si>
  <si>
    <t>MDLAT</t>
  </si>
  <si>
    <t>774-1</t>
  </si>
  <si>
    <t>US05955WAB90</t>
  </si>
  <si>
    <t>CZRSBZ 8.25 01/20/2016 144A</t>
  </si>
  <si>
    <t>BANCO CRUZEIRO</t>
  </si>
  <si>
    <t>CZRSBZ 8.25 01/20/2016</t>
  </si>
  <si>
    <t>US05955XAB73</t>
  </si>
  <si>
    <t>776-1</t>
  </si>
  <si>
    <t>US05955WAA18</t>
  </si>
  <si>
    <t>CZRSBZ 8.5 02/20/2015 144A</t>
  </si>
  <si>
    <t>CZRSBZ 8.5 02/20/2015</t>
  </si>
  <si>
    <t>US05955XAA90</t>
  </si>
  <si>
    <t>95961-1</t>
  </si>
  <si>
    <t>USL7S914AA12</t>
  </si>
  <si>
    <t>FORECO 0.5 06/07/2043 REGS</t>
  </si>
  <si>
    <t>FORECO 0.5 06/07/2043</t>
  </si>
  <si>
    <t>187236-1</t>
  </si>
  <si>
    <t>USP50139AB33</t>
  </si>
  <si>
    <t>GUAENE 12.00 10/15/2035 REGS</t>
  </si>
  <si>
    <t>GUACOLDA ENERGIA</t>
  </si>
  <si>
    <t>GUAENE 12.00 10/15/2035</t>
  </si>
  <si>
    <t>86445-1</t>
  </si>
  <si>
    <t>NO0012868803</t>
  </si>
  <si>
    <t>LATOFF 10 04/13/2028</t>
  </si>
  <si>
    <t>884-1</t>
  </si>
  <si>
    <t>NO0010683832</t>
  </si>
  <si>
    <t>LATOFF 7 04/13/2028.</t>
  </si>
  <si>
    <t>1628-1</t>
  </si>
  <si>
    <t>NO0010715212</t>
  </si>
  <si>
    <t>LTNAOF 7 01/30/2030</t>
  </si>
  <si>
    <t>129278-1</t>
  </si>
  <si>
    <t>NO0013137802</t>
  </si>
  <si>
    <t>FOREBR 16 04/26/2028</t>
  </si>
  <si>
    <t>FORBES RESOURCES BRAZIL</t>
  </si>
  <si>
    <t>149072-1</t>
  </si>
  <si>
    <t>USP0R66CAB48</t>
  </si>
  <si>
    <t>GALIAR 7.75 10/10/2028 REGS</t>
  </si>
  <si>
    <t>BANCO GALICIA Y BUENOS AIRES</t>
  </si>
  <si>
    <t>GALIAR 7.75 10/10/2028</t>
  </si>
  <si>
    <t>US059538AS70</t>
  </si>
  <si>
    <t>164872-1</t>
  </si>
  <si>
    <t>NO0013481242</t>
  </si>
  <si>
    <t>GALLEO 13.75 03/04/2028</t>
  </si>
  <si>
    <t>GALILEO TECHNOLOGIES</t>
  </si>
  <si>
    <t>198726-1</t>
  </si>
  <si>
    <t>NO0013708404</t>
  </si>
  <si>
    <t>GALLEO TRANCHE A 13.75 03/04/2028</t>
  </si>
  <si>
    <t>201206-1</t>
  </si>
  <si>
    <t>NO0013708412</t>
  </si>
  <si>
    <t>GALLEO TRANCHE B 13.75 03/04/2028</t>
  </si>
  <si>
    <t>160676-1</t>
  </si>
  <si>
    <t>USG38327AD78</t>
  </si>
  <si>
    <t>GEOPAR 8.75 01/31/2030 REGS</t>
  </si>
  <si>
    <t>GEOPARK</t>
  </si>
  <si>
    <t>GEOPAR 8.75 01/31/2030</t>
  </si>
  <si>
    <t>32078-1</t>
  </si>
  <si>
    <t>USP9401RAA79</t>
  </si>
  <si>
    <t>GGICS 4.8 12/18/2032 REGS</t>
  </si>
  <si>
    <t>GGICS 4.8 12/18/2032</t>
  </si>
  <si>
    <t>189329-1</t>
  </si>
  <si>
    <t>USG4023LAD31</t>
  </si>
  <si>
    <t>GLNG 7.5 10/02/2030 REGS</t>
  </si>
  <si>
    <t>GOLAR LNG</t>
  </si>
  <si>
    <t>GLNG 7.5 10/02/2030</t>
  </si>
  <si>
    <t>US38046YAE14</t>
  </si>
  <si>
    <t>36102-1</t>
  </si>
  <si>
    <t>USP47777AC43</t>
  </si>
  <si>
    <t>GLOPAR 5.5 01/14/2032 REGS</t>
  </si>
  <si>
    <t>GLOBO</t>
  </si>
  <si>
    <t>GLOPAR 5.5 01/14/2032</t>
  </si>
  <si>
    <t>196181-1</t>
  </si>
  <si>
    <t>USP46756BQ76</t>
  </si>
  <si>
    <t>GNNEIA 7.75 12/02/33 REGS</t>
  </si>
  <si>
    <t>GENNEIA</t>
  </si>
  <si>
    <t>GNNEIA 7.75 12/02/33</t>
  </si>
  <si>
    <t>US372319AC70</t>
  </si>
  <si>
    <t>172961-1</t>
  </si>
  <si>
    <t>USL4441RAL08</t>
  </si>
  <si>
    <t>GOLLBZ 14.375 06/06/2030 REGS</t>
  </si>
  <si>
    <t>GOL LINHAS AEREAS</t>
  </si>
  <si>
    <t>GOLLBZ 14.375 06/06/2030</t>
  </si>
  <si>
    <t>174456-1</t>
  </si>
  <si>
    <t>US379955AC17</t>
  </si>
  <si>
    <t>GOLLBZ 9.5 12/05/2030</t>
  </si>
  <si>
    <t>846-1</t>
  </si>
  <si>
    <t>XS0282340230</t>
  </si>
  <si>
    <t>GPIXLX 10 PERP</t>
  </si>
  <si>
    <t>GP INVESTMENTS</t>
  </si>
  <si>
    <t>847-1</t>
  </si>
  <si>
    <t>USG3812TAB73</t>
  </si>
  <si>
    <t>GSHPBR 10 08/10/2026 REGS</t>
  </si>
  <si>
    <t>GENERAL SHOPPING</t>
  </si>
  <si>
    <t>GSHPBR 10 08/10/2026</t>
  </si>
  <si>
    <t>848-1</t>
  </si>
  <si>
    <t>USG3812BAB65</t>
  </si>
  <si>
    <t>GSHPBR 10 PERP REGS</t>
  </si>
  <si>
    <t>GSHPBR 10 PERP</t>
  </si>
  <si>
    <t>1108-1</t>
  </si>
  <si>
    <t>USP93369AB59</t>
  </si>
  <si>
    <t>TRNTEL 9 12/01/2016 REGS</t>
  </si>
  <si>
    <t>TRANSTEL INTERMEDIA</t>
  </si>
  <si>
    <t>TRNTEL 9 12/01/2016</t>
  </si>
  <si>
    <t>169946-1</t>
  </si>
  <si>
    <t>USP5300PAE36</t>
  </si>
  <si>
    <t>HNTOIL 7.75 11/05/2038 REGS</t>
  </si>
  <si>
    <t>HUNT OIL</t>
  </si>
  <si>
    <t>HNTOIL 7.75 11/05/2038</t>
  </si>
  <si>
    <t>US445640AD73</t>
  </si>
  <si>
    <t>40385-1</t>
  </si>
  <si>
    <t>USP53117AC40</t>
  </si>
  <si>
    <t>IMPSA 1.5 12/30/2036 REGS</t>
  </si>
  <si>
    <t>IND. METALURGICAS PESCARMONA</t>
  </si>
  <si>
    <t>IMPSA 1.5 12/30/2036</t>
  </si>
  <si>
    <t>US44970LAD91</t>
  </si>
  <si>
    <t>213322-1</t>
  </si>
  <si>
    <t>USN4523NAA20</t>
  </si>
  <si>
    <t>INCMBZ 6.5 06/15/2031 REGS TA</t>
  </si>
  <si>
    <t>861-1</t>
  </si>
  <si>
    <t>NO0010700982</t>
  </si>
  <si>
    <t>INTSPN 7.5 01/24/2019</t>
  </si>
  <si>
    <t>ORO NEGRO DRILLING</t>
  </si>
  <si>
    <t>166883-1</t>
  </si>
  <si>
    <t>USP58809BU07</t>
  </si>
  <si>
    <t>IRSAAR 8 03/31/2035 REGS</t>
  </si>
  <si>
    <t>IRSA</t>
  </si>
  <si>
    <t>IRSAAR 8 03/31/2035</t>
  </si>
  <si>
    <t>US450047AJ43</t>
  </si>
  <si>
    <t>162363-1</t>
  </si>
  <si>
    <t>US46556V2A91</t>
  </si>
  <si>
    <t>ITAU 6 02/27/2030 144A</t>
  </si>
  <si>
    <t>ITAU</t>
  </si>
  <si>
    <t>ITAU 6 02/27/2030</t>
  </si>
  <si>
    <t>US46556W2E95</t>
  </si>
  <si>
    <t>162361-1</t>
  </si>
  <si>
    <t>ITAU 6 02/27/2030 REGS</t>
  </si>
  <si>
    <t>213783-1</t>
  </si>
  <si>
    <t>USL55906AA66</t>
  </si>
  <si>
    <t>JFSABZ 8 04/23/2033 REGS</t>
  </si>
  <si>
    <t>J&amp;F</t>
  </si>
  <si>
    <t>JFSABZ 8 04/23/2033</t>
  </si>
  <si>
    <t>US46594TAA97</t>
  </si>
  <si>
    <t>159426-1</t>
  </si>
  <si>
    <t>US53222MAC64</t>
  </si>
  <si>
    <t>LIGTBZ 2.26 12/19/2037</t>
  </si>
  <si>
    <t>LIGHT</t>
  </si>
  <si>
    <t>159174-1</t>
  </si>
  <si>
    <t>US53222MAD48</t>
  </si>
  <si>
    <t>LIGTBZ 4.21 12/19/2032</t>
  </si>
  <si>
    <t>148393-1</t>
  </si>
  <si>
    <t>USA4S42PAA32</t>
  </si>
  <si>
    <t>LNZAV 7.95 01/26/2032 REGS</t>
  </si>
  <si>
    <t>LD CELULOSE</t>
  </si>
  <si>
    <t>LNZAV 7.95 01/26/2032</t>
  </si>
  <si>
    <t>32251-1</t>
  </si>
  <si>
    <t>USL626A6AA24</t>
  </si>
  <si>
    <t>MCBRAC 7.25 06/30/2031</t>
  </si>
  <si>
    <t>MC BRAZIL</t>
  </si>
  <si>
    <t>31168-1</t>
  </si>
  <si>
    <t>US58733RAF91</t>
  </si>
  <si>
    <t>MELI 3.125 01/14/2031</t>
  </si>
  <si>
    <t>MERCADOLIBRE</t>
  </si>
  <si>
    <t>166141-1</t>
  </si>
  <si>
    <t>NO0013509034</t>
  </si>
  <si>
    <t>MNGASQ 14 03/28/2029</t>
  </si>
  <si>
    <t>CM MONEGASQUE</t>
  </si>
  <si>
    <t>177899-1</t>
  </si>
  <si>
    <t>USG6211BAA82</t>
  </si>
  <si>
    <t>MOAIRJ 6.6 06/15/2035 REGS</t>
  </si>
  <si>
    <t>MONTEGO BAY AIRPORT</t>
  </si>
  <si>
    <t>MOAIRJ 6.6 06/15/2035</t>
  </si>
  <si>
    <t>US61238BAA98</t>
  </si>
  <si>
    <t>221418-1</t>
  </si>
  <si>
    <t>USP7000TAA27</t>
  </si>
  <si>
    <t>MSUGEN 9.75 06/16/2036 REGS</t>
  </si>
  <si>
    <t>MSU ENERGY</t>
  </si>
  <si>
    <t>MSUGEN 9.75 06/16/2036</t>
  </si>
  <si>
    <t>US55375GAA31</t>
  </si>
  <si>
    <t>158667-1</t>
  </si>
  <si>
    <t>USP7000QAJ96</t>
  </si>
  <si>
    <t>MSUNRG 9.75 12/05/2030 REGS</t>
  </si>
  <si>
    <t>MSUNRG 9.75 12/05/2030</t>
  </si>
  <si>
    <t>US55377JAC18</t>
  </si>
  <si>
    <t>53479-1</t>
  </si>
  <si>
    <t>USP69895AB94</t>
  </si>
  <si>
    <t>MULT 7.75 02/03/2028 REGS</t>
  </si>
  <si>
    <t>MULTIBANK</t>
  </si>
  <si>
    <t>MULT 7.75 02/03/2028</t>
  </si>
  <si>
    <t>132864-1</t>
  </si>
  <si>
    <t>MVFPSO 6.748 06/01/2034 144A</t>
  </si>
  <si>
    <t>39251-1</t>
  </si>
  <si>
    <t>USL6S52VAA02</t>
  </si>
  <si>
    <t>NATURA 6 04/19/2029 REGS</t>
  </si>
  <si>
    <t>NATURA</t>
  </si>
  <si>
    <t>NATURA 6 04/19/2029</t>
  </si>
  <si>
    <t>937-1</t>
  </si>
  <si>
    <t>USL71626AA05</t>
  </si>
  <si>
    <t>ODHGPR 8.375 09/20/2020 REGS</t>
  </si>
  <si>
    <t>OFFSHORE DRILLING HOLDING</t>
  </si>
  <si>
    <t>ODHGPR 8.375 09/20/2020</t>
  </si>
  <si>
    <t>143842-1</t>
  </si>
  <si>
    <t>USP7354FAD89</t>
  </si>
  <si>
    <t>OIBRBZ 10 06/30/2027 REGS</t>
  </si>
  <si>
    <t>OI</t>
  </si>
  <si>
    <t>OIBRBZ 10 06/30/2027</t>
  </si>
  <si>
    <t>US67117EAE86</t>
  </si>
  <si>
    <t>209274-29</t>
  </si>
  <si>
    <t>BRAPCSCRA207</t>
  </si>
  <si>
    <t>APICBZ 12.2874 10/17/2033 73-3</t>
  </si>
  <si>
    <t>RAIZEN</t>
  </si>
  <si>
    <t>209440-29</t>
  </si>
  <si>
    <t>BRAPCSCRA0T1</t>
  </si>
  <si>
    <t>APICBZ 5.4 06/15/2027 1-10</t>
  </si>
  <si>
    <t>209441-29</t>
  </si>
  <si>
    <t>BRAPCSCRA0U9</t>
  </si>
  <si>
    <t>APICBZ 5.8 06/17/2030 2-10</t>
  </si>
  <si>
    <t>226686-29</t>
  </si>
  <si>
    <t>BRAPCSCRA0M6</t>
  </si>
  <si>
    <t>APICBZ F 07/16/2029 1-6</t>
  </si>
  <si>
    <t>192041-29</t>
  </si>
  <si>
    <t>BRCSNADBS0E2</t>
  </si>
  <si>
    <t>CSNABZ F 11/10/2028 A1</t>
  </si>
  <si>
    <t>148402-39</t>
  </si>
  <si>
    <t>BBG01QGTY967</t>
  </si>
  <si>
    <t>BBEFS-11C1</t>
  </si>
  <si>
    <t>ABC</t>
  </si>
  <si>
    <t>143855-39</t>
  </si>
  <si>
    <t>CL0002944925</t>
  </si>
  <si>
    <t>BBEFS-P10A</t>
  </si>
  <si>
    <t>HITES</t>
  </si>
  <si>
    <t>148403-39</t>
  </si>
  <si>
    <t>BBG01QGTYK99</t>
  </si>
  <si>
    <t>BBEFS-P11D</t>
  </si>
  <si>
    <t>116569-39</t>
  </si>
  <si>
    <t>BBG01N2TYNC1</t>
  </si>
  <si>
    <t>BBCIS-P36A</t>
  </si>
  <si>
    <t>BCI SECURITIZADORA</t>
  </si>
  <si>
    <t>216350-1</t>
  </si>
  <si>
    <t>NO0013750935</t>
  </si>
  <si>
    <t>PAENNO 8.125 05/22/2031</t>
  </si>
  <si>
    <t>PARATUS ENERGY SERVICES</t>
  </si>
  <si>
    <t>134542-1</t>
  </si>
  <si>
    <t>NO0013256099</t>
  </si>
  <si>
    <t>PAENNO 9.5 06/27/2029</t>
  </si>
  <si>
    <t>155595-1</t>
  </si>
  <si>
    <t>USP7464EAT30</t>
  </si>
  <si>
    <t>PAMPAR 7.875 12/16/2034 REGS</t>
  </si>
  <si>
    <t>PAMPA ENERGIA</t>
  </si>
  <si>
    <t>PAMPAR 7.875 12/16/2034</t>
  </si>
  <si>
    <t>US697660AF56</t>
  </si>
  <si>
    <t>146644-1</t>
  </si>
  <si>
    <t>USP7464EAS56</t>
  </si>
  <si>
    <t>PAMPAR 7.95 09/10/2031 REGS</t>
  </si>
  <si>
    <t>PAMPAR 7.95 09/10/2031</t>
  </si>
  <si>
    <t>130578-1</t>
  </si>
  <si>
    <t>USE7S78BAC65</t>
  </si>
  <si>
    <t>PANAME 8.5 04/30/2032 REGS</t>
  </si>
  <si>
    <t>PAN AMERICAN</t>
  </si>
  <si>
    <t>PANAME 8.5 04/30/2032</t>
  </si>
  <si>
    <t>226995-1</t>
  </si>
  <si>
    <t>USP7865PAA41</t>
  </si>
  <si>
    <t>PCRD 8.5 07/28/2034 REGS</t>
  </si>
  <si>
    <t>PCRD 8.5 07/28/2034</t>
  </si>
  <si>
    <t>US71677UAA43</t>
  </si>
  <si>
    <t>132059-1</t>
  </si>
  <si>
    <t>US715604AA27</t>
  </si>
  <si>
    <t>PERLNG 5.375 03/22/2030 144A</t>
  </si>
  <si>
    <t>PERU LNG</t>
  </si>
  <si>
    <t>PERLNG 5.375 03/22/2030</t>
  </si>
  <si>
    <t>USP7721BAE13</t>
  </si>
  <si>
    <t>2382-1</t>
  </si>
  <si>
    <t>PERLNG 5.375 03/22/2030 REGS</t>
  </si>
  <si>
    <t>186586-1</t>
  </si>
  <si>
    <t>US71647NBM02</t>
  </si>
  <si>
    <t>PETBRA 5.125 09/10/2030</t>
  </si>
  <si>
    <t>146334-1</t>
  </si>
  <si>
    <t>US71647NBL29</t>
  </si>
  <si>
    <t>PETBRA 6 01/13/2035</t>
  </si>
  <si>
    <t>972-1</t>
  </si>
  <si>
    <t>US71645WAQ42</t>
  </si>
  <si>
    <t>PETBRA 6.875 01/20/2040</t>
  </si>
  <si>
    <t>2371-1</t>
  </si>
  <si>
    <t>US71645WAS08</t>
  </si>
  <si>
    <t>PETBRA 6.75 01/27/2041</t>
  </si>
  <si>
    <t>2925-1</t>
  </si>
  <si>
    <t>US71647NBG34</t>
  </si>
  <si>
    <t>PETBRA 6.75 06/03/2050</t>
  </si>
  <si>
    <t>971-1</t>
  </si>
  <si>
    <t>US71647NAN93</t>
  </si>
  <si>
    <t>PETBRA 6.85 06/05/2115</t>
  </si>
  <si>
    <t>973-1</t>
  </si>
  <si>
    <t>US71647NBD03</t>
  </si>
  <si>
    <t>PETBRA 6.9 03/19/2049</t>
  </si>
  <si>
    <t>974-1</t>
  </si>
  <si>
    <t>US71647NAK54</t>
  </si>
  <si>
    <t>PETBRA 7.25 03/17/2044</t>
  </si>
  <si>
    <t>30387-1</t>
  </si>
  <si>
    <t>USL7909CAA55</t>
  </si>
  <si>
    <t>RAIZBZ 5.3 01/20/2027 REGS</t>
  </si>
  <si>
    <t>RAIZBZ 5.3 01/20/2027</t>
  </si>
  <si>
    <t>147225-1</t>
  </si>
  <si>
    <t>USL7909CAE77</t>
  </si>
  <si>
    <t>RAIZBZ 5.7 01/17/2035 REGS</t>
  </si>
  <si>
    <t>RAIZBZ 5.7 01/17/2035</t>
  </si>
  <si>
    <t>179346-1</t>
  </si>
  <si>
    <t>USL7909CAJ64</t>
  </si>
  <si>
    <t>RAIZBZ 6.25 07/08/2032 REGS</t>
  </si>
  <si>
    <t>RAIZBZ 6.25 07/08/2032</t>
  </si>
  <si>
    <t>123482-1</t>
  </si>
  <si>
    <t>USL7909CAC12</t>
  </si>
  <si>
    <t>RAIZBZ 6.45 03/05/2034 REGS</t>
  </si>
  <si>
    <t>RAIZBZ 6.45 03/05/2034</t>
  </si>
  <si>
    <t>205495-1</t>
  </si>
  <si>
    <t>US75102XAE67</t>
  </si>
  <si>
    <t>RAIZBZ 6.7 02/25/2037 144A</t>
  </si>
  <si>
    <t>RAIZBZ 6.7 02/25/2037</t>
  </si>
  <si>
    <t>USL7909CAG26</t>
  </si>
  <si>
    <t>52960-38</t>
  </si>
  <si>
    <t>CL0002803824</t>
  </si>
  <si>
    <t>BULLA-A</t>
  </si>
  <si>
    <t>AZUL AZUL</t>
  </si>
  <si>
    <t>3630-38</t>
  </si>
  <si>
    <t>CL0002620426</t>
  </si>
  <si>
    <t>BADAL-B</t>
  </si>
  <si>
    <t>AGUAS DEL ALTIPLANO</t>
  </si>
  <si>
    <t>3631-38</t>
  </si>
  <si>
    <t>CL0002620434</t>
  </si>
  <si>
    <t>BAMAG-A</t>
  </si>
  <si>
    <t>AGUAS MAGALLANES</t>
  </si>
  <si>
    <t>43207-38</t>
  </si>
  <si>
    <t>CL0002780022</t>
  </si>
  <si>
    <t>BBEFS-PS7A</t>
  </si>
  <si>
    <t>IANSA</t>
  </si>
  <si>
    <t>2633-38</t>
  </si>
  <si>
    <t>CL0002460021</t>
  </si>
  <si>
    <t>BCALI-A</t>
  </si>
  <si>
    <t>CALICHERA</t>
  </si>
  <si>
    <t>17097-38</t>
  </si>
  <si>
    <t>CL0002444389</t>
  </si>
  <si>
    <t>BDRMS-D</t>
  </si>
  <si>
    <t>DREAMS</t>
  </si>
  <si>
    <t>17099-38</t>
  </si>
  <si>
    <t>CL0002464502</t>
  </si>
  <si>
    <t>BDRMS-E</t>
  </si>
  <si>
    <t>101952-38</t>
  </si>
  <si>
    <t>CL0002839489</t>
  </si>
  <si>
    <t>BHER 5.5 01/20/2029 AA</t>
  </si>
  <si>
    <t>CAJA COMPENSACION LOS HEROES</t>
  </si>
  <si>
    <t>51546-38</t>
  </si>
  <si>
    <t>CL0002788082</t>
  </si>
  <si>
    <t>BLATM-F</t>
  </si>
  <si>
    <t>2976-38</t>
  </si>
  <si>
    <t>CL0002604818</t>
  </si>
  <si>
    <t>BVOLS-A2</t>
  </si>
  <si>
    <t>VOLCOM SECURITIZADORA</t>
  </si>
  <si>
    <t>145611-38</t>
  </si>
  <si>
    <t>BBG01PNQK123</t>
  </si>
  <si>
    <t>BVOLS-A3</t>
  </si>
  <si>
    <t>628-38</t>
  </si>
  <si>
    <t>CL0002430123</t>
  </si>
  <si>
    <t>BLCON-F</t>
  </si>
  <si>
    <t>CLINICA LAS CONDES</t>
  </si>
  <si>
    <t>2283-38</t>
  </si>
  <si>
    <t>CL0001516427</t>
  </si>
  <si>
    <t>BSALF-B</t>
  </si>
  <si>
    <t>SALFACORP</t>
  </si>
  <si>
    <t>1584-41</t>
  </si>
  <si>
    <t>USP9379RAZ03</t>
  </si>
  <si>
    <t>EEPPME 8.375 11/08/2027 REGS</t>
  </si>
  <si>
    <t>EE.PP.MEDELLIN</t>
  </si>
  <si>
    <t>EEPPME 8.375 11/08/2027</t>
  </si>
  <si>
    <t>213784-1</t>
  </si>
  <si>
    <t>USP0091LAE67</t>
  </si>
  <si>
    <t>AES 6.25 11/14/2034 REGS</t>
  </si>
  <si>
    <t>AES ANDES</t>
  </si>
  <si>
    <t>AES 6.25 11/14/2034</t>
  </si>
  <si>
    <t>123483-1</t>
  </si>
  <si>
    <t>USL7909CAD94</t>
  </si>
  <si>
    <t>RAIZBZ 6.95 03/05/2054 REGS</t>
  </si>
  <si>
    <t>RAIZBZ 6.95 03/05/2054</t>
  </si>
  <si>
    <t>1653-1</t>
  </si>
  <si>
    <t>USL7915RAA43</t>
  </si>
  <si>
    <t>RDEDOR 4.95 01/17/2028 REGS</t>
  </si>
  <si>
    <t>REDE DOR SAO LUIZ</t>
  </si>
  <si>
    <t>RDEDOR 4.95 01/17/2028</t>
  </si>
  <si>
    <t>1062-1</t>
  </si>
  <si>
    <t>USU76673AC39</t>
  </si>
  <si>
    <t>RIOOIL 8.2 04/06/2028 REGS</t>
  </si>
  <si>
    <t>RIO OIL</t>
  </si>
  <si>
    <t>RIOOIL 8.2 04/06/2028</t>
  </si>
  <si>
    <t>132062-1</t>
  </si>
  <si>
    <t>SAMMIN 9 06/30/2031 144A</t>
  </si>
  <si>
    <t>203890-1</t>
  </si>
  <si>
    <t>USL70906AA73</t>
  </si>
  <si>
    <t>SBSPAB 5.75 02/03/2031 REGS</t>
  </si>
  <si>
    <t>CIA. SANEAMENTO BASICO EST. SP</t>
  </si>
  <si>
    <t>SBSPAB 5.75 02/03/2031</t>
  </si>
  <si>
    <t>US66984FAA57</t>
  </si>
  <si>
    <t>203892-1</t>
  </si>
  <si>
    <t>USL70906AB56</t>
  </si>
  <si>
    <t>SBSPAB 6.5 02/03/2036 REGS</t>
  </si>
  <si>
    <t>SBSPAB 6.5 02/03/2036</t>
  </si>
  <si>
    <t>US66984FAB31</t>
  </si>
  <si>
    <t>203105-1</t>
  </si>
  <si>
    <t>USG7849KAB47</t>
  </si>
  <si>
    <t>SCCPWR 8 12/31/2028 REGS</t>
  </si>
  <si>
    <t>SSC POWER PLC</t>
  </si>
  <si>
    <t>SCCPWR 8 12/31/2028</t>
  </si>
  <si>
    <t>119726-1</t>
  </si>
  <si>
    <t>NO0013134759</t>
  </si>
  <si>
    <t>SEAPT 16 01/29/2027</t>
  </si>
  <si>
    <t>SEACREST PETROLEO</t>
  </si>
  <si>
    <t>202993-1</t>
  </si>
  <si>
    <t>USP9028NCE96</t>
  </si>
  <si>
    <t>TECOAR 8.5 01/20/2036 REGS</t>
  </si>
  <si>
    <t>TELECOM ARGENTINA</t>
  </si>
  <si>
    <t>TECOAR 8.5 01/20/2036</t>
  </si>
  <si>
    <t>US879273AW09</t>
  </si>
  <si>
    <t>173052-1</t>
  </si>
  <si>
    <t>USP9028NCA74</t>
  </si>
  <si>
    <t>TECOAR 9.25 05/28/2033 REGS</t>
  </si>
  <si>
    <t>TECOAR 9.25 05/28/2033</t>
  </si>
  <si>
    <t>US879273AV26</t>
  </si>
  <si>
    <t>139012-1</t>
  </si>
  <si>
    <t>USP9028NBT74</t>
  </si>
  <si>
    <t>TECOAR 9.5 07/18/2031 REGS</t>
  </si>
  <si>
    <t>TECOAR 9.5 07/18/2031</t>
  </si>
  <si>
    <t>US879273AU43</t>
  </si>
  <si>
    <t>159686-1</t>
  </si>
  <si>
    <t>USP90187AR99</t>
  </si>
  <si>
    <t>TECPET 7.625 01/22/2033 REGS</t>
  </si>
  <si>
    <t>TECPETROL</t>
  </si>
  <si>
    <t>TECPET 7.625 01/22/2033</t>
  </si>
  <si>
    <t>US87876TAG94</t>
  </si>
  <si>
    <t>192587-1</t>
  </si>
  <si>
    <t>USP90187AT55</t>
  </si>
  <si>
    <t>TECPET 7.625 11/03/2030 REGS</t>
  </si>
  <si>
    <t>TECPET 7.625 11/03/2030</t>
  </si>
  <si>
    <t>913-1</t>
  </si>
  <si>
    <t>USL6388GAB60</t>
  </si>
  <si>
    <t>TIGO 5.125 01/15/2028 REGS</t>
  </si>
  <si>
    <t>TIGO 5.125 01/15/2028</t>
  </si>
  <si>
    <t>195282-1</t>
  </si>
  <si>
    <t>USP9308RBB89</t>
  </si>
  <si>
    <t>TRAGAS 7.75 11/20/2035 REGS</t>
  </si>
  <si>
    <t>TRANSPORTADORA GAS SUR</t>
  </si>
  <si>
    <t>TRAGAS 7.75 11/20/2035</t>
  </si>
  <si>
    <t>139465-1</t>
  </si>
  <si>
    <t>USP9308RBA07</t>
  </si>
  <si>
    <t>TRAGAS 8.5 07/24/2031 REGS</t>
  </si>
  <si>
    <t>TRAGAS 8.5 07/24/2031</t>
  </si>
  <si>
    <t>US893870AY13</t>
  </si>
  <si>
    <t>2222-1</t>
  </si>
  <si>
    <t>USP92649AA39</t>
  </si>
  <si>
    <t>TRAJAM 5.75 10/10/2036 REGS</t>
  </si>
  <si>
    <t>TRANSJAMAICAN HIGHWAY</t>
  </si>
  <si>
    <t>TRAJAM 5.75 10/10/2036</t>
  </si>
  <si>
    <t>MLCC (Geneva)</t>
  </si>
  <si>
    <t>33420-1</t>
  </si>
  <si>
    <t>US00786PAC86</t>
  </si>
  <si>
    <t>AEROAR 6.875 02/01/2027 144A</t>
  </si>
  <si>
    <t>USP0092MAE32,USP0092MAF07</t>
  </si>
  <si>
    <t>3663-1</t>
  </si>
  <si>
    <t>USP0608AAB28</t>
  </si>
  <si>
    <t>AES 4.375 05/31/2030 REGS</t>
  </si>
  <si>
    <t>AES PANAMA</t>
  </si>
  <si>
    <t>AES 4.375 05/31/2030</t>
  </si>
  <si>
    <t>36161-1</t>
  </si>
  <si>
    <t>USP01020AK52</t>
  </si>
  <si>
    <t>AGROSU 4.6 01/20/2032</t>
  </si>
  <si>
    <t>AGROSUPER</t>
  </si>
  <si>
    <t>34542-1</t>
  </si>
  <si>
    <t>USP0R60QAA15</t>
  </si>
  <si>
    <t>ALFACL 4.55 09/27/2051 REGS</t>
  </si>
  <si>
    <t>ALFA DESARROLLO</t>
  </si>
  <si>
    <t>ALFACL 4.55 09/27/2051</t>
  </si>
  <si>
    <t>40901-1</t>
  </si>
  <si>
    <t>USG0399BAA55</t>
  </si>
  <si>
    <t>ANTOLN 5.625 05/13/2032 REGS</t>
  </si>
  <si>
    <t>ANTOFAGASTA MINERALS</t>
  </si>
  <si>
    <t>ANTOLN 5.625 05/13/2032</t>
  </si>
  <si>
    <t>130725-1</t>
  </si>
  <si>
    <t>USG0399BAB39</t>
  </si>
  <si>
    <t>ANTOLN 6.25 05/02/2034 REGS</t>
  </si>
  <si>
    <t>ANTOLN 6.25 05/02/2034</t>
  </si>
  <si>
    <t>124645-1</t>
  </si>
  <si>
    <t>USP2000TAE57</t>
  </si>
  <si>
    <t>BANBRA 6 03/18/2031 REGS</t>
  </si>
  <si>
    <t>BANBRA 6 03/18/2031</t>
  </si>
  <si>
    <t>154802-1</t>
  </si>
  <si>
    <t>BANORT 8.375 PERP REGs</t>
  </si>
  <si>
    <t>31637-1</t>
  </si>
  <si>
    <t>USP2316YAA12</t>
  </si>
  <si>
    <t>BCAPS 3.9 04/27/2031 REGS</t>
  </si>
  <si>
    <t>CAP</t>
  </si>
  <si>
    <t>BCAPS 3.9 04/27/2031</t>
  </si>
  <si>
    <t>31484-1</t>
  </si>
  <si>
    <t>US05971V2D64</t>
  </si>
  <si>
    <t>BCP 3.25 09/30/2031 REGS</t>
  </si>
  <si>
    <t>BCP 3.25 09/30/2031</t>
  </si>
  <si>
    <t>146333-1</t>
  </si>
  <si>
    <t>US05971V2H78</t>
  </si>
  <si>
    <t>BCP V5.8 03/10/2035 REGS</t>
  </si>
  <si>
    <t>BCP V5.8 03/10/2035</t>
  </si>
  <si>
    <t>169264-1</t>
  </si>
  <si>
    <t>US05971V2J35</t>
  </si>
  <si>
    <t>BCP V6.45 07/30/2035 REGS</t>
  </si>
  <si>
    <t>BCP V6.45 07/30/2035</t>
  </si>
  <si>
    <t>31807-1</t>
  </si>
  <si>
    <t>USU0901RAA50</t>
  </si>
  <si>
    <t>BIMBOA 4 05/17/2051 REGS</t>
  </si>
  <si>
    <t>BIMBO</t>
  </si>
  <si>
    <t>BIMBOA 4 05/17/2051</t>
  </si>
  <si>
    <t>30609-1</t>
  </si>
  <si>
    <t>USP13296AM37</t>
  </si>
  <si>
    <t>BINBUR 4.375 04/11/2027 REGS</t>
  </si>
  <si>
    <t>BANCO INBURSA</t>
  </si>
  <si>
    <t>BINBUR 4.375 04/11/2027</t>
  </si>
  <si>
    <t>171266-1</t>
  </si>
  <si>
    <t>USP14519AA30</t>
  </si>
  <si>
    <t>BNCE 5.875 05/07/2030 REGS</t>
  </si>
  <si>
    <t>BNCE 5.875 05/07/2030</t>
  </si>
  <si>
    <t>219584-1</t>
  </si>
  <si>
    <t>BORRNO 8.75 01/15/2032 REGS</t>
  </si>
  <si>
    <t>219585-1</t>
  </si>
  <si>
    <t>BORRNO 9 01/15/2034 REGS</t>
  </si>
  <si>
    <t>4240-1</t>
  </si>
  <si>
    <t>USN15516AE23</t>
  </si>
  <si>
    <t>BRASKM 5.875 01/31/2050 REGS</t>
  </si>
  <si>
    <t>BRASKM 5.875 01/31/2050</t>
  </si>
  <si>
    <t>4221-1</t>
  </si>
  <si>
    <t>USP1905CAJ91</t>
  </si>
  <si>
    <t>BRFSBZ 5.75 09/21/2050 REGS</t>
  </si>
  <si>
    <t>BRFSBZ 5.75 09/21/2050</t>
  </si>
  <si>
    <t>159230-1</t>
  </si>
  <si>
    <t>USP3143NBV57</t>
  </si>
  <si>
    <t>CDEL 6.33 01/13/2035 REGS</t>
  </si>
  <si>
    <t>CODELCO</t>
  </si>
  <si>
    <t>CDEL 6.33 01/13/2035</t>
  </si>
  <si>
    <t>159228-1</t>
  </si>
  <si>
    <t>USP3143NBW31</t>
  </si>
  <si>
    <t>CDEL 6.78 01/13/2055 REGS</t>
  </si>
  <si>
    <t>CDEL 6.78 01/13/2055</t>
  </si>
  <si>
    <t>171267-1</t>
  </si>
  <si>
    <t>USP2195VBA28</t>
  </si>
  <si>
    <t>CELARA 6.18 05/05/2032 REGS</t>
  </si>
  <si>
    <t>CELULOSA ARAUCO</t>
  </si>
  <si>
    <t>CELARA 6.18 05/05/2032</t>
  </si>
  <si>
    <t>132870-1</t>
  </si>
  <si>
    <t>USP2205JAT71</t>
  </si>
  <si>
    <t>CENSUD 5.95 05/28/2031 REGS</t>
  </si>
  <si>
    <t>CENCOSUD</t>
  </si>
  <si>
    <t>CENSUD 5.95 05/28/2031</t>
  </si>
  <si>
    <t>30618-1</t>
  </si>
  <si>
    <t>USP2205JAL46</t>
  </si>
  <si>
    <t>CENSUD 6.625 02/12/2045 REGS</t>
  </si>
  <si>
    <t>CENSUD 6.625 02/12/2045</t>
  </si>
  <si>
    <t>147839-1</t>
  </si>
  <si>
    <t>USP30179CR77</t>
  </si>
  <si>
    <t>CFELEC 6.45 01/24/2035 REGS</t>
  </si>
  <si>
    <t>CFELEC 6.45 01/24/2035</t>
  </si>
  <si>
    <t>96446-1</t>
  </si>
  <si>
    <t>USP58072AX05</t>
  </si>
  <si>
    <t>CMPCCI 6.125 06/23/2033 REGS</t>
  </si>
  <si>
    <t>CMPCCI 6.125 06/23/2033</t>
  </si>
  <si>
    <t>160999-1</t>
  </si>
  <si>
    <t>USL9467UAE75</t>
  </si>
  <si>
    <t>UNIGEL 11 12/31/2028 REGS</t>
  </si>
  <si>
    <t>UNIGEL</t>
  </si>
  <si>
    <t>UNIGEL 11 12/31/2028</t>
  </si>
  <si>
    <t>159992-1</t>
  </si>
  <si>
    <t>USL95806AB88</t>
  </si>
  <si>
    <t>USIM 7.5 01/27/2032 REGS</t>
  </si>
  <si>
    <t>USIMINAS</t>
  </si>
  <si>
    <t>USIM 7.5 01/27/2032</t>
  </si>
  <si>
    <t>US91734JAB61</t>
  </si>
  <si>
    <t>189331-1</t>
  </si>
  <si>
    <t>USL96308AA64</t>
  </si>
  <si>
    <t>VAMOBZ 9.2 01/26/2031 REGS</t>
  </si>
  <si>
    <t>VAMOS</t>
  </si>
  <si>
    <t>VAMOBZ 9.2 01/26/2031</t>
  </si>
  <si>
    <t>US92049NAA72</t>
  </si>
  <si>
    <t>155346-1</t>
  </si>
  <si>
    <t>USP9659RAA60</t>
  </si>
  <si>
    <t>VISTAA 7.625 12/10/2035 REGS</t>
  </si>
  <si>
    <t>VISTA OIL &amp; GAS</t>
  </si>
  <si>
    <t>VISTAA 7.625 12/10/2035</t>
  </si>
  <si>
    <t>US92841RAA86</t>
  </si>
  <si>
    <t>176271-1</t>
  </si>
  <si>
    <t>USP9659RAB44</t>
  </si>
  <si>
    <t>VISTAA 8.5 06/10/2033 REGS</t>
  </si>
  <si>
    <t>VISTAA 8.5 06/10/2033</t>
  </si>
  <si>
    <t>126886-1</t>
  </si>
  <si>
    <t>NO0013187179</t>
  </si>
  <si>
    <t>VTURAM 10 04/19/2027</t>
  </si>
  <si>
    <t>PS MARINE HOLDING</t>
  </si>
  <si>
    <t>1144-1</t>
  </si>
  <si>
    <t>USP989MJBL47</t>
  </si>
  <si>
    <t>YPFDAR 6.95 07/21/2027 REGS</t>
  </si>
  <si>
    <t>YPFDAR 6.95 07/21/2027</t>
  </si>
  <si>
    <t>1145-1</t>
  </si>
  <si>
    <t>USP989MJBN03</t>
  </si>
  <si>
    <t>YPFDAR 7 12/15/2047 REGS</t>
  </si>
  <si>
    <t>YPFDAR 7 12/15/2047</t>
  </si>
  <si>
    <t>159225-1</t>
  </si>
  <si>
    <t>USP989MJBY67</t>
  </si>
  <si>
    <t>YPFDAR 8.25 01/17/2034 REGS</t>
  </si>
  <si>
    <t>YPFDAR 8.25 01/17/2034</t>
  </si>
  <si>
    <t>US984245BB55</t>
  </si>
  <si>
    <t>1147-1</t>
  </si>
  <si>
    <t>USP989MJBP50</t>
  </si>
  <si>
    <t>YPFDAR 8.5 06/27/2029 REGS</t>
  </si>
  <si>
    <t>YPFDAR 8.5 06/27/2029</t>
  </si>
  <si>
    <t>146385-1</t>
  </si>
  <si>
    <t>US984245AY67</t>
  </si>
  <si>
    <t>YPFDAR 8.75 09/11/2031 144A</t>
  </si>
  <si>
    <t>YPFDAR 8.75 09/11/2031</t>
  </si>
  <si>
    <t>USP989MJBV29</t>
  </si>
  <si>
    <t>146386-1</t>
  </si>
  <si>
    <t>YPFDAR 8.75 09/11/2031 REGS</t>
  </si>
  <si>
    <t>118893-1</t>
  </si>
  <si>
    <t>USP989MJBU46</t>
  </si>
  <si>
    <t>YPFDAR 9.5 01/17/2031 REGS</t>
  </si>
  <si>
    <t>YPFDAR 9.5 01/17/2031</t>
  </si>
  <si>
    <t>149417-1</t>
  </si>
  <si>
    <t>USP9897PAS31</t>
  </si>
  <si>
    <t>YPFLUZ 7.875 10/16/2032 REGS</t>
  </si>
  <si>
    <t>YPF ENERGIA ELECTRICA</t>
  </si>
  <si>
    <t>YPFLUZ 7.875 10/16/2032</t>
  </si>
  <si>
    <t>US98424MAB90</t>
  </si>
  <si>
    <t>176141-1</t>
  </si>
  <si>
    <t>USN97336AA49</t>
  </si>
  <si>
    <t>YPMQBR 8.498 01/31/2045 REGS</t>
  </si>
  <si>
    <t>YPMQBR 8.498 01/31/2045</t>
  </si>
  <si>
    <t>US98585VAA61</t>
  </si>
  <si>
    <t>3816-1</t>
  </si>
  <si>
    <t>US040114HU71</t>
  </si>
  <si>
    <t>ARGENT 2 01/09/2038</t>
  </si>
  <si>
    <t>132867-1</t>
  </si>
  <si>
    <t>AR0314171247</t>
  </si>
  <si>
    <t>BOPREA 5 10/31/2027 1D</t>
  </si>
  <si>
    <t>695-1</t>
  </si>
  <si>
    <t>XS1422866456</t>
  </si>
  <si>
    <t>BUEAIR 7.5 06/01/2027 REGS</t>
  </si>
  <si>
    <t>CITY OF BUENOS AIRES</t>
  </si>
  <si>
    <t>BUEAIR 7.5 06/01/2027</t>
  </si>
  <si>
    <t>216183-1</t>
  </si>
  <si>
    <t>USP1911JAE75</t>
  </si>
  <si>
    <t>BUEAIR 7.05 05/13/2036 REGS</t>
  </si>
  <si>
    <t>BUEAIR 7.05 05/13/2036</t>
  </si>
  <si>
    <t>US11942GAF90</t>
  </si>
  <si>
    <t>195836-1</t>
  </si>
  <si>
    <t>XS3237223311</t>
  </si>
  <si>
    <t>BUEAIR 7.8 11/26/33 REGS</t>
  </si>
  <si>
    <t>BUEAIR 7.8 11/26/33</t>
  </si>
  <si>
    <t>US11943HAD17</t>
  </si>
  <si>
    <t>214282-1</t>
  </si>
  <si>
    <t>USP25619AC41</t>
  </si>
  <si>
    <t>CHUBUT 9.45 04/29/2036 REGS</t>
  </si>
  <si>
    <t>PROVINCIA DEL CHUBUT</t>
  </si>
  <si>
    <t>CHUBUT 9.45 04/29/2036</t>
  </si>
  <si>
    <t>US17127LAB18</t>
  </si>
  <si>
    <t>876-1</t>
  </si>
  <si>
    <t>XS1686882298</t>
  </si>
  <si>
    <t>JUJUYA 8.375 03/20/2027</t>
  </si>
  <si>
    <t>PROVINCE OF JUJUY</t>
  </si>
  <si>
    <t>4002-1</t>
  </si>
  <si>
    <t>USP6480JAH07</t>
  </si>
  <si>
    <t>MENDOZ 5.75 03/19/2029 REGS</t>
  </si>
  <si>
    <t>PROVINCIA MENDOZA</t>
  </si>
  <si>
    <t>MENDOZ 5.75 03/19/2029</t>
  </si>
  <si>
    <t>29843-1</t>
  </si>
  <si>
    <t>USP79171AF45</t>
  </si>
  <si>
    <t>PDCAR 6.875 02/01/2029 REGS</t>
  </si>
  <si>
    <t>PDCAR 6.875 02/01/2029</t>
  </si>
  <si>
    <t>US74408DAE40</t>
  </si>
  <si>
    <t>133014-1</t>
  </si>
  <si>
    <t>PDCAR 6.875 02/01/2029 144A</t>
  </si>
  <si>
    <t>176138-1</t>
  </si>
  <si>
    <t>USP79171AG28</t>
  </si>
  <si>
    <t>PDCAR 9.75 07/02/2032 REGS</t>
  </si>
  <si>
    <t>PDCAR 9.75 07/02/2032</t>
  </si>
  <si>
    <t>US74408DAF15</t>
  </si>
  <si>
    <t>981-1</t>
  </si>
  <si>
    <t>USP7920RCL70</t>
  </si>
  <si>
    <t>PRN 6.875 03/10/2028 REGS</t>
  </si>
  <si>
    <t>PROVINCIA RIO NEGRO</t>
  </si>
  <si>
    <t>PRN 6.875 03/10/2028</t>
  </si>
  <si>
    <t>1068-1</t>
  </si>
  <si>
    <t>USP8388TAB00</t>
  </si>
  <si>
    <t>SALTA 8.5 12/01/2027 REGS</t>
  </si>
  <si>
    <t>PROVINCIA DE SALTA</t>
  </si>
  <si>
    <t>SALTA 8.5 12/01/2027</t>
  </si>
  <si>
    <t>MDCH</t>
  </si>
  <si>
    <t>116227-39</t>
  </si>
  <si>
    <t>CL0002893148</t>
  </si>
  <si>
    <t>BBNSAB0623</t>
  </si>
  <si>
    <t>SCOTIABANK</t>
  </si>
  <si>
    <t>118345-39</t>
  </si>
  <si>
    <t>CL0002893155</t>
  </si>
  <si>
    <t>BBNSAC0623</t>
  </si>
  <si>
    <t>135593-39</t>
  </si>
  <si>
    <t>CL0002879766</t>
  </si>
  <si>
    <t>BBCIV10723</t>
  </si>
  <si>
    <t>91779-39</t>
  </si>
  <si>
    <t xml:space="preserve">CL0002812213        </t>
  </si>
  <si>
    <t>BCNOEF0422</t>
  </si>
  <si>
    <t>BANCO CONSORCIO</t>
  </si>
  <si>
    <t>52890-39</t>
  </si>
  <si>
    <t>CL0002812221</t>
  </si>
  <si>
    <t>BCNOEG0422</t>
  </si>
  <si>
    <t>91765-39</t>
  </si>
  <si>
    <t xml:space="preserve">CL0002766914        </t>
  </si>
  <si>
    <t>BBIC820422</t>
  </si>
  <si>
    <t>BANCO BICE</t>
  </si>
  <si>
    <t>120832-39</t>
  </si>
  <si>
    <t xml:space="preserve">CL0002815604        </t>
  </si>
  <si>
    <t>BSTDA21222</t>
  </si>
  <si>
    <t>BANCO SANTANDER</t>
  </si>
  <si>
    <t>194648-39</t>
  </si>
  <si>
    <t>CL0002116292</t>
  </si>
  <si>
    <t>BCORCF0914</t>
  </si>
  <si>
    <t>ITAUCORP</t>
  </si>
  <si>
    <t>203888-39</t>
  </si>
  <si>
    <t>CL0002940386</t>
  </si>
  <si>
    <t>BITADT1122</t>
  </si>
  <si>
    <t>195284-39</t>
  </si>
  <si>
    <t>CL0002940295</t>
  </si>
  <si>
    <t>BITADR0223</t>
  </si>
  <si>
    <t>143858-39</t>
  </si>
  <si>
    <t xml:space="preserve">CL0002810308        </t>
  </si>
  <si>
    <t>BBNSBO0822</t>
  </si>
  <si>
    <t>121310-38</t>
  </si>
  <si>
    <t>CL0002752609</t>
  </si>
  <si>
    <t>BESTAD0920</t>
  </si>
  <si>
    <t>16599-38</t>
  </si>
  <si>
    <t>CL0001872788</t>
  </si>
  <si>
    <t>BARAU-P</t>
  </si>
  <si>
    <t>526-38</t>
  </si>
  <si>
    <t>CL0002322056</t>
  </si>
  <si>
    <t>BARAU-S</t>
  </si>
  <si>
    <t>16604-38</t>
  </si>
  <si>
    <t>CL0002481738</t>
  </si>
  <si>
    <t>BARAU-W</t>
  </si>
  <si>
    <t>15620-38</t>
  </si>
  <si>
    <t>CL0002444801</t>
  </si>
  <si>
    <t>BBCIF50418</t>
  </si>
  <si>
    <t>46051-38</t>
  </si>
  <si>
    <t>CL0002726959</t>
  </si>
  <si>
    <t>BBCIP41021</t>
  </si>
  <si>
    <t>150527-38</t>
  </si>
  <si>
    <t>CL0002942176</t>
  </si>
  <si>
    <t>BCICI 3.5 11/01/2031 X4</t>
  </si>
  <si>
    <t>104489-38</t>
  </si>
  <si>
    <t xml:space="preserve">CL0002766500        </t>
  </si>
  <si>
    <t>BBIC840522</t>
  </si>
  <si>
    <t>29100-38</t>
  </si>
  <si>
    <t>CL0002498880</t>
  </si>
  <si>
    <t>BBNSAO0918</t>
  </si>
  <si>
    <t>46064-38</t>
  </si>
  <si>
    <t>CL0002642347</t>
  </si>
  <si>
    <t>BBNSAY0620</t>
  </si>
  <si>
    <t>3480-38</t>
  </si>
  <si>
    <t>CL0001975185</t>
  </si>
  <si>
    <t>BCFSA-J</t>
  </si>
  <si>
    <t>CONSORCIO FINANCIERO</t>
  </si>
  <si>
    <t>6153-38</t>
  </si>
  <si>
    <t>CL0002276583</t>
  </si>
  <si>
    <t>BCHIBP1215</t>
  </si>
  <si>
    <t>BANCO CHILE</t>
  </si>
  <si>
    <t>148391-1</t>
  </si>
  <si>
    <t>USG77636AE14</t>
  </si>
  <si>
    <t>CWCLN 7.125 10/15/2032 REGS</t>
  </si>
  <si>
    <t>CABLE &amp; WIRELESS</t>
  </si>
  <si>
    <t>CWCLN 7.125 10/15/2032</t>
  </si>
  <si>
    <t>186437-1</t>
  </si>
  <si>
    <t>NO0013647701</t>
  </si>
  <si>
    <t>DOFGRP 8.125 09/16/2030</t>
  </si>
  <si>
    <t>DOF SUBSEA ASA</t>
  </si>
  <si>
    <t>129275-1</t>
  </si>
  <si>
    <t>USP3762TAE12</t>
  </si>
  <si>
    <t>ECLCI 6.375 04/17/2034 REGS</t>
  </si>
  <si>
    <t>ENGIE ENERGIA CHILE</t>
  </si>
  <si>
    <t>ECLCI 6.375 04/17/2034</t>
  </si>
  <si>
    <t>119540-38</t>
  </si>
  <si>
    <t>CL0002801802</t>
  </si>
  <si>
    <t>BCHIEZ1121</t>
  </si>
  <si>
    <t>139011-38</t>
  </si>
  <si>
    <t>CL0002801927</t>
  </si>
  <si>
    <t>BCHIFC0721</t>
  </si>
  <si>
    <t>95328-38</t>
  </si>
  <si>
    <t xml:space="preserve">CL0002802529        </t>
  </si>
  <si>
    <t>BCHIGB0322</t>
  </si>
  <si>
    <t>179674-38</t>
  </si>
  <si>
    <t>CL0003012300</t>
  </si>
  <si>
    <t>BCNOFG0225</t>
  </si>
  <si>
    <t>123639-38</t>
  </si>
  <si>
    <t>CL0002883750</t>
  </si>
  <si>
    <t>BCNOEP0423</t>
  </si>
  <si>
    <t>97744-38</t>
  </si>
  <si>
    <t>CL0002847714</t>
  </si>
  <si>
    <t>BCNOEH1022</t>
  </si>
  <si>
    <t>34543-1</t>
  </si>
  <si>
    <t>USP37115AH81</t>
  </si>
  <si>
    <t>ENTEL 3.05 09/14/2032 REGS</t>
  </si>
  <si>
    <t>ENTEL</t>
  </si>
  <si>
    <t>ENTEL 3.05 09/14/2032</t>
  </si>
  <si>
    <t>107067-38</t>
  </si>
  <si>
    <t>CL0002875673</t>
  </si>
  <si>
    <t>BENAE-D</t>
  </si>
  <si>
    <t>ENAEX</t>
  </si>
  <si>
    <t>17126-38</t>
  </si>
  <si>
    <t>CL0002358472</t>
  </si>
  <si>
    <t>BENAP-F</t>
  </si>
  <si>
    <t>ENAP</t>
  </si>
  <si>
    <t>17128-38</t>
  </si>
  <si>
    <t>CL0001230284</t>
  </si>
  <si>
    <t>BENDE-H</t>
  </si>
  <si>
    <t>ENEL GENERACION CHILE</t>
  </si>
  <si>
    <t>31472-38</t>
  </si>
  <si>
    <t>CL0002669175</t>
  </si>
  <si>
    <t>BESMX-B</t>
  </si>
  <si>
    <t>ESMAX</t>
  </si>
  <si>
    <t>120373-38</t>
  </si>
  <si>
    <t>CL0002790476</t>
  </si>
  <si>
    <t>BESTBC1022</t>
  </si>
  <si>
    <t>139469-38</t>
  </si>
  <si>
    <t>BFORU-CQ</t>
  </si>
  <si>
    <t>FORUM SERVICIOS FINANCIEROS</t>
  </si>
  <si>
    <t>215024-1</t>
  </si>
  <si>
    <t>USP46224AA20</t>
  </si>
  <si>
    <t>GATUNP 6.874 09/30/2044 REGS</t>
  </si>
  <si>
    <t>GENERADORA DE GATUN</t>
  </si>
  <si>
    <t>GATUNP 6.874 09/30/2044</t>
  </si>
  <si>
    <t>30386-1</t>
  </si>
  <si>
    <t>USG2440JAG07</t>
  </si>
  <si>
    <t>GGBRBZ 7.25 04/16/2044 REGS</t>
  </si>
  <si>
    <t>GERDAU</t>
  </si>
  <si>
    <t>GGBRBZ 7.25 04/16/2044</t>
  </si>
  <si>
    <t>30661-1</t>
  </si>
  <si>
    <t>USP47718AE43</t>
  </si>
  <si>
    <t>GLBACO 5.25 04/16/2029 REGS</t>
  </si>
  <si>
    <t>GLOBAL BANK</t>
  </si>
  <si>
    <t>GLBACO 5.25 04/16/2029</t>
  </si>
  <si>
    <t>46122-38</t>
  </si>
  <si>
    <t>CL0002655547</t>
  </si>
  <si>
    <t>BINTAF1220</t>
  </si>
  <si>
    <t>BANCO INTERNACIONAL</t>
  </si>
  <si>
    <t>46124-38</t>
  </si>
  <si>
    <t>CL0002655562</t>
  </si>
  <si>
    <t>BINTAH0320</t>
  </si>
  <si>
    <t>171377-38</t>
  </si>
  <si>
    <t>CL0002983527</t>
  </si>
  <si>
    <t>BINTAP1124</t>
  </si>
  <si>
    <t>97750-38</t>
  </si>
  <si>
    <t xml:space="preserve">CL0002791060        </t>
  </si>
  <si>
    <t>BITADQ0222</t>
  </si>
  <si>
    <t>159120-38</t>
  </si>
  <si>
    <t>CL0002940410</t>
  </si>
  <si>
    <t>BITADV1022</t>
  </si>
  <si>
    <t>119725-38</t>
  </si>
  <si>
    <t>CL0002903905</t>
  </si>
  <si>
    <t>BMETR-P</t>
  </si>
  <si>
    <t>METRO CHILE</t>
  </si>
  <si>
    <t>135596-38</t>
  </si>
  <si>
    <t xml:space="preserve">CL0002801810        </t>
  </si>
  <si>
    <t>BCHIFA0222</t>
  </si>
  <si>
    <t>189243-38</t>
  </si>
  <si>
    <t>CL0002802412</t>
  </si>
  <si>
    <t>BCHIFU0522</t>
  </si>
  <si>
    <t>135601-38</t>
  </si>
  <si>
    <t>CL0002918929</t>
  </si>
  <si>
    <t>BPARC-AH</t>
  </si>
  <si>
    <t>PARQUE ARAUCO</t>
  </si>
  <si>
    <t>135602-38</t>
  </si>
  <si>
    <t>CL0002918937</t>
  </si>
  <si>
    <t>BPARC-AI</t>
  </si>
  <si>
    <t>28567-38</t>
  </si>
  <si>
    <t>CL0002139872</t>
  </si>
  <si>
    <t>BPARC-K</t>
  </si>
  <si>
    <t>643-38</t>
  </si>
  <si>
    <t>CL0002311885</t>
  </si>
  <si>
    <t>BPARC-R</t>
  </si>
  <si>
    <t>28573-38</t>
  </si>
  <si>
    <t>CL0002469683</t>
  </si>
  <si>
    <t>BPARC-V</t>
  </si>
  <si>
    <t>31302-1</t>
  </si>
  <si>
    <t>USL4R02QAA86</t>
  </si>
  <si>
    <t>GNFPSO 5.198 06/15/2034 REGS</t>
  </si>
  <si>
    <t>GUARA NORTE</t>
  </si>
  <si>
    <t>GNFPSO 5.198 06/15/2034</t>
  </si>
  <si>
    <t>30480-1</t>
  </si>
  <si>
    <t>USP56145AC23</t>
  </si>
  <si>
    <t>IENOVA 4.75 01/15/2051 REGS</t>
  </si>
  <si>
    <t>IENOVA</t>
  </si>
  <si>
    <t>IENOVA 4.75 01/15/2051</t>
  </si>
  <si>
    <t>30671-1</t>
  </si>
  <si>
    <t>USP5626FAA05</t>
  </si>
  <si>
    <t>IFSPE 4.125 10/19/2027 REGS</t>
  </si>
  <si>
    <t>INTERCORP</t>
  </si>
  <si>
    <t>IFSPE 4.125 10/19/2027</t>
  </si>
  <si>
    <t>103645-1</t>
  </si>
  <si>
    <t>US46590XAX49</t>
  </si>
  <si>
    <t>JBSSBZ 6.5 12/01/2052</t>
  </si>
  <si>
    <t>JBS</t>
  </si>
  <si>
    <t>129785-38</t>
  </si>
  <si>
    <t>CL0002924737</t>
  </si>
  <si>
    <t>BPLZA-AD</t>
  </si>
  <si>
    <t>MALL PLAZA</t>
  </si>
  <si>
    <t>46470-38</t>
  </si>
  <si>
    <t>CL0002714179</t>
  </si>
  <si>
    <t>BSECC40321</t>
  </si>
  <si>
    <t>BANCO SECURITY</t>
  </si>
  <si>
    <t>116269-38</t>
  </si>
  <si>
    <t>CL0002877331</t>
  </si>
  <si>
    <t>BSTD130923</t>
  </si>
  <si>
    <t>13849-38</t>
  </si>
  <si>
    <t>CL0002300458</t>
  </si>
  <si>
    <t>BSTD140216</t>
  </si>
  <si>
    <t>31251-38</t>
  </si>
  <si>
    <t>CL0002655992</t>
  </si>
  <si>
    <t>BWNCO-B</t>
  </si>
  <si>
    <t>WENCO</t>
  </si>
  <si>
    <t>559-38</t>
  </si>
  <si>
    <t>CL0002355452</t>
  </si>
  <si>
    <t>BCELE-A</t>
  </si>
  <si>
    <t>CELEO REDES</t>
  </si>
  <si>
    <t>53596-38</t>
  </si>
  <si>
    <t>CL0002819614</t>
  </si>
  <si>
    <t>BTCGE-A</t>
  </si>
  <si>
    <t>CGE</t>
  </si>
  <si>
    <t>591-38</t>
  </si>
  <si>
    <t>CL0002171495</t>
  </si>
  <si>
    <t>BCTOR-K</t>
  </si>
  <si>
    <t>CONCHA Y TORO</t>
  </si>
  <si>
    <t>46103-38</t>
  </si>
  <si>
    <t xml:space="preserve">CL0002753649        </t>
  </si>
  <si>
    <t>BECOP-Y</t>
  </si>
  <si>
    <t>COPEC</t>
  </si>
  <si>
    <t>51534-38</t>
  </si>
  <si>
    <t xml:space="preserve">CL0002799675        </t>
  </si>
  <si>
    <t>BECOP-AA</t>
  </si>
  <si>
    <t>598-38</t>
  </si>
  <si>
    <t>CL0001230326</t>
  </si>
  <si>
    <t>BENDE-M</t>
  </si>
  <si>
    <t>28575-38</t>
  </si>
  <si>
    <t xml:space="preserve">CL0002613082        </t>
  </si>
  <si>
    <t>BPARC-AA</t>
  </si>
  <si>
    <t>135603-38</t>
  </si>
  <si>
    <t>CL0002924745</t>
  </si>
  <si>
    <t>BPLZA-AE</t>
  </si>
  <si>
    <t>655-38</t>
  </si>
  <si>
    <t>AQ1882861</t>
  </si>
  <si>
    <t>BRPLC-J</t>
  </si>
  <si>
    <t>RIPLEY</t>
  </si>
  <si>
    <t>665-38</t>
  </si>
  <si>
    <t>CL0001942466</t>
  </si>
  <si>
    <t>BSODI-K</t>
  </si>
  <si>
    <t>SODIMAC</t>
  </si>
  <si>
    <t>667-38</t>
  </si>
  <si>
    <t>CL0001863829</t>
  </si>
  <si>
    <t>BSOQU-O</t>
  </si>
  <si>
    <t>SOQUIMICH</t>
  </si>
  <si>
    <t>214799-38</t>
  </si>
  <si>
    <t>CL0003058097</t>
  </si>
  <si>
    <t>BSOQU-S</t>
  </si>
  <si>
    <t>666-38</t>
  </si>
  <si>
    <t>CL0001517359</t>
  </si>
  <si>
    <t>BSOQU-H</t>
  </si>
  <si>
    <t>107066-38</t>
  </si>
  <si>
    <t>CL0002846732</t>
  </si>
  <si>
    <t>BBNSCA0423</t>
  </si>
  <si>
    <t>154803-1</t>
  </si>
  <si>
    <t>USP1400MAE86</t>
  </si>
  <si>
    <t>BANORT 8 .75 PERP REGS</t>
  </si>
  <si>
    <t>BANORT 8 .75 PERP</t>
  </si>
  <si>
    <t>687-39</t>
  </si>
  <si>
    <t>CL0002454248</t>
  </si>
  <si>
    <t>BTP0470930</t>
  </si>
  <si>
    <t>101234-39</t>
  </si>
  <si>
    <t>CL0002862937</t>
  </si>
  <si>
    <t>BTP0531137</t>
  </si>
  <si>
    <t>50553-39</t>
  </si>
  <si>
    <t>CL0002798016</t>
  </si>
  <si>
    <t>BTP0700534</t>
  </si>
  <si>
    <t>31952-39</t>
  </si>
  <si>
    <t>CL0002686989</t>
  </si>
  <si>
    <t>BTP0501028</t>
  </si>
  <si>
    <t>16741-39</t>
  </si>
  <si>
    <t>CL0001974774</t>
  </si>
  <si>
    <t>BTP0600143</t>
  </si>
  <si>
    <t>46509-38</t>
  </si>
  <si>
    <t>CL0002668839</t>
  </si>
  <si>
    <t>BTU0001028</t>
  </si>
  <si>
    <t>46510-38</t>
  </si>
  <si>
    <t>CL0002668847</t>
  </si>
  <si>
    <t>BTU0001033</t>
  </si>
  <si>
    <t>690-38</t>
  </si>
  <si>
    <t>CL0002444033</t>
  </si>
  <si>
    <t>BTU0190930</t>
  </si>
  <si>
    <t>3983-38</t>
  </si>
  <si>
    <t>CL0000006990</t>
  </si>
  <si>
    <t>BTU0300130</t>
  </si>
  <si>
    <t>691-38</t>
  </si>
  <si>
    <t>CL0002080589</t>
  </si>
  <si>
    <t>BTU0300134</t>
  </si>
  <si>
    <t>30321-1</t>
  </si>
  <si>
    <t>USP57908AE83</t>
  </si>
  <si>
    <t>ORBIA 6.75 09/19/2042 REGS</t>
  </si>
  <si>
    <t>ORBIA 6.75 09/19/2042</t>
  </si>
  <si>
    <t>167520-1</t>
  </si>
  <si>
    <t>USL67359AC04</t>
  </si>
  <si>
    <t>NEXA 6.6 04/08/2037 REGS</t>
  </si>
  <si>
    <t>NEXA RESOURCES</t>
  </si>
  <si>
    <t>NEXA 6.6 04/08/2037</t>
  </si>
  <si>
    <t>128164-1</t>
  </si>
  <si>
    <t>USL67359AB21</t>
  </si>
  <si>
    <t>NEXA 6.75 04/09/2034 REGS</t>
  </si>
  <si>
    <t>NEXA 6.75 04/09/2034</t>
  </si>
  <si>
    <t>173646-1</t>
  </si>
  <si>
    <t>USP4R21KAB22</t>
  </si>
  <si>
    <t>NUTRES 9 05/12/2035 REGS</t>
  </si>
  <si>
    <t>GRUPO NUTRESA</t>
  </si>
  <si>
    <t>NUTRES 9 05/12/2035</t>
  </si>
  <si>
    <t>30094-1</t>
  </si>
  <si>
    <t>US84265VAA35</t>
  </si>
  <si>
    <t>SCCO 7.5 07/27/2035</t>
  </si>
  <si>
    <t>SOUTHERN COPPER</t>
  </si>
  <si>
    <t>30683-1</t>
  </si>
  <si>
    <t>USP6777MAB83</t>
  </si>
  <si>
    <t>SCCOMX 4.5 01/26/2050</t>
  </si>
  <si>
    <t>MINERA MEXICO</t>
  </si>
  <si>
    <t>39118-1</t>
  </si>
  <si>
    <t>USP0R80BAG79</t>
  </si>
  <si>
    <t>SILAMX 5.375 04/04/2032 REGS</t>
  </si>
  <si>
    <t>SITIOS LATINOAMERICA</t>
  </si>
  <si>
    <t>SILAMX 5.375 04/04/2032</t>
  </si>
  <si>
    <t>153892-1</t>
  </si>
  <si>
    <t>USP87026AA16</t>
  </si>
  <si>
    <t>SILAMX 6 11/25/2029 REGS</t>
  </si>
  <si>
    <t>SILAMX 6 11/25/2029</t>
  </si>
  <si>
    <t>213785-1</t>
  </si>
  <si>
    <t>USP8725GAB07</t>
  </si>
  <si>
    <t>SOTMCL 6.385 12/15/2055 REGS</t>
  </si>
  <si>
    <t>SOCIEDAD TRANSMISORA METROPOLITANA</t>
  </si>
  <si>
    <t>SOTMCL 6.385 12/15/2055</t>
  </si>
  <si>
    <t>34544-1</t>
  </si>
  <si>
    <t>USP8718AAN65</t>
  </si>
  <si>
    <t>SQM 3.5 09/10/2051 REGS</t>
  </si>
  <si>
    <t>SQM 3.5 09/10/2051</t>
  </si>
  <si>
    <t>30437-1</t>
  </si>
  <si>
    <t>USP8718AAM82</t>
  </si>
  <si>
    <t>SQM 4.25 01/22/2050 REGS</t>
  </si>
  <si>
    <t>SQM 4.25 01/22/2050</t>
  </si>
  <si>
    <t>146584-1</t>
  </si>
  <si>
    <t>USP8718AAQ96</t>
  </si>
  <si>
    <t>SQM 5.5 09/10/2034 REGS</t>
  </si>
  <si>
    <t>SQM 5.5 09/10/2034</t>
  </si>
  <si>
    <t>110399-1</t>
  </si>
  <si>
    <t>USP8718AAP14</t>
  </si>
  <si>
    <t>SQM 6.5 11/07/2033 REGS</t>
  </si>
  <si>
    <t>SQM 6.5 11/07/2033</t>
  </si>
  <si>
    <t>31967-1</t>
  </si>
  <si>
    <t>USP8T88JAA61</t>
  </si>
  <si>
    <t>STNGBZ 3.95 06/16/2028 REGS</t>
  </si>
  <si>
    <t>STONECO</t>
  </si>
  <si>
    <t>STNGBZ 3.95 06/16/2028</t>
  </si>
  <si>
    <t>30534-1</t>
  </si>
  <si>
    <t>US86964WAF95</t>
  </si>
  <si>
    <t>SUZANO 6 01/15/2029</t>
  </si>
  <si>
    <t>SUZANO PAPEL</t>
  </si>
  <si>
    <t>30114-1</t>
  </si>
  <si>
    <t>USA8372TAC20</t>
  </si>
  <si>
    <t>SUZANO 7 03/16/2047 REGS</t>
  </si>
  <si>
    <t>SUZANO 7 03/16/2047</t>
  </si>
  <si>
    <t>31119-1</t>
  </si>
  <si>
    <t>USL3500LAA72</t>
  </si>
  <si>
    <t>TIEMOD 5.75 12/01/2040</t>
  </si>
  <si>
    <t>FEL ENERGY VI</t>
  </si>
  <si>
    <t>30469-1</t>
  </si>
  <si>
    <t>US91911TAQ67</t>
  </si>
  <si>
    <t>VALEBZ 3.75 07/08/2030</t>
  </si>
  <si>
    <t>VALE</t>
  </si>
  <si>
    <t>94966-1</t>
  </si>
  <si>
    <t>US91911TAR41</t>
  </si>
  <si>
    <t>VALEBZ 6.125 06/12/2033</t>
  </si>
  <si>
    <t>ALTURAS II</t>
  </si>
  <si>
    <t>41160-1</t>
  </si>
  <si>
    <t>USP0243BAA37</t>
  </si>
  <si>
    <t>ALTO MAIPO Note 1L 30062040</t>
  </si>
  <si>
    <t>137207-1</t>
  </si>
  <si>
    <t>US91911TAS24</t>
  </si>
  <si>
    <t>VALEBZ 6.4 06/28/2054</t>
  </si>
  <si>
    <t>195834-1</t>
  </si>
  <si>
    <t>USG9317UAD75</t>
  </si>
  <si>
    <t>VALEBZ V6 02/25/56 REGS</t>
  </si>
  <si>
    <t>VALEBZ V6 02/25/56</t>
  </si>
  <si>
    <t>119541-1</t>
  </si>
  <si>
    <t>USP1915AAA09</t>
  </si>
  <si>
    <t>VALIAE 7.875 02/15/2039 REGS</t>
  </si>
  <si>
    <t>BUFFALO ENERGY</t>
  </si>
  <si>
    <t>VALIAE 7.875 02/15/2039</t>
  </si>
  <si>
    <t>127347-1</t>
  </si>
  <si>
    <t>USC86068AC47</t>
  </si>
  <si>
    <t>VOTORA 5.75 04/02/2034 REGS</t>
  </si>
  <si>
    <t>VOTORANTIM</t>
  </si>
  <si>
    <t>VOTORA 5.75 04/02/2034</t>
  </si>
  <si>
    <t>119731-1</t>
  </si>
  <si>
    <t>US105756CJ75</t>
  </si>
  <si>
    <t>BRAZIL 7.125 05/13/2054</t>
  </si>
  <si>
    <t>166675-1</t>
  </si>
  <si>
    <t>WOMMOB 11 04/01/2031 144A</t>
  </si>
  <si>
    <t>MLATHY</t>
  </si>
  <si>
    <t>152596-1</t>
  </si>
  <si>
    <t>ABRAGF 14 10/22/2029 144A</t>
  </si>
  <si>
    <t>35667-1</t>
  </si>
  <si>
    <t>ACIAIR 6.875 11/29/2034 144A</t>
  </si>
  <si>
    <t>651-1</t>
  </si>
  <si>
    <t>USA08163AA41</t>
  </si>
  <si>
    <t>BRFSBZ 4.35 09/29/2026 REGS</t>
  </si>
  <si>
    <t>BRFSBZ 4.35 09/29/2026</t>
  </si>
  <si>
    <t>718-1</t>
  </si>
  <si>
    <t>USP3465UAA62</t>
  </si>
  <si>
    <t>CEAGRO 10.75 05/16/2016 REGS</t>
  </si>
  <si>
    <t>CEAGRO AGRICOLA</t>
  </si>
  <si>
    <t>CEAGRO 10.75 05/16/2016</t>
  </si>
  <si>
    <t>44279-1</t>
  </si>
  <si>
    <t>IMPSA 1.5 12/30/2036 144a</t>
  </si>
  <si>
    <t>953-1</t>
  </si>
  <si>
    <t>USP7807HAT25</t>
  </si>
  <si>
    <t>PDVSA 6 05/16/2024 REGS</t>
  </si>
  <si>
    <t>PETROLEOS DE VENEZUELA</t>
  </si>
  <si>
    <t>PDVSA 6 05/16/2024</t>
  </si>
  <si>
    <t>VE</t>
  </si>
  <si>
    <t>954-1</t>
  </si>
  <si>
    <t>USP7807HAR68</t>
  </si>
  <si>
    <t>PDVSA 6 11/15/2026 REGS</t>
  </si>
  <si>
    <t>PDVSA 6 11/15/2026</t>
  </si>
  <si>
    <t>2924-1</t>
  </si>
  <si>
    <t>US71647NBH17</t>
  </si>
  <si>
    <t>PETBRA 5.6 01/03/2031</t>
  </si>
  <si>
    <t>162841-1</t>
  </si>
  <si>
    <t>RAIZBZ 6.7 02/25/2037 REGS</t>
  </si>
  <si>
    <t>1075-1</t>
  </si>
  <si>
    <t>USN7992HAA07</t>
  </si>
  <si>
    <t>SIDETU 10 04/20/2016 REGS</t>
  </si>
  <si>
    <t>SIDETUR FINANCE</t>
  </si>
  <si>
    <t>SIDETU 10 04/20/2016</t>
  </si>
  <si>
    <t>119732-1</t>
  </si>
  <si>
    <t>US105756CH10</t>
  </si>
  <si>
    <t>BRAZIL 6.125 03/15/2034</t>
  </si>
  <si>
    <t>950-1</t>
  </si>
  <si>
    <t>ARPCDB320099</t>
  </si>
  <si>
    <t>PDCAR 7.125 10/27/2026 1</t>
  </si>
  <si>
    <t>MCIT</t>
  </si>
  <si>
    <t>137444-1</t>
  </si>
  <si>
    <t>AERDOS 7 06/30/2034 144A</t>
  </si>
  <si>
    <t>152072-1</t>
  </si>
  <si>
    <t>AEROMX 8.25 11/15/2029 144A</t>
  </si>
  <si>
    <t>152070-1</t>
  </si>
  <si>
    <t>AEROMX 8.625 11/15/2031 144A</t>
  </si>
  <si>
    <t>227437-1</t>
  </si>
  <si>
    <t>AES 7.75 08/03/2033 144A</t>
  </si>
  <si>
    <t>133013-1</t>
  </si>
  <si>
    <t>US00107VAB99</t>
  </si>
  <si>
    <t>AES 9.5 08/30/2027 144A</t>
  </si>
  <si>
    <t>AES 9.5 08/30/2027</t>
  </si>
  <si>
    <t>160293-1</t>
  </si>
  <si>
    <t>ATPTOW 7.875 02/03/2030 144A</t>
  </si>
  <si>
    <t>193916-1</t>
  </si>
  <si>
    <t>AUNA 8.75 11/06/2032 144A</t>
  </si>
  <si>
    <t>223115-1</t>
  </si>
  <si>
    <t>AVIAGP 10.25 01/07/2032 144A</t>
  </si>
  <si>
    <t>202699-1</t>
  </si>
  <si>
    <t>AVIAGP 9.5 01/28/2031 144A</t>
  </si>
  <si>
    <t>160667-1</t>
  </si>
  <si>
    <t>AVIAGP 9.625 02/14/2030 144A</t>
  </si>
  <si>
    <t>204147-1</t>
  </si>
  <si>
    <t>AZUBBZ 9.875 02/15/2031 144A</t>
  </si>
  <si>
    <t>202364-1</t>
  </si>
  <si>
    <t>BANGUA V6.55 04/15/36 144A</t>
  </si>
  <si>
    <t>215022-1</t>
  </si>
  <si>
    <t>BANMEX V6.697 08/07/2036 144A</t>
  </si>
  <si>
    <t>222124-1</t>
  </si>
  <si>
    <t>BANORT V8 PERP 144A</t>
  </si>
  <si>
    <t>161092-1</t>
  </si>
  <si>
    <t>BBVASM V7.625 02/11/2035 144A</t>
  </si>
  <si>
    <t>132865-1</t>
  </si>
  <si>
    <t>US07336UAA16</t>
  </si>
  <si>
    <t>BBVASM V8.45 06/29/2038 144A</t>
  </si>
  <si>
    <t>BBVASM V8.45 06/29/2038</t>
  </si>
  <si>
    <t>187609-1</t>
  </si>
  <si>
    <t>BLX V7.5 PERP 144A</t>
  </si>
  <si>
    <t>203110-1</t>
  </si>
  <si>
    <t>BMAAR 8 01/28/2031 144A</t>
  </si>
  <si>
    <t>175399-1</t>
  </si>
  <si>
    <t>BMAAR 8 06/23/2029 144A</t>
  </si>
  <si>
    <t>216346-1</t>
  </si>
  <si>
    <t>BNCE V6 05/14/2036 144A</t>
  </si>
  <si>
    <t>149416-1</t>
  </si>
  <si>
    <t>BRASKM 8 10/15/2034 144A</t>
  </si>
  <si>
    <t>160597-1</t>
  </si>
  <si>
    <t>BUENAV 6.8 02/04/2032 144A</t>
  </si>
  <si>
    <t>177953-1</t>
  </si>
  <si>
    <t>CELELS 8.65 01/24/2033 144A</t>
  </si>
  <si>
    <t>174400-1</t>
  </si>
  <si>
    <t>CEMEX V7.2 PERP 144A</t>
  </si>
  <si>
    <t>196179-1</t>
  </si>
  <si>
    <t>CGCSA 11.875 11/28/30 144A</t>
  </si>
  <si>
    <t>187070-1</t>
  </si>
  <si>
    <t>CMPCCI V6.7 12/09/2057 144A</t>
  </si>
  <si>
    <t>157994-1</t>
  </si>
  <si>
    <t>226888-1</t>
  </si>
  <si>
    <t>COSHSA 7.7 08/03/2033 144A</t>
  </si>
  <si>
    <t>151818-1</t>
  </si>
  <si>
    <t>COSHSA 9.375 11/07/2029 144A</t>
  </si>
  <si>
    <t>132058-1</t>
  </si>
  <si>
    <t>CSNABZ 8.875 12/05/2030 144A</t>
  </si>
  <si>
    <t>179278-1</t>
  </si>
  <si>
    <t>DIGDIF 8.625 08/01/2032 144A</t>
  </si>
  <si>
    <t>187870-1</t>
  </si>
  <si>
    <t>EGUATE 6.35 09/15/2035 144A</t>
  </si>
  <si>
    <t>187872-1</t>
  </si>
  <si>
    <t>FCFEMM 5.875 09/23/2040 144A</t>
  </si>
  <si>
    <t>132060-1</t>
  </si>
  <si>
    <t>FECCN 7.875 06/21/2028 144A</t>
  </si>
  <si>
    <t>147063-1</t>
  </si>
  <si>
    <t>FIEMEX 7.25 01/31/2041 144A</t>
  </si>
  <si>
    <t>218887-1</t>
  </si>
  <si>
    <t>FISOMA 7.125 05/28/2036 144A</t>
  </si>
  <si>
    <t>149071-1</t>
  </si>
  <si>
    <t>GALIAR 7.75 10/10/2028 144A</t>
  </si>
  <si>
    <t>189330-1</t>
  </si>
  <si>
    <t>GLNG 7.5 10/02/2030 144A</t>
  </si>
  <si>
    <t>196180-1</t>
  </si>
  <si>
    <t>GNNEIA 7.75 12/02/33 144A</t>
  </si>
  <si>
    <t>173180-1</t>
  </si>
  <si>
    <t>US36254VAN82</t>
  </si>
  <si>
    <t>GOLLBZ 14.375 06/05/2030 144A</t>
  </si>
  <si>
    <t>GOLLBZ 14.375 06/05/2030</t>
  </si>
  <si>
    <t>169929-1</t>
  </si>
  <si>
    <t>HNTOIL 7.75 11/05/2038 144a</t>
  </si>
  <si>
    <t>166884-1</t>
  </si>
  <si>
    <t>IRSAAR 8 03/31/2035 144A</t>
  </si>
  <si>
    <t>213782-1</t>
  </si>
  <si>
    <t>JFSABZ 8 04/23/2033 144A</t>
  </si>
  <si>
    <t>148824-1</t>
  </si>
  <si>
    <t>LTMCI 7.875 04/15/2030 144A</t>
  </si>
  <si>
    <t>177900-1</t>
  </si>
  <si>
    <t>MOAIRJ 6.6 06/15/2035 144A</t>
  </si>
  <si>
    <t>221417-1</t>
  </si>
  <si>
    <t>MSUGEN 9.75 06/16/2036 144A</t>
  </si>
  <si>
    <t>157136-1</t>
  </si>
  <si>
    <t>MSUNRG 9.75 12/05/2030 144A</t>
  </si>
  <si>
    <t>213323-1</t>
  </si>
  <si>
    <t>MUNDOX 7.95 04/20/2031 144A</t>
  </si>
  <si>
    <t>145206-1</t>
  </si>
  <si>
    <t>OIBRBZ 10 06/30/2027 144A</t>
  </si>
  <si>
    <t>155594-1</t>
  </si>
  <si>
    <t>PAMPAR 7.875 12/16/2034 144A</t>
  </si>
  <si>
    <t>226994-1</t>
  </si>
  <si>
    <t>PCRD 8.5 07/28/2034 144A</t>
  </si>
  <si>
    <t>222558-1</t>
  </si>
  <si>
    <t>PROMIG V7.75 06/24/2056 144A</t>
  </si>
  <si>
    <t>194434-1</t>
  </si>
  <si>
    <t>QUIPOR 9 12/15/2037 144A</t>
  </si>
  <si>
    <t>203889-1</t>
  </si>
  <si>
    <t>SBSPAB 5.75 02/03/2031 144A</t>
  </si>
  <si>
    <t>203891-1</t>
  </si>
  <si>
    <t>SBSPAB 6.5 02/03/2036 144A</t>
  </si>
  <si>
    <t>202992-1</t>
  </si>
  <si>
    <t>TECOAR 8.5 01/20/2036 144A</t>
  </si>
  <si>
    <t>173181-1</t>
  </si>
  <si>
    <t>TECOAR 9.25 05/28/2033 144A</t>
  </si>
  <si>
    <t>139013-1</t>
  </si>
  <si>
    <t>TECOAR 9.5 07/18/2031 144A</t>
  </si>
  <si>
    <t>159687-1</t>
  </si>
  <si>
    <t>TECPET 7.625 01/22/2033 144A</t>
  </si>
  <si>
    <t>147062-1</t>
  </si>
  <si>
    <t>TERMOC 7.75 09/17/2031 144A</t>
  </si>
  <si>
    <t>139475-1</t>
  </si>
  <si>
    <t>TRAGAS 8.5 07/24/2031 144A</t>
  </si>
  <si>
    <t>159993-1</t>
  </si>
  <si>
    <t>USIM 7.5 01/27/2032 144A</t>
  </si>
  <si>
    <t>189332-1</t>
  </si>
  <si>
    <t>VAMOBZ 9.2 01/26/2031 144a</t>
  </si>
  <si>
    <t>155347-1</t>
  </si>
  <si>
    <t>VISTAA 7.625 12/10/2035 144A</t>
  </si>
  <si>
    <t>166673-1</t>
  </si>
  <si>
    <t>WOMCHH 5 04/01/2032 144A</t>
  </si>
  <si>
    <t>159226-1</t>
  </si>
  <si>
    <t>YPFDAR 8.25 01/17/2034 144A</t>
  </si>
  <si>
    <t>149415-1</t>
  </si>
  <si>
    <t>YPFLUZ 7.875 10/16/2032 144A</t>
  </si>
  <si>
    <t>176140-1</t>
  </si>
  <si>
    <t>YPMQBR 8.498 01/31/2045 144A</t>
  </si>
  <si>
    <t>216182-1</t>
  </si>
  <si>
    <t>BUEAIR 7.05 05/13/2036 144A</t>
  </si>
  <si>
    <t>195835-1</t>
  </si>
  <si>
    <t>BUEAIR 7.8 11/26/33 144A</t>
  </si>
  <si>
    <t>214281-1</t>
  </si>
  <si>
    <t>CHUBUT 9.45 04/29/2036 144A</t>
  </si>
  <si>
    <t>176052-1</t>
  </si>
  <si>
    <t>PDCAR 9.75 07/02/2032 144A</t>
  </si>
  <si>
    <t>138489-29</t>
  </si>
  <si>
    <t>BRAXS8DBS007</t>
  </si>
  <si>
    <t>AXSBBZ 11 06/15/2038 11</t>
  </si>
  <si>
    <t>AXS ENERGIA</t>
  </si>
  <si>
    <t>211463-29</t>
  </si>
  <si>
    <t>BRVERDTBS1D0</t>
  </si>
  <si>
    <t>BRAVANTE Float 03/08/2030</t>
  </si>
  <si>
    <t>VERT COMPANHIA SECURITIZADORA</t>
  </si>
  <si>
    <t>203113-29</t>
  </si>
  <si>
    <t>BRCSNADBS0F9</t>
  </si>
  <si>
    <t>CSNABZ F 12/20/2027 A2</t>
  </si>
  <si>
    <t>35813-29</t>
  </si>
  <si>
    <t>BRORMADBS023</t>
  </si>
  <si>
    <t>ORMEBR 6.7592 11/15/2035</t>
  </si>
  <si>
    <t>ORIZON VALORIZACAO DE RESIDUOS</t>
  </si>
  <si>
    <t>991-29</t>
  </si>
  <si>
    <t>BRHSLZDBS0C4</t>
  </si>
  <si>
    <t>RDEDOR 11.82 01/13/2028 10</t>
  </si>
  <si>
    <t>111128-29</t>
  </si>
  <si>
    <t>BRRRRPDBS056</t>
  </si>
  <si>
    <t>RRRPBZ 8.4166 10/15/2033 13</t>
  </si>
  <si>
    <t>BRAVA ENERGIA</t>
  </si>
  <si>
    <t>123249-29</t>
  </si>
  <si>
    <t>BRKNSTCRI026</t>
  </si>
  <si>
    <t>SOLFACIL 16.48 01/15/2034</t>
  </si>
  <si>
    <t>KANASTRA SECURITIZADORA</t>
  </si>
  <si>
    <t>174401-29</t>
  </si>
  <si>
    <t>BRKNSTCRI0D8</t>
  </si>
  <si>
    <t>SOLFACIL 5.70 05/08/2035</t>
  </si>
  <si>
    <t>32317-29</t>
  </si>
  <si>
    <t>BRUNEGDBS007</t>
  </si>
  <si>
    <t>UTEGNA 5.92 07/15/2039 11</t>
  </si>
  <si>
    <t>GNA</t>
  </si>
  <si>
    <t>127147-29</t>
  </si>
  <si>
    <t>BRVERODBS034</t>
  </si>
  <si>
    <t>VERO23 12.8018 03/15/2031 23</t>
  </si>
  <si>
    <t>VERO S.A.</t>
  </si>
  <si>
    <t>218892-41</t>
  </si>
  <si>
    <t>COB32CB00049</t>
  </si>
  <si>
    <t>BCSA2269C1</t>
  </si>
  <si>
    <t>BANCO CAJA SOCIAL</t>
  </si>
  <si>
    <t>Sugerencia_Proveedor</t>
  </si>
  <si>
    <t>223535-197</t>
  </si>
  <si>
    <t>ON CARRASCO NOBILE S 2 5.50% 14/05/2031-UI</t>
  </si>
  <si>
    <t>CARRASCO NOBILE</t>
  </si>
  <si>
    <t>UI Curncy</t>
  </si>
  <si>
    <t>PROP</t>
  </si>
  <si>
    <t>139464-39</t>
  </si>
  <si>
    <t>CFIADE1-E</t>
  </si>
  <si>
    <t>ALZA DÉDALO FONDO DE INVERSIÓN</t>
  </si>
  <si>
    <t>2510-39</t>
  </si>
  <si>
    <t>CFIFTMHE-E</t>
  </si>
  <si>
    <t>FRONTAL TRUST FINANCIAMIENTO HIPOTECARIO</t>
  </si>
  <si>
    <t>1608-39</t>
  </si>
  <si>
    <t>FIP Frontal Trust Serie M</t>
  </si>
  <si>
    <t>FRONTAL TRUST DEUDA HIPOTECARIA FIP</t>
  </si>
  <si>
    <t>32531-39</t>
  </si>
  <si>
    <t>FIP INVINSA OPORTUNIDADES INMOBILIARIAS A</t>
  </si>
  <si>
    <t>821-39</t>
  </si>
  <si>
    <t>FONDO DE INVERSION PRIVADO NAVARINO SERIE A1</t>
  </si>
  <si>
    <t>FIP NAVARINO</t>
  </si>
  <si>
    <t>815-39</t>
  </si>
  <si>
    <t>FIP Mutuos Hipotecarios</t>
  </si>
  <si>
    <t>FIP MUTUOS HIPOTECARIOS</t>
  </si>
  <si>
    <t>221551-39</t>
  </si>
  <si>
    <t>FIP Frontal Trust Evoluciona</t>
  </si>
  <si>
    <t>FIP FRONTAL TRUST EVOLUCIONA</t>
  </si>
  <si>
    <t>159068-39</t>
  </si>
  <si>
    <t>ISLA HOSTE FG</t>
  </si>
  <si>
    <t>HOSTE FIP DE GARANTIA</t>
  </si>
  <si>
    <t>216349-1</t>
  </si>
  <si>
    <t>CFI-FTGF2E</t>
  </si>
  <si>
    <t>GALGO</t>
  </si>
  <si>
    <t>735-1</t>
  </si>
  <si>
    <t>CFIBCNVA-E</t>
  </si>
  <si>
    <t>FONDO DE INVERSION BCI NV</t>
  </si>
  <si>
    <t>736-1</t>
  </si>
  <si>
    <t>CFILVDAS-E</t>
  </si>
  <si>
    <t>LARRAIN VIAL DEUDA AUTOMOTRIZ PERU</t>
  </si>
  <si>
    <t>1134-1</t>
  </si>
  <si>
    <t>VC DEUDA PERU Serie A</t>
  </si>
  <si>
    <t>VOLCOMCAPITAL DEUDA PRIVADA PERU FI</t>
  </si>
  <si>
    <t>1133-1</t>
  </si>
  <si>
    <t>VC DEUDA PERU II Serie B</t>
  </si>
  <si>
    <t>VOLCOMCAPITAL DEUDA PERU II FI</t>
  </si>
  <si>
    <t>180211-39</t>
  </si>
  <si>
    <t>IMED LOAN CHIBPROM + 4,60% 08/06/2030</t>
  </si>
  <si>
    <t>IMED</t>
  </si>
  <si>
    <t>177159-1</t>
  </si>
  <si>
    <t>ALUBAR Loan FLOAT 04/16/2030</t>
  </si>
  <si>
    <t>ALUBAR</t>
  </si>
  <si>
    <t>527-1</t>
  </si>
  <si>
    <t>BAUZA LOAN 8.25% +CPI</t>
  </si>
  <si>
    <t>INMOBILIARIA BAUZA</t>
  </si>
  <si>
    <t>177298-1</t>
  </si>
  <si>
    <t>VMOS Loan FLOAT 1,925% 07/08/2030</t>
  </si>
  <si>
    <t>200815-39</t>
  </si>
  <si>
    <t>PAG 01 INV INDUSTRIALES SpA 10.05% 20270630</t>
  </si>
  <si>
    <t>126928-39</t>
  </si>
  <si>
    <t>PAG 01 NOGALES 12.75% 31/07/27</t>
  </si>
  <si>
    <t>INMOBILIARIA LOS NOGALES</t>
  </si>
  <si>
    <t>200816-39</t>
  </si>
  <si>
    <t>PAG 02 INV INDUSTRIALES SpA 10.05% 20270630</t>
  </si>
  <si>
    <t>126927-39</t>
  </si>
  <si>
    <t>PAG 02 NOGALES 12.75% 31/07/27</t>
  </si>
  <si>
    <t>200817-39</t>
  </si>
  <si>
    <t>PAG 03 INV INDUSTRIALES SpA 10.05% 20270630</t>
  </si>
  <si>
    <t>200818-39</t>
  </si>
  <si>
    <t>PAG 04 INV INDUSTRIALES SpA 10.05% 20270630</t>
  </si>
  <si>
    <t>200819-39</t>
  </si>
  <si>
    <t>PAG 05 INV INDUSTRIALES SpA 10.05% 20270630</t>
  </si>
  <si>
    <t>209275-39</t>
  </si>
  <si>
    <t>PAG EVEREST GROUP TRAMO A 9.00% 31/03/31</t>
  </si>
  <si>
    <t>CLINICA DENTAL EVEREST</t>
  </si>
  <si>
    <t>211458-39</t>
  </si>
  <si>
    <t>PAG EVEREST GROUP TRAMO B 9.00% 31/03/31</t>
  </si>
  <si>
    <t>99928-39</t>
  </si>
  <si>
    <t>PAG INM WM 20260727 14.50_1</t>
  </si>
  <si>
    <t>INMOBILIARIA WALKER MARTINEZ</t>
  </si>
  <si>
    <t>99929-39</t>
  </si>
  <si>
    <t>PAG INM WM 20260727 14.50_2</t>
  </si>
  <si>
    <t>154796-39</t>
  </si>
  <si>
    <t>PAG MAESTRA DON RODRIGO 11,13%</t>
  </si>
  <si>
    <t>MAESTRA SA</t>
  </si>
  <si>
    <t>161882-39</t>
  </si>
  <si>
    <t>PAG MAESTRA SANTA ROSA 20280229 10.62</t>
  </si>
  <si>
    <t>182419-39</t>
  </si>
  <si>
    <t>PAG MCP ACONCAGUA 20321130 10.29%</t>
  </si>
  <si>
    <t>VALLE NEVADO</t>
  </si>
  <si>
    <t>139811-39</t>
  </si>
  <si>
    <t>PAG OMEÑACA 20290630 10.00%</t>
  </si>
  <si>
    <t>OMEÑACA</t>
  </si>
  <si>
    <t>44115-39</t>
  </si>
  <si>
    <t>PAG SANTAFE 7,77% 23_2</t>
  </si>
  <si>
    <t>SANTAFE DESAROLLOS INMOBILIARIOS</t>
  </si>
  <si>
    <t>213472-39</t>
  </si>
  <si>
    <t>RC Compra Futura EVOLUCIONA 0,70% 13/08/2026</t>
  </si>
  <si>
    <t>HIPOTECARIA EVOLUCIONA</t>
  </si>
  <si>
    <t>227752-39</t>
  </si>
  <si>
    <t>RC Compra Futura EVOLUCIONA 0,70% 26/11/2026</t>
  </si>
  <si>
    <t>223761-39</t>
  </si>
  <si>
    <t>RC Compra Futura EVOLUCIONA 0,70% 28/10/2026</t>
  </si>
  <si>
    <t>897-38</t>
  </si>
  <si>
    <t>MAIPU 3,54% 26</t>
  </si>
  <si>
    <t>MAIPU</t>
  </si>
  <si>
    <t>898-38</t>
  </si>
  <si>
    <t>MAIPU 3,62% 27</t>
  </si>
  <si>
    <t>159231-38</t>
  </si>
  <si>
    <t>PAG 01 EL AGUILA I</t>
  </si>
  <si>
    <t>EL AGUILA I</t>
  </si>
  <si>
    <t>159232-38</t>
  </si>
  <si>
    <t>PAG 02 EL AGUILA I</t>
  </si>
  <si>
    <t>195984-38</t>
  </si>
  <si>
    <t>PAG AGRICOLA DON ROLF 5.94% 18/11/2026</t>
  </si>
  <si>
    <t>AGRICOLA DON ROLF</t>
  </si>
  <si>
    <t>190021-38</t>
  </si>
  <si>
    <t>PAG AGRICOLA DON ROLF 6.30% 02/11/2030</t>
  </si>
  <si>
    <t>116571-38</t>
  </si>
  <si>
    <t>PAG INTEXA 5,50% 12/31/2028</t>
  </si>
  <si>
    <t>INTEXA</t>
  </si>
  <si>
    <t>219017-38</t>
  </si>
  <si>
    <t>PAG PUERTO VARAS 5.59% 31012028</t>
  </si>
  <si>
    <t>INMOBILIARIA PUERTO VARAS</t>
  </si>
  <si>
    <t>223223-38</t>
  </si>
  <si>
    <t>PAG PUERTO VARAS 6.09% 31/01/2028</t>
  </si>
  <si>
    <t>205781-38</t>
  </si>
  <si>
    <t>PAG PUERTO VARAS 6.60% 31012028</t>
  </si>
  <si>
    <t>159233-38</t>
  </si>
  <si>
    <t>Rec Deuda EL AGUILA I</t>
  </si>
  <si>
    <t>197074-38</t>
  </si>
  <si>
    <t>T.I.L.A LOAN 9,75% 05/12/2029</t>
  </si>
  <si>
    <t>ANFP</t>
  </si>
  <si>
    <t>159427-1</t>
  </si>
  <si>
    <t>PAG QUINTERO ENERGIA 9,50% 15/01/2028</t>
  </si>
  <si>
    <t>QUINTERO ENERGIA</t>
  </si>
  <si>
    <t>189421-39</t>
  </si>
  <si>
    <t>FIP ESTORIL</t>
  </si>
  <si>
    <t>217270-38</t>
  </si>
  <si>
    <t>FIP ALZA OCTIUM</t>
  </si>
  <si>
    <t>OCTIUM</t>
  </si>
  <si>
    <t>176142-38</t>
  </si>
  <si>
    <t>FIP ALZA RENTAS COMERCIALES II SERIE B</t>
  </si>
  <si>
    <t>227788-39</t>
  </si>
  <si>
    <t>BNPDBC040826</t>
  </si>
  <si>
    <t>223985-39</t>
  </si>
  <si>
    <t>DAP BANCO DE CHILE 0.36% 01/08/2026</t>
  </si>
  <si>
    <t>224575-39</t>
  </si>
  <si>
    <t>DAP BANCO DE CHILE 0.36% 05/08/2026</t>
  </si>
  <si>
    <t>186697-39</t>
  </si>
  <si>
    <t>FNCHI-030926</t>
  </si>
  <si>
    <t>190225-39</t>
  </si>
  <si>
    <t>FNCHI-110926</t>
  </si>
  <si>
    <t>36211-39</t>
  </si>
  <si>
    <t>P$_CON</t>
  </si>
  <si>
    <t>176729-39</t>
  </si>
  <si>
    <t>P$_EUR</t>
  </si>
  <si>
    <t>EUROAMERICA</t>
  </si>
  <si>
    <t>221555-11</t>
  </si>
  <si>
    <t>BONTAM 0 06/28/2030 CER</t>
  </si>
  <si>
    <t>221556-11</t>
  </si>
  <si>
    <t>BONTAM 0 12/14/2029 CER</t>
  </si>
  <si>
    <t>205237-38</t>
  </si>
  <si>
    <t>CLH-AUSTRAL</t>
  </si>
  <si>
    <t>AUSTRAL LEASING HABITACIONAL</t>
  </si>
  <si>
    <t>208994-38</t>
  </si>
  <si>
    <t>CLH-CREDITU</t>
  </si>
  <si>
    <t>HOGAR HOY</t>
  </si>
  <si>
    <t>207067-38</t>
  </si>
  <si>
    <t>CLH-HS</t>
  </si>
  <si>
    <t>INMOBILIARIA CASANUESTRA</t>
  </si>
  <si>
    <t>202694-38</t>
  </si>
  <si>
    <t>CLH-URBANO</t>
  </si>
  <si>
    <t>LEASING URBANO</t>
  </si>
  <si>
    <t>211461-38</t>
  </si>
  <si>
    <t>MHE-CREDITU</t>
  </si>
  <si>
    <t>202077-38</t>
  </si>
  <si>
    <t>MHE-EVOLUCIONA</t>
  </si>
  <si>
    <t>116575-41</t>
  </si>
  <si>
    <t>TOWER ONE COLOMBIA Loan B 12/13/2026</t>
  </si>
  <si>
    <t>TOWER ONE COLOMBIA</t>
  </si>
  <si>
    <t>226997-39</t>
  </si>
  <si>
    <t>BNPDBC030826</t>
  </si>
  <si>
    <t>227578-39</t>
  </si>
  <si>
    <t>BNPDBC100826</t>
  </si>
  <si>
    <t>138491-39</t>
  </si>
  <si>
    <t>BBEFS-P10B</t>
  </si>
  <si>
    <t>RA (posible) / revisar</t>
  </si>
  <si>
    <t>149084-39</t>
  </si>
  <si>
    <t>BBEFS-P11B</t>
  </si>
  <si>
    <t>200006-39</t>
  </si>
  <si>
    <t>BBEFS-P16B</t>
  </si>
  <si>
    <t>160716-39</t>
  </si>
  <si>
    <t>BENJO-AA</t>
  </si>
  <si>
    <t>623-39</t>
  </si>
  <si>
    <t>BLAPO-F</t>
  </si>
  <si>
    <t>LA POLAR</t>
  </si>
  <si>
    <t>624-39</t>
  </si>
  <si>
    <t>BLAPO-G</t>
  </si>
  <si>
    <t>16567-39</t>
  </si>
  <si>
    <t>BC18-B0719</t>
  </si>
  <si>
    <t>CAJA 18 DE SEPTIEMBRE</t>
  </si>
  <si>
    <t>3629-38</t>
  </si>
  <si>
    <t>BAARA-B</t>
  </si>
  <si>
    <t>AGUAS ARAUCANIA</t>
  </si>
  <si>
    <t>172917-38</t>
  </si>
  <si>
    <t>BAVNO-C</t>
  </si>
  <si>
    <t>VESPUCIO NORTE</t>
  </si>
  <si>
    <t>193918-38</t>
  </si>
  <si>
    <t>BBEFS-P15A</t>
  </si>
  <si>
    <t>160761-38</t>
  </si>
  <si>
    <t>BC18-C1224</t>
  </si>
  <si>
    <t>128457-38</t>
  </si>
  <si>
    <t>BCAJBW0324</t>
  </si>
  <si>
    <t>CAJA COMPENSACION LOS ANDES</t>
  </si>
  <si>
    <t>135584-38</t>
  </si>
  <si>
    <t>BCAJCG0424</t>
  </si>
  <si>
    <t>186267-38</t>
  </si>
  <si>
    <t>BCMPC-R</t>
  </si>
  <si>
    <t>198616-38</t>
  </si>
  <si>
    <t>BCOPV-F</t>
  </si>
  <si>
    <t>COPEVAL</t>
  </si>
  <si>
    <t>138369-38</t>
  </si>
  <si>
    <t>BHERAC0624</t>
  </si>
  <si>
    <t>132025-38</t>
  </si>
  <si>
    <t>BINDE-I</t>
  </si>
  <si>
    <t>INDEPENDENCIA RENTAS FI</t>
  </si>
  <si>
    <t>3371-38</t>
  </si>
  <si>
    <t>BLCON-B</t>
  </si>
  <si>
    <t>198727-38</t>
  </si>
  <si>
    <t>BMASI-O</t>
  </si>
  <si>
    <t>MASISA</t>
  </si>
  <si>
    <t>217389-38</t>
  </si>
  <si>
    <t>BNIAL-A</t>
  </si>
  <si>
    <t>NIALEM</t>
  </si>
  <si>
    <t>219598-38</t>
  </si>
  <si>
    <t>BVOLS-5A1</t>
  </si>
  <si>
    <t>219599-38</t>
  </si>
  <si>
    <t>BVOLS-5B1</t>
  </si>
  <si>
    <t>29738-38</t>
  </si>
  <si>
    <t>BVOLS-A1</t>
  </si>
  <si>
    <t>131576-38</t>
  </si>
  <si>
    <t>BFORU-CP</t>
  </si>
  <si>
    <t>29441-38</t>
  </si>
  <si>
    <t>BCSMU-B</t>
  </si>
  <si>
    <t>SMU</t>
  </si>
  <si>
    <t>150097-1</t>
  </si>
  <si>
    <t>BBEFS-P12A</t>
  </si>
  <si>
    <t>227439-39</t>
  </si>
  <si>
    <t>BINTAR0326</t>
  </si>
  <si>
    <t>17108-38</t>
  </si>
  <si>
    <t>BKOEM-F</t>
  </si>
  <si>
    <t>EMBONOR</t>
  </si>
  <si>
    <t>176730-38</t>
  </si>
  <si>
    <t>BANOR-C</t>
  </si>
  <si>
    <t>CONC. COSTANERA NORTE</t>
  </si>
  <si>
    <t>499-38</t>
  </si>
  <si>
    <t>BADAL-A</t>
  </si>
  <si>
    <t>504-38</t>
  </si>
  <si>
    <t>BAGRS-D</t>
  </si>
  <si>
    <t>506-38</t>
  </si>
  <si>
    <t>BAGUA-P</t>
  </si>
  <si>
    <t>AGUAS ANDINAS</t>
  </si>
  <si>
    <t>520-38</t>
  </si>
  <si>
    <t>BANDI-D</t>
  </si>
  <si>
    <t>EMBOTELLADORA ANDINA</t>
  </si>
  <si>
    <t>17115-38</t>
  </si>
  <si>
    <t>BANDI-E</t>
  </si>
  <si>
    <t>149871-38</t>
  </si>
  <si>
    <t>BAVSU-B</t>
  </si>
  <si>
    <t>CONC. AUTOPISTA VESPUCIO SUR</t>
  </si>
  <si>
    <t>173267-38</t>
  </si>
  <si>
    <t>BAVSU-C</t>
  </si>
  <si>
    <t>46043-38</t>
  </si>
  <si>
    <t>BBCIN11220</t>
  </si>
  <si>
    <t>154582-38</t>
  </si>
  <si>
    <t>BBKSF-B</t>
  </si>
  <si>
    <t>BK SERVICIOS FINANCIEROS</t>
  </si>
  <si>
    <t>46076-38</t>
  </si>
  <si>
    <t>BCAJBF0322</t>
  </si>
  <si>
    <t>16617-38</t>
  </si>
  <si>
    <t>BCGED-E</t>
  </si>
  <si>
    <t>16620-38</t>
  </si>
  <si>
    <t>BCGEI-K</t>
  </si>
  <si>
    <t>16619-38</t>
  </si>
  <si>
    <t>BCGEI-I</t>
  </si>
  <si>
    <t>46079-38</t>
  </si>
  <si>
    <t>BCHIBS0815</t>
  </si>
  <si>
    <t>6535-38</t>
  </si>
  <si>
    <t>BCHIBV1015</t>
  </si>
  <si>
    <t>46081-38</t>
  </si>
  <si>
    <t>BCHICF0815</t>
  </si>
  <si>
    <t>97742-38</t>
  </si>
  <si>
    <t>BCHICH1215</t>
  </si>
  <si>
    <t>52889-38</t>
  </si>
  <si>
    <t>BCNOEB0422</t>
  </si>
  <si>
    <t>580-38</t>
  </si>
  <si>
    <t>BCOO-C0713</t>
  </si>
  <si>
    <t>COOPEUCH</t>
  </si>
  <si>
    <t>17095-38</t>
  </si>
  <si>
    <t>BCRIS-F</t>
  </si>
  <si>
    <t>CRISTALERIAS CHILE</t>
  </si>
  <si>
    <t>138841-38</t>
  </si>
  <si>
    <t>BCSMU-AS</t>
  </si>
  <si>
    <t>595-38</t>
  </si>
  <si>
    <t>BELME-D</t>
  </si>
  <si>
    <t>ELECMETAL</t>
  </si>
  <si>
    <t>191967-38</t>
  </si>
  <si>
    <t>BENAE-I</t>
  </si>
  <si>
    <t>169007-38</t>
  </si>
  <si>
    <t>BENTE-R</t>
  </si>
  <si>
    <t>169008-38</t>
  </si>
  <si>
    <t>BENTE-S</t>
  </si>
  <si>
    <t>52891-38</t>
  </si>
  <si>
    <t>BESTBE1022</t>
  </si>
  <si>
    <t>156830-38</t>
  </si>
  <si>
    <t>BFORU-CR</t>
  </si>
  <si>
    <t>149419-38</t>
  </si>
  <si>
    <t>BFORU-CS</t>
  </si>
  <si>
    <t>174458-38</t>
  </si>
  <si>
    <t>BGAMA-C</t>
  </si>
  <si>
    <t>GAMA SERVICIOS FINANCIEROS</t>
  </si>
  <si>
    <t>612-38</t>
  </si>
  <si>
    <t>BGASC-J</t>
  </si>
  <si>
    <t>GASCO</t>
  </si>
  <si>
    <t>129272-38</t>
  </si>
  <si>
    <t>BGMAR-C</t>
  </si>
  <si>
    <t>GRUPO MARINA</t>
  </si>
  <si>
    <t>129271-38</t>
  </si>
  <si>
    <t>BGMAR-E</t>
  </si>
  <si>
    <t>226687-38</t>
  </si>
  <si>
    <t>BINTAS1225</t>
  </si>
  <si>
    <t>173300-38</t>
  </si>
  <si>
    <t>BMGAS-G</t>
  </si>
  <si>
    <t>METROGAS</t>
  </si>
  <si>
    <t>29728-38</t>
  </si>
  <si>
    <t>BNTRA-H</t>
  </si>
  <si>
    <t>TRANSELEC</t>
  </si>
  <si>
    <t>3407-38</t>
  </si>
  <si>
    <t>BSAAM-E</t>
  </si>
  <si>
    <t>SAAM</t>
  </si>
  <si>
    <t>154742-38</t>
  </si>
  <si>
    <t>BPATI-H</t>
  </si>
  <si>
    <t>PATIO COMERCIAL</t>
  </si>
  <si>
    <t>189922-38</t>
  </si>
  <si>
    <t>BPATI-J</t>
  </si>
  <si>
    <t>28533-38</t>
  </si>
  <si>
    <t>BPLZA-D</t>
  </si>
  <si>
    <t>28532-38</t>
  </si>
  <si>
    <t>BPLZA-K</t>
  </si>
  <si>
    <t>664-38</t>
  </si>
  <si>
    <t>BSECU-K</t>
  </si>
  <si>
    <t>GRUPO SECURITY</t>
  </si>
  <si>
    <t>668-38</t>
  </si>
  <si>
    <t>BSOQU-P</t>
  </si>
  <si>
    <t>16601-38</t>
  </si>
  <si>
    <t>BARAU-R</t>
  </si>
  <si>
    <t>194061-38</t>
  </si>
  <si>
    <t>BARAU-AG</t>
  </si>
  <si>
    <t>16600-38</t>
  </si>
  <si>
    <t>BARAU-F</t>
  </si>
  <si>
    <t>16606-38</t>
  </si>
  <si>
    <t>BCENC-F</t>
  </si>
  <si>
    <t>561-38</t>
  </si>
  <si>
    <t>BCFSA-B</t>
  </si>
  <si>
    <t>573-38</t>
  </si>
  <si>
    <t>BCMPC-M</t>
  </si>
  <si>
    <t>17027-38</t>
  </si>
  <si>
    <t>BCMPC-F</t>
  </si>
  <si>
    <t>593-38</t>
  </si>
  <si>
    <t>BECOP-I</t>
  </si>
  <si>
    <t>17087-38</t>
  </si>
  <si>
    <t>BECOP-C</t>
  </si>
  <si>
    <t>27521-38</t>
  </si>
  <si>
    <t>UCORAA0809</t>
  </si>
  <si>
    <t>17113-38</t>
  </si>
  <si>
    <t>BEKOP-C</t>
  </si>
  <si>
    <t>597-38</t>
  </si>
  <si>
    <t>BENAP-E</t>
  </si>
  <si>
    <t>17141-38</t>
  </si>
  <si>
    <t>BENTE-M</t>
  </si>
  <si>
    <t>53447-38</t>
  </si>
  <si>
    <t>BFORU-CG</t>
  </si>
  <si>
    <t>654-38</t>
  </si>
  <si>
    <t>BRPLC-F</t>
  </si>
  <si>
    <t>662-38</t>
  </si>
  <si>
    <t>BSECS-14A1</t>
  </si>
  <si>
    <t>SECURITIZADORA SECURITY</t>
  </si>
  <si>
    <t>663-38</t>
  </si>
  <si>
    <t>BSECS-14A2</t>
  </si>
  <si>
    <t>1127-38</t>
  </si>
  <si>
    <t>USECJ31013</t>
  </si>
  <si>
    <t>29436-38</t>
  </si>
  <si>
    <t>BSKSA-E</t>
  </si>
  <si>
    <t>SIGDO KOPPERS</t>
  </si>
  <si>
    <t>28602-38</t>
  </si>
  <si>
    <t>BRITA-F</t>
  </si>
  <si>
    <t>SANTA RITA</t>
  </si>
  <si>
    <t>640-38</t>
  </si>
  <si>
    <t>BNTRA-D</t>
  </si>
  <si>
    <t>5688-38</t>
  </si>
  <si>
    <t>UCHI-F1108</t>
  </si>
  <si>
    <t>1115-38</t>
  </si>
  <si>
    <t>UCNO-Y0117</t>
  </si>
  <si>
    <t>1117-38</t>
  </si>
  <si>
    <t>UINT-D0111</t>
  </si>
  <si>
    <t>564-38</t>
  </si>
  <si>
    <t>BCGVI-B</t>
  </si>
  <si>
    <t>CORP GROUP VIDA CHILE</t>
  </si>
  <si>
    <t>706-38</t>
  </si>
  <si>
    <t>BWATT-I</t>
  </si>
  <si>
    <t>WATTS</t>
  </si>
  <si>
    <t>707-38</t>
  </si>
  <si>
    <t>BWATT-L</t>
  </si>
  <si>
    <t>204686-39</t>
  </si>
  <si>
    <t>BTP0530732</t>
  </si>
  <si>
    <t>204687-38</t>
  </si>
  <si>
    <t>BTU0230731</t>
  </si>
  <si>
    <t>804-38</t>
  </si>
  <si>
    <t>EST2420108</t>
  </si>
  <si>
    <t>805-38</t>
  </si>
  <si>
    <t>EST2530109</t>
  </si>
  <si>
    <t>808-38</t>
  </si>
  <si>
    <t>EST6220918</t>
  </si>
  <si>
    <t>10616-38</t>
  </si>
  <si>
    <t>EST6221118</t>
  </si>
  <si>
    <t>10656-38</t>
  </si>
  <si>
    <t>EST6221218</t>
  </si>
  <si>
    <t>227577-39</t>
  </si>
  <si>
    <t>BNPDBC070826</t>
  </si>
  <si>
    <t>116574-1</t>
  </si>
  <si>
    <t>TOWER ONE COLOMBIA Loan A 12/13/2026</t>
  </si>
  <si>
    <t>Estado_DEF</t>
  </si>
  <si>
    <t>928-1</t>
  </si>
  <si>
    <t>USP73424AA48</t>
  </si>
  <si>
    <t>OCEANO 11.25 07/15/2015 REGS</t>
  </si>
  <si>
    <t>OCEANOGRAFIA</t>
  </si>
  <si>
    <t>OCEANO 11.25 07/15/2015</t>
  </si>
  <si>
    <t>DEF</t>
  </si>
  <si>
    <t>716-123</t>
  </si>
  <si>
    <t>MX91CA000090</t>
  </si>
  <si>
    <t>CASITA F 06/28/2018 11</t>
  </si>
  <si>
    <t>HIPOTECARIA SU CASITA</t>
  </si>
  <si>
    <t>175782-135</t>
  </si>
  <si>
    <t>PEP70500M434</t>
  </si>
  <si>
    <t>TELEFB 2.875 04/22/2028 19-B</t>
  </si>
  <si>
    <t>TELEFONICA DEL PERU</t>
  </si>
  <si>
    <t>176588-135</t>
  </si>
  <si>
    <t>PEP70500M798</t>
  </si>
  <si>
    <t>TELEFB 3.09375 05/15/2030 A</t>
  </si>
  <si>
    <t>175802-135</t>
  </si>
  <si>
    <t>PEP70500M442</t>
  </si>
  <si>
    <t>TELEFB 3.125 05/22/2028 37-B</t>
  </si>
  <si>
    <t>175703-135</t>
  </si>
  <si>
    <t>PEP70500M335</t>
  </si>
  <si>
    <t>TELEFB 3.625 07/13/2027 19-A</t>
  </si>
  <si>
    <t>173738-135</t>
  </si>
  <si>
    <t>PEP70500M772</t>
  </si>
  <si>
    <t>TELEFB 5.5 04/19/2025 A</t>
  </si>
  <si>
    <t>175702-135</t>
  </si>
  <si>
    <t>CVL70500T015</t>
  </si>
  <si>
    <t>TELEFB 7.28125 10/16/2026</t>
  </si>
  <si>
    <t>1090-135</t>
  </si>
  <si>
    <t>USP9T36GAR67</t>
  </si>
  <si>
    <t>TELEFO 7.375 04/10/2027 REGS</t>
  </si>
  <si>
    <t>TELEFO 7.375 04/10/2027</t>
  </si>
  <si>
    <t>31509-39</t>
  </si>
  <si>
    <t>PAG ARAUCO ARJ 3.00 30/06/2025</t>
  </si>
  <si>
    <t>ARAUCO</t>
  </si>
  <si>
    <t>31510-39</t>
  </si>
  <si>
    <t>PAG ARAUCO ARJ 3.00 30/12/2027</t>
  </si>
  <si>
    <t>3334-39</t>
  </si>
  <si>
    <t>PAG ARAUCO CONC 7.47 30/06/2021</t>
  </si>
  <si>
    <t>ARAUCO CONCESIONES</t>
  </si>
  <si>
    <t>3951-39</t>
  </si>
  <si>
    <t>PAG MICROBLEND 6% 08/08/2023 - A</t>
  </si>
  <si>
    <t>MICROBLEND CHILE</t>
  </si>
  <si>
    <t>205779-38</t>
  </si>
  <si>
    <t>LC PAG PUERTO VARAS 6.60% 31012028</t>
  </si>
  <si>
    <t>160240-1</t>
  </si>
  <si>
    <t>LC QUINTERO ENERGIA 1,00% 15/01/2028</t>
  </si>
  <si>
    <t>31179-1</t>
  </si>
  <si>
    <t>PAG MICROBLEND 12% 08/08/2023 - C DESM I B</t>
  </si>
  <si>
    <t>3946-1</t>
  </si>
  <si>
    <t>PAG MICROBLEND 12% 08/08/2023 - C DESM II A</t>
  </si>
  <si>
    <t>3947-1</t>
  </si>
  <si>
    <t>PAG MICROBLEND 12% 08/08/2023 - C DESM III</t>
  </si>
  <si>
    <t>3948-1</t>
  </si>
  <si>
    <t>PAG MICROBLEND 12% 30/06/2021 - B DESM I</t>
  </si>
  <si>
    <t>3949-1</t>
  </si>
  <si>
    <t>PAG MICROBLEND 12% 30/06/2021 - B DESM II</t>
  </si>
  <si>
    <t>3950-1</t>
  </si>
  <si>
    <t>PAG MICROBLEND 12% 30/06/2021 - B DESM III</t>
  </si>
  <si>
    <t>31600-1</t>
  </si>
  <si>
    <t>PAG MICROBLEND 12% 30/06/2021 - B DESM III - II</t>
  </si>
  <si>
    <t>213458-29</t>
  </si>
  <si>
    <t>LN Converts</t>
  </si>
  <si>
    <t>PROPDEF</t>
  </si>
  <si>
    <t>213459-29</t>
  </si>
  <si>
    <t>LN Participating Titles Part 1</t>
  </si>
  <si>
    <t>213460-29</t>
  </si>
  <si>
    <t>LN Participating Titles Part 2</t>
  </si>
  <si>
    <t>714-1</t>
  </si>
  <si>
    <t>US433514AB25</t>
  </si>
  <si>
    <t>CASITA 7.5 06/29/2018 144A</t>
  </si>
  <si>
    <t>CASITA 7.5 06/29/2018</t>
  </si>
  <si>
    <t>USP5R37ZCJ91</t>
  </si>
  <si>
    <t>157263-1</t>
  </si>
  <si>
    <t>USP9159EAD42</t>
  </si>
  <si>
    <t>CIMTUP 8 12/07/2038</t>
  </si>
  <si>
    <t>CIMENTO TUPI</t>
  </si>
  <si>
    <t>171365-1</t>
  </si>
  <si>
    <t>USP32ESCAC23</t>
  </si>
  <si>
    <t>CREAL 8 01/21/2028 REGS - Escrow</t>
  </si>
  <si>
    <t>CREDITO REAL</t>
  </si>
  <si>
    <t>4286-1</t>
  </si>
  <si>
    <t>USP32086AR44</t>
  </si>
  <si>
    <t>CREDVA 8.875 02/07/2025 REGS</t>
  </si>
  <si>
    <t>CREDIVALORES</t>
  </si>
  <si>
    <t>CREDVA 8.875 02/07/2025</t>
  </si>
  <si>
    <t>771-1</t>
  </si>
  <si>
    <t>XS0523748639</t>
  </si>
  <si>
    <t>CZRSBZ 7 07/08/2013 1</t>
  </si>
  <si>
    <t>772-1</t>
  </si>
  <si>
    <t>XS0619861031</t>
  </si>
  <si>
    <t>CZRSBZ 7.625 04/21/2014</t>
  </si>
  <si>
    <t>773-1</t>
  </si>
  <si>
    <t>XS0452252835</t>
  </si>
  <si>
    <t>CZRSBZ 8 09/17/2012 EMTN</t>
  </si>
  <si>
    <t>CZRSBZ 8 09/17/2012</t>
  </si>
  <si>
    <t>775-1</t>
  </si>
  <si>
    <t>CZRSBZ 8.25 01/20/2016 REGS</t>
  </si>
  <si>
    <t>777-1</t>
  </si>
  <si>
    <t>CZRSBZ 8.5 02/20/2015 REGS</t>
  </si>
  <si>
    <t>160766-1</t>
  </si>
  <si>
    <t>USP3771ABF77</t>
  </si>
  <si>
    <t>ENJOY 8 07/10/2029 A</t>
  </si>
  <si>
    <t>583-1</t>
  </si>
  <si>
    <t>XS0191675007</t>
  </si>
  <si>
    <t>BCOSAN 5.25 04/28/2005</t>
  </si>
  <si>
    <t>BANCO SANTOS</t>
  </si>
  <si>
    <t>584-1</t>
  </si>
  <si>
    <t>XS0204102213</t>
  </si>
  <si>
    <t>BCOSAN 5.75 10/25/2005 EMTN</t>
  </si>
  <si>
    <t>BCOSAN 5.75 10/25/2005</t>
  </si>
  <si>
    <t>585-1</t>
  </si>
  <si>
    <t>XS0196402308</t>
  </si>
  <si>
    <t>BCOSAN 6 07/14/2005 EMTN</t>
  </si>
  <si>
    <t>BCOSAN 6 07/14/2005</t>
  </si>
  <si>
    <t>715-1</t>
  </si>
  <si>
    <t>CASITA 7.5 06/29/2018 REGS</t>
  </si>
  <si>
    <t>849-1</t>
  </si>
  <si>
    <t>USG3812TAA90</t>
  </si>
  <si>
    <t>GSHPBR 12 PERP Regs</t>
  </si>
  <si>
    <t>GSHPBR 12 PERP</t>
  </si>
  <si>
    <t>US370837AA46</t>
  </si>
  <si>
    <t>204645-1</t>
  </si>
  <si>
    <t>NO0013713107</t>
  </si>
  <si>
    <t>FOREBR 16 04/26/2028 INT 27012026</t>
  </si>
  <si>
    <t>214791-1</t>
  </si>
  <si>
    <t>NO0013741926</t>
  </si>
  <si>
    <t>FOREBR 16 04/26/2028 INT 27042026</t>
  </si>
  <si>
    <t>193873-1</t>
  </si>
  <si>
    <t>NO0013685107</t>
  </si>
  <si>
    <t>FOREBR 16 04/26/2028 INT 27102025</t>
  </si>
  <si>
    <t>181402-1</t>
  </si>
  <si>
    <t>NO0013623405</t>
  </si>
  <si>
    <t>FOREBR 16 04/26/2028 INT 28072025</t>
  </si>
  <si>
    <t>199992-1</t>
  </si>
  <si>
    <t>NO0013697714</t>
  </si>
  <si>
    <t>GALLEO 13.75 03/04/2028 INT 04092025</t>
  </si>
  <si>
    <t>4311-1</t>
  </si>
  <si>
    <t>USP73699BH55</t>
  </si>
  <si>
    <t>GFMEGA 8.25 02/11/2025 REGS</t>
  </si>
  <si>
    <t>OPERADORA SERVICIOS MEGA</t>
  </si>
  <si>
    <t>GFMEGA 8.25 02/11/2025</t>
  </si>
  <si>
    <t>840-1</t>
  </si>
  <si>
    <t>NO0010740459</t>
  </si>
  <si>
    <t>GOLITH 12 06/11/2020</t>
  </si>
  <si>
    <t>GOLIATH</t>
  </si>
  <si>
    <t>841-1</t>
  </si>
  <si>
    <t>NO0010740467</t>
  </si>
  <si>
    <t>GOLITH 15 06/11/2020</t>
  </si>
  <si>
    <t>441-1</t>
  </si>
  <si>
    <t>BBG019RLCJ80</t>
  </si>
  <si>
    <t>ADASA 10% 07/30/2030</t>
  </si>
  <si>
    <t>AUTOPISTAS DEL ATLANTICO</t>
  </si>
  <si>
    <t>HN</t>
  </si>
  <si>
    <t>31131-1</t>
  </si>
  <si>
    <t>NO0010838584</t>
  </si>
  <si>
    <t>INTSPN 0 PERP Intr</t>
  </si>
  <si>
    <t>31130-1</t>
  </si>
  <si>
    <t>NO0010838592</t>
  </si>
  <si>
    <t>INTSPN 0 PERP INtr</t>
  </si>
  <si>
    <t>31129-1</t>
  </si>
  <si>
    <t>NO0010838634</t>
  </si>
  <si>
    <t>INTSPN 0 PERP INTr</t>
  </si>
  <si>
    <t>865-1</t>
  </si>
  <si>
    <t>NO0010838550</t>
  </si>
  <si>
    <t>INTSPN 7.5 01/24/2019 IN 241017</t>
  </si>
  <si>
    <t>31128-1</t>
  </si>
  <si>
    <t>NO0010843022</t>
  </si>
  <si>
    <t>INTSPN 0 PERP INTR</t>
  </si>
  <si>
    <t>159173-1</t>
  </si>
  <si>
    <t>US53223N2080</t>
  </si>
  <si>
    <t>LIGTBZ 0 08/31/2027</t>
  </si>
  <si>
    <t>35811-1</t>
  </si>
  <si>
    <t>USG57058AD40</t>
  </si>
  <si>
    <t>LUPABZ 0.4 PERP</t>
  </si>
  <si>
    <t>LUPATECH</t>
  </si>
  <si>
    <t>929-1</t>
  </si>
  <si>
    <t>NO0010691116</t>
  </si>
  <si>
    <t>OCEANO 12 10/09/2018</t>
  </si>
  <si>
    <t>32259-1</t>
  </si>
  <si>
    <t>XS2370808318</t>
  </si>
  <si>
    <t>OIBRBZ 8.75 07/30/2026</t>
  </si>
  <si>
    <t>941-1</t>
  </si>
  <si>
    <t>NO0010841505</t>
  </si>
  <si>
    <t>OROSGP 12 12/20/2026</t>
  </si>
  <si>
    <t>209439-29</t>
  </si>
  <si>
    <t>BRAPCSCRA0N4</t>
  </si>
  <si>
    <t>APICBZ 3.602 07/16/2029 26</t>
  </si>
  <si>
    <t>209273-29</t>
  </si>
  <si>
    <t>BRAPCSCRA1Y9</t>
  </si>
  <si>
    <t>APICBZ 6.0081 10/15/2030 73-1</t>
  </si>
  <si>
    <t>226683-29</t>
  </si>
  <si>
    <t>BRAPCSCRA1Z6</t>
  </si>
  <si>
    <t>APICBZ 6.2513 10/17/2033 73-2</t>
  </si>
  <si>
    <t>226684-29</t>
  </si>
  <si>
    <t>BRAPCSCRA1B7</t>
  </si>
  <si>
    <t>APICBZ 6.5885 08/16/2032 38-1</t>
  </si>
  <si>
    <t>226685-29</t>
  </si>
  <si>
    <t>BRAPCSCRA1C5</t>
  </si>
  <si>
    <t>APICBZ 6.7382 08/17/2037 38-2</t>
  </si>
  <si>
    <t>205494-29</t>
  </si>
  <si>
    <t>BRRESADBS039</t>
  </si>
  <si>
    <t>RAIZBZ 3.539 11/15/2029 14</t>
  </si>
  <si>
    <t>226885-29</t>
  </si>
  <si>
    <t>BRRESADBS054</t>
  </si>
  <si>
    <t>RAIZBZ 5.8 06/15/2030 15</t>
  </si>
  <si>
    <t>222699-29</t>
  </si>
  <si>
    <t>BRRESADBS070</t>
  </si>
  <si>
    <t>RAIZBZ 5.9219 03/15/2029 17</t>
  </si>
  <si>
    <t>226996-29</t>
  </si>
  <si>
    <t>BRRESADBS088</t>
  </si>
  <si>
    <t>RAIZBZ 5.9645 03/15/2032 27</t>
  </si>
  <si>
    <t>227576-29</t>
  </si>
  <si>
    <t>BRRAIZDBS027</t>
  </si>
  <si>
    <t>RAIZBZ 6.4794 09/15/2039 23</t>
  </si>
  <si>
    <t>203106-29</t>
  </si>
  <si>
    <t>BRRAIZDBS019</t>
  </si>
  <si>
    <t>RAIZBZ 6.4879 09/15/2034 13</t>
  </si>
  <si>
    <t>208992-29</t>
  </si>
  <si>
    <t>BRRESADBS096</t>
  </si>
  <si>
    <t>RAIZBZ Float 07/15/2030</t>
  </si>
  <si>
    <t>226886-29</t>
  </si>
  <si>
    <t>BRRBRACRA0F0</t>
  </si>
  <si>
    <t>RBCSBZ 4.04 03/16/2026 2-2</t>
  </si>
  <si>
    <t>161099-1</t>
  </si>
  <si>
    <t>NO0013471193</t>
  </si>
  <si>
    <t>SEAPT 16 01/29/27 INT 29012025</t>
  </si>
  <si>
    <t>205354-1</t>
  </si>
  <si>
    <t>NO0013721605</t>
  </si>
  <si>
    <t>SEAPT 16 01/29/2027 INT 29012026</t>
  </si>
  <si>
    <t>181048-1</t>
  </si>
  <si>
    <t>NO0013623926</t>
  </si>
  <si>
    <t>SEAPT 16 01/29/27 INT 29072025</t>
  </si>
  <si>
    <t>135285-1</t>
  </si>
  <si>
    <t>US904ESCAG52</t>
  </si>
  <si>
    <t>UNIFIN 7 01/15/25 REGS (Escrow) CASH</t>
  </si>
  <si>
    <t>UNIFIN FINANCIERA</t>
  </si>
  <si>
    <t>201208-29</t>
  </si>
  <si>
    <t>BRAMERDBS0H5</t>
  </si>
  <si>
    <t>BTOWBZ 8.35 07/26/2029 G2</t>
  </si>
  <si>
    <t>AMERICANAS</t>
  </si>
  <si>
    <t>135284-1</t>
  </si>
  <si>
    <t>US904ESCAC49</t>
  </si>
  <si>
    <t>UNIFIN 7.25 09/27/23 REGS (Escrow) CASH</t>
  </si>
  <si>
    <t>135282-1</t>
  </si>
  <si>
    <t>US904ESCAJ91</t>
  </si>
  <si>
    <t>UNIFIN 7.375 02/12/26 REGS (Escrow) CASH</t>
  </si>
  <si>
    <t>135280-1</t>
  </si>
  <si>
    <t>US904ESCAL48</t>
  </si>
  <si>
    <t>UNIFIN 8.375 01/27/28 REGS (Escrow) CASH</t>
  </si>
  <si>
    <t>135286-1</t>
  </si>
  <si>
    <t>US904ESCAN04</t>
  </si>
  <si>
    <t>UNIFIN 9.875 01/28/29 144A (Escrow) CASH</t>
  </si>
  <si>
    <t>161091-1</t>
  </si>
  <si>
    <t>USL9467UAD92</t>
  </si>
  <si>
    <t>UNIGEL 13.5 12/31/2027 REGS</t>
  </si>
  <si>
    <t>UNIGEL 13.5 12/31/2027</t>
  </si>
  <si>
    <t>US904752AC66</t>
  </si>
  <si>
    <t>161001-1</t>
  </si>
  <si>
    <t>USN9T23TAA20</t>
  </si>
  <si>
    <t>UNIGNL 15 12/31/44 REGS</t>
  </si>
  <si>
    <t>UNIGNL 15 12/31/44</t>
  </si>
  <si>
    <t>151465-1</t>
  </si>
  <si>
    <t>GSHPBR 12 PERP 144A</t>
  </si>
  <si>
    <t>219502-1</t>
  </si>
  <si>
    <t>NO0013739284</t>
  </si>
  <si>
    <t>ORO SGP</t>
  </si>
  <si>
    <t>161090-1</t>
  </si>
  <si>
    <t>UNIGEL 13.5 12/31/2027 144A</t>
  </si>
  <si>
    <t>115460-29</t>
  </si>
  <si>
    <t>BRBRKMDBS0D5</t>
  </si>
  <si>
    <t>BRASKM F 11/09/2029 A81</t>
  </si>
  <si>
    <t>115862-29</t>
  </si>
  <si>
    <t>BRELFADBS021</t>
  </si>
  <si>
    <t>ELFABZ Float 04/13/2028</t>
  </si>
  <si>
    <t>ELFA MEDICAMENTOS</t>
  </si>
  <si>
    <t>130023-29</t>
  </si>
  <si>
    <t>BRPCARDBS0F8</t>
  </si>
  <si>
    <t>PCARBZ F 05/10/2028 B8</t>
  </si>
  <si>
    <t>PAO ACUCAR</t>
  </si>
  <si>
    <t>227718-39</t>
  </si>
  <si>
    <t>FACRCGP77804</t>
  </si>
  <si>
    <t>TELEFONICA CHILE</t>
  </si>
  <si>
    <t>227728-39</t>
  </si>
  <si>
    <t>FACRCGP77805</t>
  </si>
  <si>
    <t>227719-39</t>
  </si>
  <si>
    <t>FACRCGP77806</t>
  </si>
  <si>
    <t>227731-39</t>
  </si>
  <si>
    <t>FACRCGP77807</t>
  </si>
  <si>
    <t>227727-39</t>
  </si>
  <si>
    <t>FACRCGP77808</t>
  </si>
  <si>
    <t>227723-39</t>
  </si>
  <si>
    <t>FACRCGP77809</t>
  </si>
  <si>
    <t>227721-39</t>
  </si>
  <si>
    <t>FACRCGP77810</t>
  </si>
  <si>
    <t>227729-39</t>
  </si>
  <si>
    <t>FACRCGP77811</t>
  </si>
  <si>
    <t>227725-39</t>
  </si>
  <si>
    <t>FACRCGP77812</t>
  </si>
  <si>
    <t>227724-39</t>
  </si>
  <si>
    <t>FACRCGP77813</t>
  </si>
  <si>
    <t>227722-39</t>
  </si>
  <si>
    <t>FACRCGP77814</t>
  </si>
  <si>
    <t>227726-39</t>
  </si>
  <si>
    <t>FACRCGP77815</t>
  </si>
  <si>
    <t>228103-39</t>
  </si>
  <si>
    <t>FACRCGP77923</t>
  </si>
  <si>
    <t>228102-39</t>
  </si>
  <si>
    <t>FACRCGP77924</t>
  </si>
  <si>
    <t>228109-39</t>
  </si>
  <si>
    <t>FACRCGP77925</t>
  </si>
  <si>
    <t>228104-39</t>
  </si>
  <si>
    <t>FACRCGP77926</t>
  </si>
  <si>
    <t>228105-39</t>
  </si>
  <si>
    <t>FACRCGP77927</t>
  </si>
  <si>
    <t>228106-39</t>
  </si>
  <si>
    <t>FACRCGP77928</t>
  </si>
  <si>
    <t>228111-39</t>
  </si>
  <si>
    <t>FACRCGP77929</t>
  </si>
  <si>
    <t>228107-39</t>
  </si>
  <si>
    <t>FACRCGP77930</t>
  </si>
  <si>
    <t>228108-39</t>
  </si>
  <si>
    <t>FACRCGP77931</t>
  </si>
  <si>
    <t>228101-39</t>
  </si>
  <si>
    <t>FACRCGP77933</t>
  </si>
  <si>
    <t>228112-39</t>
  </si>
  <si>
    <t>FACRCGP77934</t>
  </si>
  <si>
    <t>228110-39</t>
  </si>
  <si>
    <t>FACRCGP77935</t>
  </si>
  <si>
    <t>225896-39</t>
  </si>
  <si>
    <t>FACRCPP44585PR1</t>
  </si>
  <si>
    <t>225897-39</t>
  </si>
  <si>
    <t>FACRCPP44586PR1</t>
  </si>
  <si>
    <t>206736-39</t>
  </si>
  <si>
    <t>FACRCPP45628</t>
  </si>
  <si>
    <t>206735-39</t>
  </si>
  <si>
    <t>FACRCPP45629</t>
  </si>
  <si>
    <t>206737-39</t>
  </si>
  <si>
    <t>FACRCPP45630</t>
  </si>
  <si>
    <t>209435-39</t>
  </si>
  <si>
    <t>FACRCPP54599</t>
  </si>
  <si>
    <t>213988-39</t>
  </si>
  <si>
    <t>FACRCPP58696</t>
  </si>
  <si>
    <t>226392-39</t>
  </si>
  <si>
    <t>FACRCPP58697PR1</t>
  </si>
  <si>
    <t>225898-39</t>
  </si>
  <si>
    <t>FACRCPP58698PR1</t>
  </si>
  <si>
    <t>225899-39</t>
  </si>
  <si>
    <t>FACRCPP58699PR1</t>
  </si>
  <si>
    <t>225900-39</t>
  </si>
  <si>
    <t>FACRCPP58700PR1</t>
  </si>
  <si>
    <t>226393-39</t>
  </si>
  <si>
    <t>FACRCPP59395PR1</t>
  </si>
  <si>
    <t>226394-39</t>
  </si>
  <si>
    <t>FACRCPP59396PR1</t>
  </si>
  <si>
    <t>214497-39</t>
  </si>
  <si>
    <t>FACRCPP59397</t>
  </si>
  <si>
    <t>214498-39</t>
  </si>
  <si>
    <t>FACRCPP59398</t>
  </si>
  <si>
    <t>214499-39</t>
  </si>
  <si>
    <t>FACRCPP59399</t>
  </si>
  <si>
    <t>223326-39</t>
  </si>
  <si>
    <t>FACRCPP71734</t>
  </si>
  <si>
    <t>223328-39</t>
  </si>
  <si>
    <t>FACRCPP71736</t>
  </si>
  <si>
    <t>223329-39</t>
  </si>
  <si>
    <t>FACRCPP71737</t>
  </si>
  <si>
    <t>223330-39</t>
  </si>
  <si>
    <t>FACRCPP71738</t>
  </si>
  <si>
    <t>223331-39</t>
  </si>
  <si>
    <t>FACRCPP71739</t>
  </si>
  <si>
    <t>223519-39</t>
  </si>
  <si>
    <t>FACRCPP71911</t>
  </si>
  <si>
    <t>224197-39</t>
  </si>
  <si>
    <t>FACRCPP73323</t>
  </si>
  <si>
    <t>224970-39</t>
  </si>
  <si>
    <t>FACRCPP74024</t>
  </si>
  <si>
    <t>227436-39</t>
  </si>
  <si>
    <t>FACRCPP77255</t>
  </si>
  <si>
    <t>227568-39</t>
  </si>
  <si>
    <t>FACRCPP77513</t>
  </si>
  <si>
    <t>227567-39</t>
  </si>
  <si>
    <t>FACRCPP77514</t>
  </si>
  <si>
    <t>227559-39</t>
  </si>
  <si>
    <t>FACRCPP77515</t>
  </si>
  <si>
    <t>227558-39</t>
  </si>
  <si>
    <t>FACRCPP77516</t>
  </si>
  <si>
    <t>227569-39</t>
  </si>
  <si>
    <t>FACRCPP77526</t>
  </si>
  <si>
    <t>227566-39</t>
  </si>
  <si>
    <t>FACRCPP77527</t>
  </si>
  <si>
    <t>227565-39</t>
  </si>
  <si>
    <t>FACRCPP77528</t>
  </si>
  <si>
    <t>227564-39</t>
  </si>
  <si>
    <t>FACRCPP77531</t>
  </si>
  <si>
    <t>227557-39</t>
  </si>
  <si>
    <t>FACRCPP77532</t>
  </si>
  <si>
    <t>227562-39</t>
  </si>
  <si>
    <t>FACRCPP77535</t>
  </si>
  <si>
    <t>227556-39</t>
  </si>
  <si>
    <t>FACRCPP77536</t>
  </si>
  <si>
    <t>227555-39</t>
  </si>
  <si>
    <t>FACRCPP77537</t>
  </si>
  <si>
    <t>227560-39</t>
  </si>
  <si>
    <t>FACRCPP77538</t>
  </si>
  <si>
    <t>227573-39</t>
  </si>
  <si>
    <t>FACRCPP77539</t>
  </si>
  <si>
    <t>227574-39</t>
  </si>
  <si>
    <t>FACRCPP77540</t>
  </si>
  <si>
    <t>227561-39</t>
  </si>
  <si>
    <t>FACRCPP77541</t>
  </si>
  <si>
    <t>227572-39</t>
  </si>
  <si>
    <t>FACRCPP77542</t>
  </si>
  <si>
    <t>227563-39</t>
  </si>
  <si>
    <t>FACRCPP77543</t>
  </si>
  <si>
    <t>227570-39</t>
  </si>
  <si>
    <t>FACRCPP77551</t>
  </si>
  <si>
    <t>227748-39</t>
  </si>
  <si>
    <t>FACRCPP77597</t>
  </si>
  <si>
    <t>227747-39</t>
  </si>
  <si>
    <t>FACRCPP77668</t>
  </si>
  <si>
    <t>227750-39</t>
  </si>
  <si>
    <t>FACRCPP77669</t>
  </si>
  <si>
    <t>227746-39</t>
  </si>
  <si>
    <t>FACRCPP77670</t>
  </si>
  <si>
    <t>227749-39</t>
  </si>
  <si>
    <t>FACRCPP77684</t>
  </si>
  <si>
    <t>227751-39</t>
  </si>
  <si>
    <t>FACRCPP77685</t>
  </si>
  <si>
    <t>228131-39</t>
  </si>
  <si>
    <t>FACRCPP77922</t>
  </si>
  <si>
    <t>228159-39</t>
  </si>
  <si>
    <t>FACRCPP77981</t>
  </si>
  <si>
    <t>228143-39</t>
  </si>
  <si>
    <t>FACRCPP77982</t>
  </si>
  <si>
    <t>228162-39</t>
  </si>
  <si>
    <t>FACRCPP77983</t>
  </si>
  <si>
    <t>228142-39</t>
  </si>
  <si>
    <t>FACRCPP77984</t>
  </si>
  <si>
    <t>228154-39</t>
  </si>
  <si>
    <t>FACRCPP77985</t>
  </si>
  <si>
    <t>228155-39</t>
  </si>
  <si>
    <t>FACRCPP77986</t>
  </si>
  <si>
    <t>228156-39</t>
  </si>
  <si>
    <t>FACRCPP77987</t>
  </si>
  <si>
    <t>228163-39</t>
  </si>
  <si>
    <t>FACRCPP77988</t>
  </si>
  <si>
    <t>228134-39</t>
  </si>
  <si>
    <t>FACRCPP77989</t>
  </si>
  <si>
    <t>228136-39</t>
  </si>
  <si>
    <t>FACRCPP77990</t>
  </si>
  <si>
    <t>228150-39</t>
  </si>
  <si>
    <t>FACRCPP78021</t>
  </si>
  <si>
    <t>228157-39</t>
  </si>
  <si>
    <t>FACRCPP78025</t>
  </si>
  <si>
    <t>228144-39</t>
  </si>
  <si>
    <t>FACRCPP78026</t>
  </si>
  <si>
    <t>228145-39</t>
  </si>
  <si>
    <t>FACRCPP78027</t>
  </si>
  <si>
    <t>228146-39</t>
  </si>
  <si>
    <t>FACRCPP78028</t>
  </si>
  <si>
    <t>228147-39</t>
  </si>
  <si>
    <t>FACRCPP78029</t>
  </si>
  <si>
    <t>228148-39</t>
  </si>
  <si>
    <t>FACRCPP78030</t>
  </si>
  <si>
    <t>228149-39</t>
  </si>
  <si>
    <t>FACRCPP78031</t>
  </si>
  <si>
    <t>228151-39</t>
  </si>
  <si>
    <t>FACRCPP78032</t>
  </si>
  <si>
    <t>228158-39</t>
  </si>
  <si>
    <t>FACRCPP78033</t>
  </si>
  <si>
    <t>228152-39</t>
  </si>
  <si>
    <t>FACRCPP78034</t>
  </si>
  <si>
    <t>228153-39</t>
  </si>
  <si>
    <t>FACRCPP78035</t>
  </si>
  <si>
    <t>228130-39</t>
  </si>
  <si>
    <t>FACRCPP78036</t>
  </si>
  <si>
    <t>228167-39</t>
  </si>
  <si>
    <t>FACRCPP78037</t>
  </si>
  <si>
    <t>228164-39</t>
  </si>
  <si>
    <t>FACRCPP78038</t>
  </si>
  <si>
    <t>228165-39</t>
  </si>
  <si>
    <t>FACRCPP78039</t>
  </si>
  <si>
    <t>228166-39</t>
  </si>
  <si>
    <t>FACRCPP78040</t>
  </si>
  <si>
    <t>228141-39</t>
  </si>
  <si>
    <t>FACRCPP78293</t>
  </si>
  <si>
    <t>228133-39</t>
  </si>
  <si>
    <t>FACRCPP78351</t>
  </si>
  <si>
    <t>228132-39</t>
  </si>
  <si>
    <t>FACRCPP78352</t>
  </si>
  <si>
    <t>228175-39</t>
  </si>
  <si>
    <t>FACRCPP78353</t>
  </si>
  <si>
    <t>228161-39</t>
  </si>
  <si>
    <t>FACRCPP78354</t>
  </si>
  <si>
    <t>228171-39</t>
  </si>
  <si>
    <t>FACRCPP78355</t>
  </si>
  <si>
    <t>228172-39</t>
  </si>
  <si>
    <t>FACRCPP78356</t>
  </si>
  <si>
    <t>228160-39</t>
  </si>
  <si>
    <t>FACRCPP78357</t>
  </si>
  <si>
    <t>228176-39</t>
  </si>
  <si>
    <t>FACRCPP78358</t>
  </si>
  <si>
    <t>228169-39</t>
  </si>
  <si>
    <t>FACRCPP78359</t>
  </si>
  <si>
    <t>228170-39</t>
  </si>
  <si>
    <t>FACRCPP78360</t>
  </si>
  <si>
    <t>228173-39</t>
  </si>
  <si>
    <t>FACRCPP78361</t>
  </si>
  <si>
    <t>228168-39</t>
  </si>
  <si>
    <t>FACRCPP78362</t>
  </si>
  <si>
    <t>228174-39</t>
  </si>
  <si>
    <t>FACRCPP78363</t>
  </si>
  <si>
    <t>228135-39</t>
  </si>
  <si>
    <t>FACRCPP78397</t>
  </si>
  <si>
    <t>228137-39</t>
  </si>
  <si>
    <t>FACRCPP78398</t>
  </si>
  <si>
    <t>228138-39</t>
  </si>
  <si>
    <t>FACRCPP78399</t>
  </si>
  <si>
    <t>228140-39</t>
  </si>
  <si>
    <t>FACRCPP78441</t>
  </si>
  <si>
    <t>228177-39</t>
  </si>
  <si>
    <t>FACRCPP78442</t>
  </si>
  <si>
    <t>228139-39</t>
  </si>
  <si>
    <t>FACRCPP78443</t>
  </si>
  <si>
    <t>210100-1</t>
  </si>
  <si>
    <t>FACRC52656</t>
  </si>
  <si>
    <t>209956-1</t>
  </si>
  <si>
    <t>FACRC52657</t>
  </si>
  <si>
    <t>210119-1</t>
  </si>
  <si>
    <t>FACRC52658</t>
  </si>
  <si>
    <t>210108-1</t>
  </si>
  <si>
    <t>FACRC52659</t>
  </si>
  <si>
    <t>210001-1</t>
  </si>
  <si>
    <t>FACRC52660</t>
  </si>
  <si>
    <t>210019-1</t>
  </si>
  <si>
    <t>FACRC52661</t>
  </si>
  <si>
    <t>210102-1</t>
  </si>
  <si>
    <t>FACRC52662</t>
  </si>
  <si>
    <t>209997-1</t>
  </si>
  <si>
    <t>FACRC52663</t>
  </si>
  <si>
    <t>210013-1</t>
  </si>
  <si>
    <t>FACRC52664</t>
  </si>
  <si>
    <t>210008-1</t>
  </si>
  <si>
    <t>FACRC52665</t>
  </si>
  <si>
    <t>210107-1</t>
  </si>
  <si>
    <t>FACRC52666</t>
  </si>
  <si>
    <t>210017-1</t>
  </si>
  <si>
    <t>FACRC52667</t>
  </si>
  <si>
    <t>210018-1</t>
  </si>
  <si>
    <t>FACRC52668</t>
  </si>
  <si>
    <t>209996-1</t>
  </si>
  <si>
    <t>FACRC54442</t>
  </si>
  <si>
    <t>209887-1</t>
  </si>
  <si>
    <t>FACRC54443</t>
  </si>
  <si>
    <t>209889-1</t>
  </si>
  <si>
    <t>FACRC54444</t>
  </si>
  <si>
    <t>209886-1</t>
  </si>
  <si>
    <t>FACRC54445</t>
  </si>
  <si>
    <t>209888-1</t>
  </si>
  <si>
    <t>FACRC54446</t>
  </si>
  <si>
    <t>209885-1</t>
  </si>
  <si>
    <t>FACRC54447</t>
  </si>
  <si>
    <t>209994-1</t>
  </si>
  <si>
    <t>FACRC54451</t>
  </si>
  <si>
    <t>209880-1</t>
  </si>
  <si>
    <t>FACRC54452</t>
  </si>
  <si>
    <t>209883-1</t>
  </si>
  <si>
    <t>FACRC54453</t>
  </si>
  <si>
    <t>209873-1</t>
  </si>
  <si>
    <t>FACRC54482</t>
  </si>
  <si>
    <t>209869-1</t>
  </si>
  <si>
    <t>FACRC54483</t>
  </si>
  <si>
    <t>209864-1</t>
  </si>
  <si>
    <t>FACRC54484</t>
  </si>
  <si>
    <t>210005-1</t>
  </si>
  <si>
    <t>FACRC54485</t>
  </si>
  <si>
    <t>209872-1</t>
  </si>
  <si>
    <t>FACRC54486</t>
  </si>
  <si>
    <t>209870-1</t>
  </si>
  <si>
    <t>FACRC54487</t>
  </si>
  <si>
    <t>210006-1</t>
  </si>
  <si>
    <t>FACRC54488</t>
  </si>
  <si>
    <t>209833-1</t>
  </si>
  <si>
    <t>FACRC54489</t>
  </si>
  <si>
    <t>209867-1</t>
  </si>
  <si>
    <t>FACRC54490</t>
  </si>
  <si>
    <t>209865-1</t>
  </si>
  <si>
    <t>FACRC54491</t>
  </si>
  <si>
    <t>209986-1</t>
  </si>
  <si>
    <t>FACRC54492</t>
  </si>
  <si>
    <t>209969-1</t>
  </si>
  <si>
    <t>FACRC54493</t>
  </si>
  <si>
    <t>209866-1</t>
  </si>
  <si>
    <t>FACRC54494</t>
  </si>
  <si>
    <t>209892-1</t>
  </si>
  <si>
    <t>FACRC54495</t>
  </si>
  <si>
    <t>210003-1</t>
  </si>
  <si>
    <t>FACRC54496</t>
  </si>
  <si>
    <t>209901-1</t>
  </si>
  <si>
    <t>FACRC54497</t>
  </si>
  <si>
    <t>209902-1</t>
  </si>
  <si>
    <t>FACRC54498</t>
  </si>
  <si>
    <t>209903-1</t>
  </si>
  <si>
    <t>FACRC54499</t>
  </si>
  <si>
    <t>209894-1</t>
  </si>
  <si>
    <t>FACRC54500</t>
  </si>
  <si>
    <t>209895-1</t>
  </si>
  <si>
    <t>FACRC54501</t>
  </si>
  <si>
    <t>209896-1</t>
  </si>
  <si>
    <t>FACRC54502</t>
  </si>
  <si>
    <t>209897-1</t>
  </si>
  <si>
    <t>FACRC54503</t>
  </si>
  <si>
    <t>209898-1</t>
  </si>
  <si>
    <t>FACRC54504</t>
  </si>
  <si>
    <t>209899-1</t>
  </si>
  <si>
    <t>FACRC54505</t>
  </si>
  <si>
    <t>209900-1</t>
  </si>
  <si>
    <t>FACRC54506</t>
  </si>
  <si>
    <t>210004-1</t>
  </si>
  <si>
    <t>FACRC54507</t>
  </si>
  <si>
    <t>209906-1</t>
  </si>
  <si>
    <t>FACRC54508</t>
  </si>
  <si>
    <t>209893-1</t>
  </si>
  <si>
    <t>FACRC54509</t>
  </si>
  <si>
    <t>209876-1</t>
  </si>
  <si>
    <t>FACRC54510</t>
  </si>
  <si>
    <t>209862-1</t>
  </si>
  <si>
    <t>FACRC54511</t>
  </si>
  <si>
    <t>209852-1</t>
  </si>
  <si>
    <t>FACRC54512</t>
  </si>
  <si>
    <t>209851-1</t>
  </si>
  <si>
    <t>FACRC54513</t>
  </si>
  <si>
    <t>209910-1</t>
  </si>
  <si>
    <t>FACRC54514</t>
  </si>
  <si>
    <t>209855-1</t>
  </si>
  <si>
    <t>FACRC54515</t>
  </si>
  <si>
    <t>209970-1</t>
  </si>
  <si>
    <t>FACRC54516</t>
  </si>
  <si>
    <t>209854-1</t>
  </si>
  <si>
    <t>FACRC54517</t>
  </si>
  <si>
    <t>209938-1</t>
  </si>
  <si>
    <t>FACRC54518</t>
  </si>
  <si>
    <t>209840-1</t>
  </si>
  <si>
    <t>FACRC54519</t>
  </si>
  <si>
    <t>209971-1</t>
  </si>
  <si>
    <t>FACRC54520</t>
  </si>
  <si>
    <t>209838-1</t>
  </si>
  <si>
    <t>FACRC54521</t>
  </si>
  <si>
    <t>209847-1</t>
  </si>
  <si>
    <t>FACRC54522</t>
  </si>
  <si>
    <t>209944-1</t>
  </si>
  <si>
    <t>FACRC54523</t>
  </si>
  <si>
    <t>209853-1</t>
  </si>
  <si>
    <t>FACRC54524</t>
  </si>
  <si>
    <t>209943-1</t>
  </si>
  <si>
    <t>FACRC54525</t>
  </si>
  <si>
    <t>209836-1</t>
  </si>
  <si>
    <t>FACRC54526</t>
  </si>
  <si>
    <t>210127-1</t>
  </si>
  <si>
    <t>FACRC54527</t>
  </si>
  <si>
    <t>209941-1</t>
  </si>
  <si>
    <t>FACRC54528</t>
  </si>
  <si>
    <t>209940-1</t>
  </si>
  <si>
    <t>FACRC54529</t>
  </si>
  <si>
    <t>209918-1</t>
  </si>
  <si>
    <t>FACRC54530</t>
  </si>
  <si>
    <t>209919-1</t>
  </si>
  <si>
    <t>FACRC54531</t>
  </si>
  <si>
    <t>209871-1</t>
  </si>
  <si>
    <t>FACRC54532</t>
  </si>
  <si>
    <t>210110-1</t>
  </si>
  <si>
    <t>FACRC54533</t>
  </si>
  <si>
    <t>209911-1</t>
  </si>
  <si>
    <t>FACRC54534</t>
  </si>
  <si>
    <t>209912-1</t>
  </si>
  <si>
    <t>FACRC54535</t>
  </si>
  <si>
    <t>209916-1</t>
  </si>
  <si>
    <t>FACRC54536</t>
  </si>
  <si>
    <t>209917-1</t>
  </si>
  <si>
    <t>FACRC54537</t>
  </si>
  <si>
    <t>209829-1</t>
  </si>
  <si>
    <t>FACRC54538</t>
  </si>
  <si>
    <t>209856-1</t>
  </si>
  <si>
    <t>FACRC54539</t>
  </si>
  <si>
    <t>209837-1</t>
  </si>
  <si>
    <t>FACRC54540</t>
  </si>
  <si>
    <t>209824-1</t>
  </si>
  <si>
    <t>FACRC54541</t>
  </si>
  <si>
    <t>209834-1</t>
  </si>
  <si>
    <t>FACRC54542</t>
  </si>
  <si>
    <t>209973-1</t>
  </si>
  <si>
    <t>FACRC54543</t>
  </si>
  <si>
    <t>209921-1</t>
  </si>
  <si>
    <t>FACRC54544</t>
  </si>
  <si>
    <t>209923-1</t>
  </si>
  <si>
    <t>FACRC54545</t>
  </si>
  <si>
    <t>210026-1</t>
  </si>
  <si>
    <t>FACRC54546</t>
  </si>
  <si>
    <t>209978-1</t>
  </si>
  <si>
    <t>FACRC54547</t>
  </si>
  <si>
    <t>209832-1</t>
  </si>
  <si>
    <t>FACRC54548</t>
  </si>
  <si>
    <t>209920-1</t>
  </si>
  <si>
    <t>FACRC54549</t>
  </si>
  <si>
    <t>209913-1</t>
  </si>
  <si>
    <t>FACRC54550</t>
  </si>
  <si>
    <t>209914-1</t>
  </si>
  <si>
    <t>FACRC54551</t>
  </si>
  <si>
    <t>209904-1</t>
  </si>
  <si>
    <t>FACRC54552</t>
  </si>
  <si>
    <t>209905-1</t>
  </si>
  <si>
    <t>FACRC54553</t>
  </si>
  <si>
    <t>209907-1</t>
  </si>
  <si>
    <t>FACRC54554</t>
  </si>
  <si>
    <t>209915-1</t>
  </si>
  <si>
    <t>FACRC54555</t>
  </si>
  <si>
    <t>209908-1</t>
  </si>
  <si>
    <t>FACRC54556</t>
  </si>
  <si>
    <t>209909-1</t>
  </si>
  <si>
    <t>FACRC54557</t>
  </si>
  <si>
    <t>217846-39</t>
  </si>
  <si>
    <t>FACRC63855</t>
  </si>
  <si>
    <t>CHILEXPRESS</t>
  </si>
  <si>
    <t>217848-39</t>
  </si>
  <si>
    <t>FACRC63857</t>
  </si>
  <si>
    <t>217776-39</t>
  </si>
  <si>
    <t>FACRC63858</t>
  </si>
  <si>
    <t>217839-39</t>
  </si>
  <si>
    <t>FACRC63859</t>
  </si>
  <si>
    <t>217798-39</t>
  </si>
  <si>
    <t>FACRC63879</t>
  </si>
  <si>
    <t>217799-39</t>
  </si>
  <si>
    <t>FACRC63881</t>
  </si>
  <si>
    <t>217810-39</t>
  </si>
  <si>
    <t>FACRC63882</t>
  </si>
  <si>
    <t>217793-39</t>
  </si>
  <si>
    <t>FACRC63887</t>
  </si>
  <si>
    <t>217792-39</t>
  </si>
  <si>
    <t>FACRC63888</t>
  </si>
  <si>
    <t>218542-39</t>
  </si>
  <si>
    <t>FACRC64812</t>
  </si>
  <si>
    <t>218543-39</t>
  </si>
  <si>
    <t>FACRC64813</t>
  </si>
  <si>
    <t>219015-39</t>
  </si>
  <si>
    <t>FACRC65427</t>
  </si>
  <si>
    <t>219329-39</t>
  </si>
  <si>
    <t>FACRC66025</t>
  </si>
  <si>
    <t>CCU</t>
  </si>
  <si>
    <t>219330-39</t>
  </si>
  <si>
    <t>FACRC66026</t>
  </si>
  <si>
    <t>219339-39</t>
  </si>
  <si>
    <t>FACRC66072</t>
  </si>
  <si>
    <t>[Other Invoices]</t>
  </si>
  <si>
    <t>219348-39</t>
  </si>
  <si>
    <t>FACRC66099</t>
  </si>
  <si>
    <t>219356-39</t>
  </si>
  <si>
    <t>FACRC66116</t>
  </si>
  <si>
    <t>219357-39</t>
  </si>
  <si>
    <t>FACRC66117</t>
  </si>
  <si>
    <t>219358-39</t>
  </si>
  <si>
    <t>FACRC66118</t>
  </si>
  <si>
    <t>219359-39</t>
  </si>
  <si>
    <t>FACRC66123</t>
  </si>
  <si>
    <t>219361-39</t>
  </si>
  <si>
    <t>FACRC66126</t>
  </si>
  <si>
    <t>219383-39</t>
  </si>
  <si>
    <t>FACRC66193</t>
  </si>
  <si>
    <t>219386-39</t>
  </si>
  <si>
    <t>FACRC66198</t>
  </si>
  <si>
    <t>219388-39</t>
  </si>
  <si>
    <t>FACRC66201</t>
  </si>
  <si>
    <t>219390-39</t>
  </si>
  <si>
    <t>FACRC66206</t>
  </si>
  <si>
    <t>219397-39</t>
  </si>
  <si>
    <t>FACRC66228</t>
  </si>
  <si>
    <t>219532-39</t>
  </si>
  <si>
    <t>FACRC66573</t>
  </si>
  <si>
    <t>219533-39</t>
  </si>
  <si>
    <t>FACRC66574</t>
  </si>
  <si>
    <t>219548-39</t>
  </si>
  <si>
    <t>FACRC66577</t>
  </si>
  <si>
    <t>219466-39</t>
  </si>
  <si>
    <t>FACRC66583</t>
  </si>
  <si>
    <t>219464-39</t>
  </si>
  <si>
    <t>FACRC66584</t>
  </si>
  <si>
    <t>219465-39</t>
  </si>
  <si>
    <t>FACRC66585</t>
  </si>
  <si>
    <t>219836-39</t>
  </si>
  <si>
    <t>FACRC66813</t>
  </si>
  <si>
    <t>219845-39</t>
  </si>
  <si>
    <t>FACRC66837</t>
  </si>
  <si>
    <t>219848-39</t>
  </si>
  <si>
    <t>FACRC66845</t>
  </si>
  <si>
    <t>219849-39</t>
  </si>
  <si>
    <t>FACRC66846</t>
  </si>
  <si>
    <t>219850-39</t>
  </si>
  <si>
    <t>FACRC66847</t>
  </si>
  <si>
    <t>219852-39</t>
  </si>
  <si>
    <t>FACRC66853</t>
  </si>
  <si>
    <t>219868-39</t>
  </si>
  <si>
    <t>FACRC66874</t>
  </si>
  <si>
    <t>219869-39</t>
  </si>
  <si>
    <t>FACRC66875</t>
  </si>
  <si>
    <t>219877-39</t>
  </si>
  <si>
    <t>FACRC66885</t>
  </si>
  <si>
    <t>219879-39</t>
  </si>
  <si>
    <t>FACRC66887</t>
  </si>
  <si>
    <t>219880-39</t>
  </si>
  <si>
    <t>FACRC66888</t>
  </si>
  <si>
    <t>219881-39</t>
  </si>
  <si>
    <t>FACRC66889</t>
  </si>
  <si>
    <t>219889-39</t>
  </si>
  <si>
    <t>FACRC66898</t>
  </si>
  <si>
    <t>219898-39</t>
  </si>
  <si>
    <t>FACRC66910</t>
  </si>
  <si>
    <t>219899-39</t>
  </si>
  <si>
    <t>FACRC66911</t>
  </si>
  <si>
    <t>219907-39</t>
  </si>
  <si>
    <t>FACRC66921</t>
  </si>
  <si>
    <t>219914-39</t>
  </si>
  <si>
    <t>FACRC66929</t>
  </si>
  <si>
    <t>219939-39</t>
  </si>
  <si>
    <t>FACRC66958</t>
  </si>
  <si>
    <t>221073-39</t>
  </si>
  <si>
    <t>FACRC68105</t>
  </si>
  <si>
    <t>221074-39</t>
  </si>
  <si>
    <t>FACRC68106</t>
  </si>
  <si>
    <t>221075-39</t>
  </si>
  <si>
    <t>FACRC68107</t>
  </si>
  <si>
    <t>221076-39</t>
  </si>
  <si>
    <t>FACRC68108</t>
  </si>
  <si>
    <t>221083-39</t>
  </si>
  <si>
    <t>FACRC68129</t>
  </si>
  <si>
    <t>221085-39</t>
  </si>
  <si>
    <t>FACRC68131</t>
  </si>
  <si>
    <t>221087-39</t>
  </si>
  <si>
    <t>FACRC68134</t>
  </si>
  <si>
    <t>BNP PARIBAS CARDIF CHILE</t>
  </si>
  <si>
    <t>221088-39</t>
  </si>
  <si>
    <t>FACRC68135</t>
  </si>
  <si>
    <t>221092-39</t>
  </si>
  <si>
    <t>FACRC68562</t>
  </si>
  <si>
    <t>221093-39</t>
  </si>
  <si>
    <t>FACRC68563</t>
  </si>
  <si>
    <t>221094-39</t>
  </si>
  <si>
    <t>FACRC68564</t>
  </si>
  <si>
    <t>221095-39</t>
  </si>
  <si>
    <t>FACRC68565</t>
  </si>
  <si>
    <t>221096-39</t>
  </si>
  <si>
    <t>FACRC68566</t>
  </si>
  <si>
    <t>221107-39</t>
  </si>
  <si>
    <t>FACRC68580</t>
  </si>
  <si>
    <t>221108-39</t>
  </si>
  <si>
    <t>FACRC68581</t>
  </si>
  <si>
    <t>221110-39</t>
  </si>
  <si>
    <t>FACRC68583</t>
  </si>
  <si>
    <t>221111-39</t>
  </si>
  <si>
    <t>FACRC68584</t>
  </si>
  <si>
    <t>221112-39</t>
  </si>
  <si>
    <t>FACRC68586</t>
  </si>
  <si>
    <t>221118-39</t>
  </si>
  <si>
    <t>FACRC68593</t>
  </si>
  <si>
    <t>221119-39</t>
  </si>
  <si>
    <t>FACRC68594</t>
  </si>
  <si>
    <t>221125-39</t>
  </si>
  <si>
    <t>FACRC68602</t>
  </si>
  <si>
    <t>221130-39</t>
  </si>
  <si>
    <t>FACRC68608</t>
  </si>
  <si>
    <t>221398-39</t>
  </si>
  <si>
    <t>FACRC68959</t>
  </si>
  <si>
    <t>SACYR CHILE</t>
  </si>
  <si>
    <t>221399-39</t>
  </si>
  <si>
    <t>FACRC68961</t>
  </si>
  <si>
    <t>221400-39</t>
  </si>
  <si>
    <t>FACRC68962</t>
  </si>
  <si>
    <t>221401-39</t>
  </si>
  <si>
    <t>FACRC68963</t>
  </si>
  <si>
    <t>221402-39</t>
  </si>
  <si>
    <t>FACRC68964</t>
  </si>
  <si>
    <t>221405-39</t>
  </si>
  <si>
    <t>FACRC68967</t>
  </si>
  <si>
    <t>221406-39</t>
  </si>
  <si>
    <t>FACRC68974</t>
  </si>
  <si>
    <t>221407-39</t>
  </si>
  <si>
    <t>FACRC68975</t>
  </si>
  <si>
    <t>221544-39</t>
  </si>
  <si>
    <t>FACRC69284</t>
  </si>
  <si>
    <t>221545-39</t>
  </si>
  <si>
    <t>FACRC69285</t>
  </si>
  <si>
    <t>221546-39</t>
  </si>
  <si>
    <t>FACRC69286</t>
  </si>
  <si>
    <t>221547-39</t>
  </si>
  <si>
    <t>FACRC69287</t>
  </si>
  <si>
    <t>221548-39</t>
  </si>
  <si>
    <t>FACRC69288</t>
  </si>
  <si>
    <t>221549-39</t>
  </si>
  <si>
    <t>FACRC69289</t>
  </si>
  <si>
    <t>221550-39</t>
  </si>
  <si>
    <t>FACRC69290</t>
  </si>
  <si>
    <t>221722-39</t>
  </si>
  <si>
    <t>FACRC69523</t>
  </si>
  <si>
    <t>224894-39</t>
  </si>
  <si>
    <t>FACRC73541</t>
  </si>
  <si>
    <t>INGEVEC</t>
  </si>
  <si>
    <t>224895-39</t>
  </si>
  <si>
    <t>FACRC73542</t>
  </si>
  <si>
    <t>224896-39</t>
  </si>
  <si>
    <t>FACRC73543</t>
  </si>
  <si>
    <t>224897-39</t>
  </si>
  <si>
    <t>FACRC73544</t>
  </si>
  <si>
    <t>224898-39</t>
  </si>
  <si>
    <t>FACRC73545</t>
  </si>
  <si>
    <t>224899-39</t>
  </si>
  <si>
    <t>FACRC73554</t>
  </si>
  <si>
    <t>224900-39</t>
  </si>
  <si>
    <t>FACRC73555</t>
  </si>
  <si>
    <t>224901-39</t>
  </si>
  <si>
    <t>FACRC73556</t>
  </si>
  <si>
    <t>224902-39</t>
  </si>
  <si>
    <t>FACRC73557</t>
  </si>
  <si>
    <t>224903-39</t>
  </si>
  <si>
    <t>FACRC73560</t>
  </si>
  <si>
    <t>224904-39</t>
  </si>
  <si>
    <t>FACRC73561</t>
  </si>
  <si>
    <t>224905-39</t>
  </si>
  <si>
    <t>FACRC73562</t>
  </si>
  <si>
    <t>224906-39</t>
  </si>
  <si>
    <t>FACRC73563</t>
  </si>
  <si>
    <t>224907-39</t>
  </si>
  <si>
    <t>FACRC73564</t>
  </si>
  <si>
    <t>224908-39</t>
  </si>
  <si>
    <t>FACRC73566</t>
  </si>
  <si>
    <t>224909-39</t>
  </si>
  <si>
    <t>FACRC73567</t>
  </si>
  <si>
    <t>224910-39</t>
  </si>
  <si>
    <t>FACRC73568</t>
  </si>
  <si>
    <t>224911-39</t>
  </si>
  <si>
    <t>FACRC73574</t>
  </si>
  <si>
    <t>224912-39</t>
  </si>
  <si>
    <t>FACRC73575</t>
  </si>
  <si>
    <t>224913-39</t>
  </si>
  <si>
    <t>FACRC73576</t>
  </si>
  <si>
    <t>224917-39</t>
  </si>
  <si>
    <t>FACRC73584</t>
  </si>
  <si>
    <t>TATTERSALL</t>
  </si>
  <si>
    <t>224918-39</t>
  </si>
  <si>
    <t>FACRC73586</t>
  </si>
  <si>
    <t>224919-39</t>
  </si>
  <si>
    <t>FACRC73587</t>
  </si>
  <si>
    <t>224924-39</t>
  </si>
  <si>
    <t>FACRC73608</t>
  </si>
  <si>
    <t>224929-39</t>
  </si>
  <si>
    <t>FACRC73622</t>
  </si>
  <si>
    <t>224930-39</t>
  </si>
  <si>
    <t>FACRC73625</t>
  </si>
  <si>
    <t>224931-39</t>
  </si>
  <si>
    <t>FACRC73628</t>
  </si>
  <si>
    <t>224932-39</t>
  </si>
  <si>
    <t>FACRC73924</t>
  </si>
  <si>
    <t>224933-39</t>
  </si>
  <si>
    <t>FACRC73927</t>
  </si>
  <si>
    <t>224934-39</t>
  </si>
  <si>
    <t>FACRC73928</t>
  </si>
  <si>
    <t>224937-39</t>
  </si>
  <si>
    <t>FACRC73945</t>
  </si>
  <si>
    <t>224938-39</t>
  </si>
  <si>
    <t>FACRC73947</t>
  </si>
  <si>
    <t>224939-39</t>
  </si>
  <si>
    <t>FACRC73952</t>
  </si>
  <si>
    <t>224940-39</t>
  </si>
  <si>
    <t>FACRC73953</t>
  </si>
  <si>
    <t>224941-39</t>
  </si>
  <si>
    <t>FACRC73956</t>
  </si>
  <si>
    <t>224942-39</t>
  </si>
  <si>
    <t>FACRC73957</t>
  </si>
  <si>
    <t>224943-39</t>
  </si>
  <si>
    <t>FACRC73958</t>
  </si>
  <si>
    <t>224944-39</t>
  </si>
  <si>
    <t>FACRC73959</t>
  </si>
  <si>
    <t>224945-39</t>
  </si>
  <si>
    <t>FACRC73962</t>
  </si>
  <si>
    <t>224947-39</t>
  </si>
  <si>
    <t>FACRC73966</t>
  </si>
  <si>
    <t>224948-39</t>
  </si>
  <si>
    <t>FACRC73967</t>
  </si>
  <si>
    <t>224952-39</t>
  </si>
  <si>
    <t>FACRC73979</t>
  </si>
  <si>
    <t>CLARO CHILE</t>
  </si>
  <si>
    <t>224953-39</t>
  </si>
  <si>
    <t>FACRC73980</t>
  </si>
  <si>
    <t>224954-39</t>
  </si>
  <si>
    <t>FACRC73981</t>
  </si>
  <si>
    <t>224955-39</t>
  </si>
  <si>
    <t>FACRC73983</t>
  </si>
  <si>
    <t>225078-39</t>
  </si>
  <si>
    <t>FACRC74177</t>
  </si>
  <si>
    <t>225079-39</t>
  </si>
  <si>
    <t>FACRC74178</t>
  </si>
  <si>
    <t>225080-39</t>
  </si>
  <si>
    <t>FACRC74179</t>
  </si>
  <si>
    <t>226158-39</t>
  </si>
  <si>
    <t>FACRC75611</t>
  </si>
  <si>
    <t>226160-39</t>
  </si>
  <si>
    <t>FACRC75614</t>
  </si>
  <si>
    <t>226161-39</t>
  </si>
  <si>
    <t>FACRC75615</t>
  </si>
  <si>
    <t>226162-39</t>
  </si>
  <si>
    <t>FACRC75616</t>
  </si>
  <si>
    <t>226163-39</t>
  </si>
  <si>
    <t>FACRC75617</t>
  </si>
  <si>
    <t>226164-39</t>
  </si>
  <si>
    <t>FACRC75618</t>
  </si>
  <si>
    <t>226165-39</t>
  </si>
  <si>
    <t>FACRC75619</t>
  </si>
  <si>
    <t>226166-39</t>
  </si>
  <si>
    <t>FACRC75620</t>
  </si>
  <si>
    <t>226167-39</t>
  </si>
  <si>
    <t>FACRC75621</t>
  </si>
  <si>
    <t>226168-39</t>
  </si>
  <si>
    <t>FACRC75622</t>
  </si>
  <si>
    <t>226169-39</t>
  </si>
  <si>
    <t>FACRC75623</t>
  </si>
  <si>
    <t>226989-39</t>
  </si>
  <si>
    <t>FACRC76696</t>
  </si>
  <si>
    <t>226990-39</t>
  </si>
  <si>
    <t>FACRC76697</t>
  </si>
  <si>
    <t>226991-39</t>
  </si>
  <si>
    <t>FACRC76698</t>
  </si>
  <si>
    <t>226992-39</t>
  </si>
  <si>
    <t>FACRC76699</t>
  </si>
  <si>
    <t>226993-39</t>
  </si>
  <si>
    <t>FACRC76702</t>
  </si>
  <si>
    <t>227916-39</t>
  </si>
  <si>
    <t>FACRC78139</t>
  </si>
  <si>
    <t>227995-39</t>
  </si>
  <si>
    <t>FACRC78141</t>
  </si>
  <si>
    <t>227839-39</t>
  </si>
  <si>
    <t>FACRC78144</t>
  </si>
  <si>
    <t>CLINICA ALEMANA</t>
  </si>
  <si>
    <t>227990-39</t>
  </si>
  <si>
    <t>FACRC78145</t>
  </si>
  <si>
    <t>227908-39</t>
  </si>
  <si>
    <t>FACRC78152</t>
  </si>
  <si>
    <t>228045-39</t>
  </si>
  <si>
    <t>FACRC78297</t>
  </si>
  <si>
    <t>VESPUCIO ORIENTE II</t>
  </si>
  <si>
    <t>227760-39</t>
  </si>
  <si>
    <t>FACRC78298</t>
  </si>
  <si>
    <t>227761-39</t>
  </si>
  <si>
    <t>FACRC78299</t>
  </si>
  <si>
    <t>227833-39</t>
  </si>
  <si>
    <t>FACRC78303</t>
  </si>
  <si>
    <t>227925-39</t>
  </si>
  <si>
    <t>FACRC78305</t>
  </si>
  <si>
    <t>228123-39</t>
  </si>
  <si>
    <t>FACRC78307</t>
  </si>
  <si>
    <t>227988-39</t>
  </si>
  <si>
    <t>FACRC78312</t>
  </si>
  <si>
    <t>227989-39</t>
  </si>
  <si>
    <t>FACRC78315</t>
  </si>
  <si>
    <t>227987-39</t>
  </si>
  <si>
    <t>FACRC78316</t>
  </si>
  <si>
    <t>227840-39</t>
  </si>
  <si>
    <t>FACRC78317</t>
  </si>
  <si>
    <t>227944-39</t>
  </si>
  <si>
    <t>FACRC78318</t>
  </si>
  <si>
    <t>227991-39</t>
  </si>
  <si>
    <t>FACRC78319</t>
  </si>
  <si>
    <t>228126-39</t>
  </si>
  <si>
    <t>FACRC78320</t>
  </si>
  <si>
    <t>228068-39</t>
  </si>
  <si>
    <t>FACRC78321</t>
  </si>
  <si>
    <t>227780-39</t>
  </si>
  <si>
    <t>FACRC78322</t>
  </si>
  <si>
    <t>227962-39</t>
  </si>
  <si>
    <t>FACRC78325</t>
  </si>
  <si>
    <t>228044-39</t>
  </si>
  <si>
    <t>FACRC78327</t>
  </si>
  <si>
    <t>228067-39</t>
  </si>
  <si>
    <t>FACRC78336</t>
  </si>
  <si>
    <t>228128-39</t>
  </si>
  <si>
    <t>FACRC78339</t>
  </si>
  <si>
    <t>227986-39</t>
  </si>
  <si>
    <t>FACRC78340</t>
  </si>
  <si>
    <t>228113-39</t>
  </si>
  <si>
    <t>FACRC78348</t>
  </si>
  <si>
    <t>220405-39</t>
  </si>
  <si>
    <t>FACRCCF68001</t>
  </si>
  <si>
    <t>220406-39</t>
  </si>
  <si>
    <t>FACRCCF68002</t>
  </si>
  <si>
    <t>220407-39</t>
  </si>
  <si>
    <t>FACRCCF68003</t>
  </si>
  <si>
    <t>220408-39</t>
  </si>
  <si>
    <t>FACRCCF68004</t>
  </si>
  <si>
    <t>223305-39</t>
  </si>
  <si>
    <t>FACRCCF71699</t>
  </si>
  <si>
    <t>227271-39</t>
  </si>
  <si>
    <t>FACRCCF77195</t>
  </si>
  <si>
    <t>221723-39</t>
  </si>
  <si>
    <t>FACRCGP69294</t>
  </si>
  <si>
    <t>221724-39</t>
  </si>
  <si>
    <t>FACRCGP69295</t>
  </si>
  <si>
    <t>221725-39</t>
  </si>
  <si>
    <t>FACRCGP69296</t>
  </si>
  <si>
    <t>221726-39</t>
  </si>
  <si>
    <t>FACRCGP69297</t>
  </si>
  <si>
    <t>221727-39</t>
  </si>
  <si>
    <t>FACRCGP69298</t>
  </si>
  <si>
    <t>221728-39</t>
  </si>
  <si>
    <t>FACRCGP69299</t>
  </si>
  <si>
    <t>221729-39</t>
  </si>
  <si>
    <t>FACRCGP69300</t>
  </si>
  <si>
    <t>221730-39</t>
  </si>
  <si>
    <t>FACRCGP69301</t>
  </si>
  <si>
    <t>221731-39</t>
  </si>
  <si>
    <t>FACRCGP69302</t>
  </si>
  <si>
    <t>221732-39</t>
  </si>
  <si>
    <t>FACRCGP69303</t>
  </si>
  <si>
    <t>221733-39</t>
  </si>
  <si>
    <t>FACRCGP69304</t>
  </si>
  <si>
    <t>221734-39</t>
  </si>
  <si>
    <t>FACRCGP69305</t>
  </si>
  <si>
    <t>222312-39</t>
  </si>
  <si>
    <t>FACRCGP70323</t>
  </si>
  <si>
    <t>223018-39</t>
  </si>
  <si>
    <t>FACRCGP71163</t>
  </si>
  <si>
    <t>223102-39</t>
  </si>
  <si>
    <t>FACRCGP71327</t>
  </si>
  <si>
    <t>223306-39</t>
  </si>
  <si>
    <t>FACRCGP71758</t>
  </si>
  <si>
    <t>223307-39</t>
  </si>
  <si>
    <t>FACRCGP71759</t>
  </si>
  <si>
    <t>223308-39</t>
  </si>
  <si>
    <t>FACRCGP71760</t>
  </si>
  <si>
    <t>223309-39</t>
  </si>
  <si>
    <t>FACRCGP71761</t>
  </si>
  <si>
    <t>223320-39</t>
  </si>
  <si>
    <t>FACRCGP71884</t>
  </si>
  <si>
    <t>223321-39</t>
  </si>
  <si>
    <t>FACRCGP71885</t>
  </si>
  <si>
    <t>223322-39</t>
  </si>
  <si>
    <t>FACRCGP71886</t>
  </si>
  <si>
    <t>223323-39</t>
  </si>
  <si>
    <t>FACRCGP71887</t>
  </si>
  <si>
    <t>224956-39</t>
  </si>
  <si>
    <t>FACRCGP73331</t>
  </si>
  <si>
    <t>224957-39</t>
  </si>
  <si>
    <t>FACRCGP73332</t>
  </si>
  <si>
    <t>224958-39</t>
  </si>
  <si>
    <t>FACRCGP73333</t>
  </si>
  <si>
    <t>224959-39</t>
  </si>
  <si>
    <t>FACRCGP73334</t>
  </si>
  <si>
    <t>224960-39</t>
  </si>
  <si>
    <t>FACRCGP73335</t>
  </si>
  <si>
    <t>224961-39</t>
  </si>
  <si>
    <t>FACRCGP73336</t>
  </si>
  <si>
    <t>224962-39</t>
  </si>
  <si>
    <t>FACRCGP73337</t>
  </si>
  <si>
    <t>224963-39</t>
  </si>
  <si>
    <t>FACRCGP73338</t>
  </si>
  <si>
    <t>225088-39</t>
  </si>
  <si>
    <t>FACRCGP74168</t>
  </si>
  <si>
    <t>225314-39</t>
  </si>
  <si>
    <t>FACRCGP74614</t>
  </si>
  <si>
    <t>225315-39</t>
  </si>
  <si>
    <t>FACRCGP74615</t>
  </si>
  <si>
    <t>225556-39</t>
  </si>
  <si>
    <t>FACRCGP74672</t>
  </si>
  <si>
    <t>225557-39</t>
  </si>
  <si>
    <t>FACRCGP74673</t>
  </si>
  <si>
    <t>225668-39</t>
  </si>
  <si>
    <t>FACRCGP75132</t>
  </si>
  <si>
    <t>225669-39</t>
  </si>
  <si>
    <t>FACRCGP75133</t>
  </si>
  <si>
    <t>225670-39</t>
  </si>
  <si>
    <t>FACRCGP75134</t>
  </si>
  <si>
    <t>225671-39</t>
  </si>
  <si>
    <t>FACRCGP75135</t>
  </si>
  <si>
    <t>225672-39</t>
  </si>
  <si>
    <t>FACRCGP75136</t>
  </si>
  <si>
    <t>225673-39</t>
  </si>
  <si>
    <t>FACRCGP75137</t>
  </si>
  <si>
    <t>225674-39</t>
  </si>
  <si>
    <t>FACRCGP75138</t>
  </si>
  <si>
    <t>225675-39</t>
  </si>
  <si>
    <t>FACRCGP75139</t>
  </si>
  <si>
    <t>225676-39</t>
  </si>
  <si>
    <t>FACRCGP75140</t>
  </si>
  <si>
    <t>225677-39</t>
  </si>
  <si>
    <t>FACRCGP75141</t>
  </si>
  <si>
    <t>225678-39</t>
  </si>
  <si>
    <t>FACRCGP75142</t>
  </si>
  <si>
    <t>226359-39</t>
  </si>
  <si>
    <t>FACRCGP75734</t>
  </si>
  <si>
    <t>226360-39</t>
  </si>
  <si>
    <t>FACRCGP75736</t>
  </si>
  <si>
    <t>226361-39</t>
  </si>
  <si>
    <t>FACRCGP75737</t>
  </si>
  <si>
    <t>226368-39</t>
  </si>
  <si>
    <t>FACRCGP75738</t>
  </si>
  <si>
    <t>226367-39</t>
  </si>
  <si>
    <t>FACRCGP75739</t>
  </si>
  <si>
    <t>226370-39</t>
  </si>
  <si>
    <t>FACRCGP75740</t>
  </si>
  <si>
    <t>226372-39</t>
  </si>
  <si>
    <t>FACRCGP75741</t>
  </si>
  <si>
    <t>226364-39</t>
  </si>
  <si>
    <t>FACRCGP75742</t>
  </si>
  <si>
    <t>226371-39</t>
  </si>
  <si>
    <t>FACRCGP75743</t>
  </si>
  <si>
    <t>226362-39</t>
  </si>
  <si>
    <t>FACRCGP75744</t>
  </si>
  <si>
    <t>226363-39</t>
  </si>
  <si>
    <t>FACRCGP75745</t>
  </si>
  <si>
    <t>226365-39</t>
  </si>
  <si>
    <t>FACRCGP75746</t>
  </si>
  <si>
    <t>226369-39</t>
  </si>
  <si>
    <t>FACRCGP75747</t>
  </si>
  <si>
    <t>226366-39</t>
  </si>
  <si>
    <t>FACRCGP75748</t>
  </si>
  <si>
    <t>227158-39</t>
  </si>
  <si>
    <t>FACRCGP76836</t>
  </si>
  <si>
    <t>227427-39</t>
  </si>
  <si>
    <t>FACRCGP77455</t>
  </si>
  <si>
    <t>227425-39</t>
  </si>
  <si>
    <t>FACRCGP77456</t>
  </si>
  <si>
    <t>227426-39</t>
  </si>
  <si>
    <t>FACRCGP77457</t>
  </si>
  <si>
    <t>227730-39</t>
  </si>
  <si>
    <t>FACRCGP77801</t>
  </si>
  <si>
    <t>227720-39</t>
  </si>
  <si>
    <t>FACRCGP77802</t>
  </si>
  <si>
    <t>227732-39</t>
  </si>
  <si>
    <t>FACRCGP77803</t>
  </si>
  <si>
    <t>Clave_Busqueda</t>
  </si>
  <si>
    <t>PK2_representante</t>
  </si>
  <si>
    <t>Tiene_ISIN</t>
  </si>
  <si>
    <t>PK2_cubiertos</t>
  </si>
  <si>
    <t>N_PK2</t>
  </si>
  <si>
    <t>Fondos</t>
  </si>
  <si>
    <t>N_fondos</t>
  </si>
  <si>
    <t>N_posiciones</t>
  </si>
  <si>
    <t>MDCH, MRCLP</t>
  </si>
  <si>
    <t>BBG / RA</t>
  </si>
  <si>
    <t>MDCH, MLDL, MRCLP</t>
  </si>
  <si>
    <t>MLDL, MRCLP</t>
  </si>
  <si>
    <t>146582-1, 146583-1</t>
  </si>
  <si>
    <t>MCIT, MDCH, MLATHY, MLCC (Geneva), MLCD, MRCLP</t>
  </si>
  <si>
    <t>MDCH, MLATHY, MLCC (Geneva), MLCD, MRCLP</t>
  </si>
  <si>
    <t>MCIT, MLATHY, MLCC (Geneva), MLCD, MLDL, MRCLP</t>
  </si>
  <si>
    <t>148823-1, 148824-1</t>
  </si>
  <si>
    <t>MCIT, MDCH, MLATHY, MLCC (Geneva), MLCD, MLDL, MRCLP</t>
  </si>
  <si>
    <t>ALTURAS II, MRCLP</t>
  </si>
  <si>
    <t>MLATHY, MLCC (Geneva), MLCD, MLDL, MRCLP</t>
  </si>
  <si>
    <t>MDCH, MLATHY, MLCC (Geneva), MLCD, MLDL, MRCLP</t>
  </si>
  <si>
    <t>151818-1, 151819-1</t>
  </si>
  <si>
    <t>166673-1, 166674-1</t>
  </si>
  <si>
    <t>MCIT, MLATHY, MLCC (Geneva), MLCD, MRCLP</t>
  </si>
  <si>
    <t>226888-1, 226889-1</t>
  </si>
  <si>
    <t>215022-1, 215023-1</t>
  </si>
  <si>
    <t>166675-1, 166676-1</t>
  </si>
  <si>
    <t>ALTURAS II, MCIT, MLATHY, MLCC (Geneva), MLCD, MRCLP</t>
  </si>
  <si>
    <t>MDLAT, MLATHY, MLCC (Geneva), MLCD, MRCLP</t>
  </si>
  <si>
    <t>157994-1, 157995-1</t>
  </si>
  <si>
    <t>ALTURAS II, MCIT, MLATHY, MLCD, MRCLP</t>
  </si>
  <si>
    <t>147061-1, 147062-1</t>
  </si>
  <si>
    <t>MLATHY, MLCD, MLDL, MRCLP</t>
  </si>
  <si>
    <t>MLCC (Geneva), MRCLP</t>
  </si>
  <si>
    <t>152070-1, 152071-1</t>
  </si>
  <si>
    <t>152069-1, 152072-1</t>
  </si>
  <si>
    <t>213323-1, 213324-1</t>
  </si>
  <si>
    <t>35524-1, 35667-1</t>
  </si>
  <si>
    <t>222124-1, 222125-1</t>
  </si>
  <si>
    <t>MCIT, MDCH, MLATHY, MLCD, MLDL, MRCLP</t>
  </si>
  <si>
    <t>MCIT, MDCH, MLATHY, MLCC (Geneva), MLCD</t>
  </si>
  <si>
    <t>CL0002766914</t>
  </si>
  <si>
    <t>CL0002613082</t>
  </si>
  <si>
    <t>ALTURAS II, MLATHY, MLCC (Geneva), MLCD, MRCLP</t>
  </si>
  <si>
    <t>202363-1, 202364-1</t>
  </si>
  <si>
    <t>223115-1, 223116-1</t>
  </si>
  <si>
    <t>MLATHY, MLCD, MRCLP</t>
  </si>
  <si>
    <t>216346-1, 216347-1</t>
  </si>
  <si>
    <t>CL0002791060</t>
  </si>
  <si>
    <t>202699-1, 202700-1</t>
  </si>
  <si>
    <t>CL0002810308</t>
  </si>
  <si>
    <t>MCIT, MLATHY, MLCD, MRCLP</t>
  </si>
  <si>
    <t>MLCD, MRCLP</t>
  </si>
  <si>
    <t>CL0002801810</t>
  </si>
  <si>
    <t>1103-1, 1104-1</t>
  </si>
  <si>
    <t>MCIT, MDLAT, MLATHY, MLCC (Geneva), MLCD, MRCLP</t>
  </si>
  <si>
    <t>CL0002812213</t>
  </si>
  <si>
    <t>CL0002766500</t>
  </si>
  <si>
    <t>CL0002802529</t>
  </si>
  <si>
    <t>MLATHY, MLCC (Geneva), MLCD, MRCLP</t>
  </si>
  <si>
    <t>CL0002799675</t>
  </si>
  <si>
    <t>194433-1, 194434-1</t>
  </si>
  <si>
    <t>139469-38, 139470-41</t>
  </si>
  <si>
    <t>MDCH, MLDL</t>
  </si>
  <si>
    <t>CL0002815604</t>
  </si>
  <si>
    <t>CL0002753649</t>
  </si>
  <si>
    <t>114867-1, 132062-1</t>
  </si>
  <si>
    <t>MCIT, MLATHY, MLCC (Geneva), MLCD, MLDL</t>
  </si>
  <si>
    <t>ALTURAS II, MLATHY, MLCC (Geneva), MLCD</t>
  </si>
  <si>
    <t>159225-1, 159226-1</t>
  </si>
  <si>
    <t>MCIT, MLATHY, MLCC (Geneva), MLCD</t>
  </si>
  <si>
    <t>MCIT, MDLAT, MLATHY, MLCD, MRCLP</t>
  </si>
  <si>
    <t>151394-1, 152596-1</t>
  </si>
  <si>
    <t>MLATHY, MLCD</t>
  </si>
  <si>
    <t>ALTURAS II, MCIT, MDLAT, MLATHY, MLCD</t>
  </si>
  <si>
    <t>221417-1, 221418-1</t>
  </si>
  <si>
    <t>159686-1, 159687-1</t>
  </si>
  <si>
    <t>202992-1, 202993-1</t>
  </si>
  <si>
    <t>176052-1, 176138-1</t>
  </si>
  <si>
    <t>187609-1, 187610-1</t>
  </si>
  <si>
    <t>146385-1, 146386-1</t>
  </si>
  <si>
    <t>157136-1, 158667-1</t>
  </si>
  <si>
    <t>ALTURAS II, MCIT, MLATHY, MLCC (Geneva), MLCD</t>
  </si>
  <si>
    <t>132864-1, 1545-1</t>
  </si>
  <si>
    <t>173052-1, 173181-1</t>
  </si>
  <si>
    <t>155594-1, 155595-1</t>
  </si>
  <si>
    <t>196180-1, 196181-1</t>
  </si>
  <si>
    <t>160597-1, 160598-1</t>
  </si>
  <si>
    <t>226994-1, 226995-1</t>
  </si>
  <si>
    <t>213782-1, 213783-1</t>
  </si>
  <si>
    <t>139012-1, 139013-1</t>
  </si>
  <si>
    <t>175398-1, 175399-1</t>
  </si>
  <si>
    <t>203109-1, 203110-1</t>
  </si>
  <si>
    <t>193916-1, 193917-1</t>
  </si>
  <si>
    <t>227437-1, 227438-1</t>
  </si>
  <si>
    <t>154802-1, 31384-1</t>
  </si>
  <si>
    <t>222557-1, 222558-1</t>
  </si>
  <si>
    <t>219585-1, 219586-1</t>
  </si>
  <si>
    <t>133021-1, 36160-1</t>
  </si>
  <si>
    <t>214281-1, 214282-1</t>
  </si>
  <si>
    <t>166883-1, 166884-1</t>
  </si>
  <si>
    <t>ALTURAS II, MLATHY</t>
  </si>
  <si>
    <t>149071-1, 149072-1</t>
  </si>
  <si>
    <t>176140-1, 176141-1</t>
  </si>
  <si>
    <t>196178-1, 196179-1</t>
  </si>
  <si>
    <t>MLATHY, MLCC (Geneva), MLCD</t>
  </si>
  <si>
    <t>219584-1, 219587-1</t>
  </si>
  <si>
    <t>189331-1, 189332-1</t>
  </si>
  <si>
    <t>132059-1, 2382-1</t>
  </si>
  <si>
    <t>160292-1, 160293-1</t>
  </si>
  <si>
    <t>149415-1, 149417-1</t>
  </si>
  <si>
    <t>195835-1, 195836-1</t>
  </si>
  <si>
    <t>218887-1, 218888-1</t>
  </si>
  <si>
    <t>204147-1, 204148-1</t>
  </si>
  <si>
    <t>MCIT, MLATHY, MLCD</t>
  </si>
  <si>
    <t>114779-1, 132058-1</t>
  </si>
  <si>
    <t>174399-1, 174400-1</t>
  </si>
  <si>
    <t>139465-1, 139475-1</t>
  </si>
  <si>
    <t>MLATHY, MLCC (Geneva), MLCD, MLDL</t>
  </si>
  <si>
    <t>169929-1, 169946-1</t>
  </si>
  <si>
    <t>143842-1, 145206-1</t>
  </si>
  <si>
    <t>187070-1, 187071-1</t>
  </si>
  <si>
    <t>189329-1, 189330-1</t>
  </si>
  <si>
    <t>177899-1, 177900-1</t>
  </si>
  <si>
    <t>132060-1, 31865-1</t>
  </si>
  <si>
    <t>203889-1, 203890-1</t>
  </si>
  <si>
    <t>187870-1, 187871-1</t>
  </si>
  <si>
    <t>MLCD, MLDL</t>
  </si>
  <si>
    <t>179278-1, 179279-1</t>
  </si>
  <si>
    <t>147063-1, 147064-1</t>
  </si>
  <si>
    <t>155346-1, 155347-1</t>
  </si>
  <si>
    <t>137444-1, 137445-1</t>
  </si>
  <si>
    <t>159992-1, 159993-1</t>
  </si>
  <si>
    <t>MLATHY, MLCC (Geneva), MLDL</t>
  </si>
  <si>
    <t>161092-1, 161093-1</t>
  </si>
  <si>
    <t>162361-1, 162363-1</t>
  </si>
  <si>
    <t>203891-1, 203892-1</t>
  </si>
  <si>
    <t>MLCC (Geneva), MLDL</t>
  </si>
  <si>
    <t>MLATHY, MLCC (Geneva)</t>
  </si>
  <si>
    <t>149416-1, 149418-1</t>
  </si>
  <si>
    <t>177952-1, 177953-1</t>
  </si>
  <si>
    <t>187872-1, 187873-1</t>
  </si>
  <si>
    <t>ALTURAS II, MLATHY, MLCD</t>
  </si>
  <si>
    <t>MCIT, MLATHY, MLCD, MLDL</t>
  </si>
  <si>
    <t>40385-1, 44279-1</t>
  </si>
  <si>
    <t>216182-1, 216183-1</t>
  </si>
  <si>
    <t>ALTURAS II, MCIT, MLATHY, MLCD</t>
  </si>
  <si>
    <t>162841-1, 205495-1</t>
  </si>
  <si>
    <t>MCIT, MLCD</t>
  </si>
  <si>
    <t>33420-1, 3902-1, 444-1</t>
  </si>
  <si>
    <t>160667-1, 160668-1</t>
  </si>
  <si>
    <t>MCIT, MLCC (Geneva), MLCD</t>
  </si>
  <si>
    <t>133014-1, 29843-1</t>
  </si>
  <si>
    <t>3662-1, 440-1</t>
  </si>
  <si>
    <t>168617-1, 4304-1</t>
  </si>
  <si>
    <t>MDLAT, MLCD</t>
  </si>
  <si>
    <t>Métrica</t>
  </si>
  <si>
    <t>Valor</t>
  </si>
  <si>
    <t>Detalle</t>
  </si>
  <si>
    <t>── EMBUDO: UNIVERSO OBJETIVO A BUSCAR ──</t>
  </si>
  <si>
    <t>Posiciones RF (fondo × PK2)</t>
  </si>
  <si>
    <t xml:space="preserve">  (−) Defaulteados</t>
  </si>
  <si>
    <t>métrica por regla (Yield=0 / Dur=0.5)</t>
  </si>
  <si>
    <t xml:space="preserve">  (−) Facturas (FAC…)</t>
  </si>
  <si>
    <t>fuera de la búsqueda de métricas</t>
  </si>
  <si>
    <t xml:space="preserve">  (−) Mismo PK2 en varios fondos</t>
  </si>
  <si>
    <t xml:space="preserve">  (−) Series hermanas REGS/144A/EMTN</t>
  </si>
  <si>
    <t>misma métrica que su hermano</t>
  </si>
  <si>
    <t>ver hoja universo_objetivo</t>
  </si>
  <si>
    <t xml:space="preserve">    con ISIN (BBG/RA)</t>
  </si>
  <si>
    <t xml:space="preserve">    sin ISIN</t>
  </si>
  <si>
    <t>── POSICIONES VIGENTES (detalle por fondo en hojas con/sin_ISIN) ──</t>
  </si>
  <si>
    <t>Posiciones con ISIN</t>
  </si>
  <si>
    <t>Posiciones sin ISIN</t>
  </si>
  <si>
    <t>── POR FONDO ──</t>
  </si>
  <si>
    <t>Fondo 65 (MCIT)</t>
  </si>
  <si>
    <t>con_ISIN=165</t>
  </si>
  <si>
    <t>Fondo 13 (MDLAT)</t>
  </si>
  <si>
    <t>con_ISIN=11</t>
  </si>
  <si>
    <t>Fondo 59 (MLATHY)</t>
  </si>
  <si>
    <t>con_ISIN=237</t>
  </si>
  <si>
    <t>Fondo 16 (MLCD)</t>
  </si>
  <si>
    <t>con_ISIN=235</t>
  </si>
  <si>
    <t>Fondo 17 (MLDL)</t>
  </si>
  <si>
    <t>con_ISIN=175</t>
  </si>
  <si>
    <t>Fondo 20 (MRCLP)</t>
  </si>
  <si>
    <t>con_ISIN=79</t>
  </si>
  <si>
    <t>Fondo 68 (MLCC (Geneva))</t>
  </si>
  <si>
    <t>con_ISIN=215</t>
  </si>
  <si>
    <t>Fondo 11 (MDCH)</t>
  </si>
  <si>
    <t>con_ISIN=105</t>
  </si>
  <si>
    <t>Fondo 2 (ALTURAS II)</t>
  </si>
  <si>
    <t>con_ISIN=13</t>
  </si>
  <si>
    <t>── INSTRUMENTOS A BUSCAR — POR PROVEEDOR SUGERIDO ──</t>
  </si>
  <si>
    <t>── HEDGE_CURRENCY (fondos HEDGE_FUNDS) ──</t>
  </si>
  <si>
    <t>Fondo 11 — con Hedge_Currency</t>
  </si>
  <si>
    <t>total=208 | REGLA=208</t>
  </si>
  <si>
    <t>Fondo 17 — con Hedge_Currency</t>
  </si>
  <si>
    <t>total=199 | REGLA=199</t>
  </si>
  <si>
    <t>Fondo 20 — con Hedge_Currency</t>
  </si>
  <si>
    <t>total=170 | REGLA=170</t>
  </si>
  <si>
    <t>── FAMILIA (REGS/144A/EMTN) ──</t>
  </si>
  <si>
    <t>Grupos multi-serie detectados</t>
  </si>
  <si>
    <t>ISIN con hermano de serie</t>
  </si>
  <si>
    <t>── WARNINGS ──</t>
  </si>
  <si>
    <t>detalle por PK2 en hoja 'warnings'</t>
  </si>
  <si>
    <t>Paso</t>
  </si>
  <si>
    <t>Tipo</t>
  </si>
  <si>
    <t>[5]</t>
  </si>
  <si>
    <t>Risk_Country en strong-ccy sin mapeo local</t>
  </si>
  <si>
    <t>países ['PA'] — completar RISK_COUNTRY_TO_LOCAL_CCY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</si>
</sst>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2447"/>
      </patternFill>
    </fill>
    <fill>
      <patternFill patternType="solid">
        <fgColor rgb="FFB8540B"/>
      </patternFill>
    </fill>
    <fill>
      <patternFill patternType="solid">
        <fgColor rgb="FF9C0006"/>
      </patternFill>
    </fill>
    <fill>
      <patternFill patternType="solid">
        <fgColor rgb="FF7F6000"/>
      </patternFill>
    </fill>
    <fill>
      <patternFill patternType="solid">
        <fgColor rgb="FF1F6F43"/>
      </patternFill>
    </fill>
    <fill>
      <patternFill patternType="solid">
        <fgColor rgb="FF2E4057"/>
      </patternFill>
    </fill>
    <fill>
      <patternFill patternType="solid">
        <fgColor rgb="FFC5303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3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8" sqref="I18"/>
    </sheetView>
  </sheetViews>
  <sheetFormatPr baseColWidth="10" defaultColWidth="9.140625" defaultRowHeight="15" x14ac:dyDescent="0.25"/>
  <cols>
    <col min="1" max="1" width="9" customWidth="1"/>
    <col min="2" max="2" width="15" customWidth="1"/>
    <col min="3" max="3" width="18" customWidth="1"/>
    <col min="4" max="4" width="12" customWidth="1"/>
    <col min="5" max="5" width="16" customWidth="1"/>
    <col min="6" max="6" width="22" customWidth="1"/>
    <col min="7" max="7" width="45" customWidth="1"/>
    <col min="8" max="8" width="37" customWidth="1"/>
    <col min="9" max="9" width="45" customWidth="1"/>
    <col min="10" max="10" width="16" customWidth="1"/>
    <col min="11" max="11" width="27" customWidth="1"/>
    <col min="12" max="13" width="14" customWidth="1"/>
    <col min="14" max="14" width="15" customWidth="1"/>
    <col min="15" max="15" width="16" customWidth="1"/>
    <col min="16" max="16" width="14" customWidth="1"/>
    <col min="17" max="17" width="22" customWidth="1"/>
    <col min="18" max="19" width="17" customWidth="1"/>
    <col min="20" max="21" width="16" customWidth="1"/>
    <col min="22" max="22" width="8" customWidth="1"/>
    <col min="23" max="25" width="19" customWidth="1"/>
  </cols>
  <sheetData>
    <row r="1" spans="1:25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>
        <v>20</v>
      </c>
      <c r="B2" t="s">
        <v>25</v>
      </c>
      <c r="C2" t="s">
        <v>26</v>
      </c>
      <c r="D2" t="s">
        <v>27</v>
      </c>
      <c r="E2">
        <v>211993</v>
      </c>
      <c r="F2" t="s">
        <v>28</v>
      </c>
      <c r="G2" t="s">
        <v>29</v>
      </c>
      <c r="H2" t="s">
        <v>30</v>
      </c>
      <c r="I2" t="s">
        <v>29</v>
      </c>
      <c r="L2" t="b">
        <v>0</v>
      </c>
      <c r="M2" t="s">
        <v>31</v>
      </c>
      <c r="N2" t="s">
        <v>32</v>
      </c>
      <c r="O2" t="s">
        <v>26</v>
      </c>
      <c r="P2" t="s">
        <v>33</v>
      </c>
      <c r="Q2">
        <v>1</v>
      </c>
      <c r="R2">
        <v>3</v>
      </c>
      <c r="S2">
        <v>93.275000000000006</v>
      </c>
      <c r="T2">
        <v>1016066</v>
      </c>
      <c r="U2">
        <v>1016066</v>
      </c>
      <c r="V2">
        <v>1</v>
      </c>
      <c r="W2">
        <v>20492662.600000001</v>
      </c>
      <c r="X2">
        <v>882209123.37999988</v>
      </c>
      <c r="Y2">
        <v>902701785.9799999</v>
      </c>
    </row>
    <row r="3" spans="1:25" x14ac:dyDescent="0.25">
      <c r="A3">
        <v>20</v>
      </c>
      <c r="B3" t="s">
        <v>25</v>
      </c>
      <c r="C3" t="s">
        <v>26</v>
      </c>
      <c r="D3" t="s">
        <v>34</v>
      </c>
      <c r="E3">
        <v>225679</v>
      </c>
      <c r="F3" t="s">
        <v>35</v>
      </c>
      <c r="G3" t="s">
        <v>36</v>
      </c>
      <c r="H3" t="s">
        <v>37</v>
      </c>
      <c r="I3" t="s">
        <v>38</v>
      </c>
      <c r="L3" t="b">
        <v>1</v>
      </c>
      <c r="M3" t="s">
        <v>39</v>
      </c>
      <c r="N3" t="s">
        <v>32</v>
      </c>
      <c r="O3" t="s">
        <v>26</v>
      </c>
      <c r="P3" t="s">
        <v>33</v>
      </c>
      <c r="Q3">
        <v>1</v>
      </c>
      <c r="R3">
        <v>3</v>
      </c>
      <c r="S3">
        <v>93</v>
      </c>
      <c r="T3">
        <v>20241970</v>
      </c>
      <c r="U3">
        <v>20241970</v>
      </c>
      <c r="V3">
        <v>1</v>
      </c>
      <c r="W3">
        <v>76939964.11999999</v>
      </c>
      <c r="X3">
        <v>17523469380.610001</v>
      </c>
      <c r="Y3">
        <v>17600409344.73</v>
      </c>
    </row>
    <row r="4" spans="1:25" x14ac:dyDescent="0.25">
      <c r="A4">
        <v>20</v>
      </c>
      <c r="B4" t="s">
        <v>25</v>
      </c>
      <c r="C4" t="s">
        <v>26</v>
      </c>
      <c r="D4" t="s">
        <v>40</v>
      </c>
      <c r="E4">
        <v>87301</v>
      </c>
      <c r="F4" t="s">
        <v>41</v>
      </c>
      <c r="G4" t="s">
        <v>42</v>
      </c>
      <c r="H4" t="s">
        <v>43</v>
      </c>
      <c r="I4" t="s">
        <v>42</v>
      </c>
      <c r="L4" t="b">
        <v>0</v>
      </c>
      <c r="M4" t="s">
        <v>44</v>
      </c>
      <c r="N4" t="s">
        <v>32</v>
      </c>
      <c r="O4" t="s">
        <v>26</v>
      </c>
      <c r="P4" t="s">
        <v>33</v>
      </c>
      <c r="Q4">
        <v>1</v>
      </c>
      <c r="R4">
        <v>3</v>
      </c>
      <c r="S4">
        <v>65</v>
      </c>
      <c r="T4">
        <v>6982214</v>
      </c>
      <c r="U4">
        <v>6982214</v>
      </c>
      <c r="V4">
        <v>1</v>
      </c>
      <c r="W4">
        <v>19943559.920000002</v>
      </c>
      <c r="X4">
        <v>4224651420.6199989</v>
      </c>
      <c r="Y4">
        <v>4244594980.539999</v>
      </c>
    </row>
    <row r="5" spans="1:25" x14ac:dyDescent="0.25">
      <c r="A5">
        <v>20</v>
      </c>
      <c r="B5" t="s">
        <v>25</v>
      </c>
      <c r="C5" t="s">
        <v>26</v>
      </c>
      <c r="D5" t="s">
        <v>45</v>
      </c>
      <c r="E5">
        <v>176139</v>
      </c>
      <c r="F5" t="s">
        <v>46</v>
      </c>
      <c r="G5" t="s">
        <v>47</v>
      </c>
      <c r="H5" t="s">
        <v>48</v>
      </c>
      <c r="I5" t="s">
        <v>49</v>
      </c>
      <c r="L5" t="b">
        <v>1</v>
      </c>
      <c r="M5" t="s">
        <v>50</v>
      </c>
      <c r="N5" t="s">
        <v>32</v>
      </c>
      <c r="O5" t="s">
        <v>26</v>
      </c>
      <c r="P5" t="s">
        <v>33</v>
      </c>
      <c r="Q5">
        <v>1</v>
      </c>
      <c r="R5">
        <v>3</v>
      </c>
      <c r="S5">
        <v>102.15609285710001</v>
      </c>
      <c r="T5">
        <v>3000000</v>
      </c>
      <c r="U5">
        <v>3000000</v>
      </c>
      <c r="V5">
        <v>1</v>
      </c>
      <c r="W5">
        <v>13604131.039999999</v>
      </c>
      <c r="X5">
        <v>2852790621.9000001</v>
      </c>
      <c r="Y5">
        <v>2866394752.9400001</v>
      </c>
    </row>
    <row r="6" spans="1:25" x14ac:dyDescent="0.25">
      <c r="A6">
        <v>20</v>
      </c>
      <c r="B6" t="s">
        <v>25</v>
      </c>
      <c r="C6" t="s">
        <v>26</v>
      </c>
      <c r="D6" t="s">
        <v>51</v>
      </c>
      <c r="E6">
        <v>148823</v>
      </c>
      <c r="F6" t="s">
        <v>52</v>
      </c>
      <c r="G6" t="s">
        <v>53</v>
      </c>
      <c r="H6" t="s">
        <v>48</v>
      </c>
      <c r="I6" t="s">
        <v>54</v>
      </c>
      <c r="J6" t="s">
        <v>52</v>
      </c>
      <c r="K6" t="s">
        <v>55</v>
      </c>
      <c r="L6" t="b">
        <v>1</v>
      </c>
      <c r="M6" t="s">
        <v>50</v>
      </c>
      <c r="N6" t="s">
        <v>32</v>
      </c>
      <c r="O6" t="s">
        <v>26</v>
      </c>
      <c r="P6" t="s">
        <v>33</v>
      </c>
      <c r="Q6">
        <v>1</v>
      </c>
      <c r="R6">
        <v>3</v>
      </c>
      <c r="S6">
        <v>102.8934375</v>
      </c>
      <c r="T6">
        <v>15000000</v>
      </c>
      <c r="U6">
        <v>15000000</v>
      </c>
      <c r="V6">
        <v>1</v>
      </c>
      <c r="W6">
        <v>320710359.38</v>
      </c>
      <c r="X6">
        <v>14366907789.34</v>
      </c>
      <c r="Y6">
        <v>14687618148.719999</v>
      </c>
    </row>
    <row r="7" spans="1:25" x14ac:dyDescent="0.25">
      <c r="A7">
        <v>20</v>
      </c>
      <c r="B7" t="s">
        <v>25</v>
      </c>
      <c r="C7" t="s">
        <v>26</v>
      </c>
      <c r="D7" t="s">
        <v>56</v>
      </c>
      <c r="E7">
        <v>203108</v>
      </c>
      <c r="F7" t="s">
        <v>57</v>
      </c>
      <c r="G7" t="s">
        <v>58</v>
      </c>
      <c r="H7" t="s">
        <v>59</v>
      </c>
      <c r="I7" t="s">
        <v>60</v>
      </c>
      <c r="L7" t="b">
        <v>1</v>
      </c>
      <c r="M7" t="s">
        <v>61</v>
      </c>
      <c r="N7" t="s">
        <v>32</v>
      </c>
      <c r="O7" t="s">
        <v>26</v>
      </c>
      <c r="P7" t="s">
        <v>33</v>
      </c>
      <c r="Q7">
        <v>1</v>
      </c>
      <c r="R7">
        <v>3</v>
      </c>
      <c r="S7">
        <v>98.245092857100005</v>
      </c>
      <c r="T7">
        <v>6000000</v>
      </c>
      <c r="U7">
        <v>6000000</v>
      </c>
      <c r="V7">
        <v>1</v>
      </c>
      <c r="W7">
        <v>7136593.3300000001</v>
      </c>
      <c r="X7">
        <v>5487145626.8900003</v>
      </c>
      <c r="Y7">
        <v>5494282220.2200003</v>
      </c>
    </row>
    <row r="8" spans="1:25" x14ac:dyDescent="0.25">
      <c r="A8">
        <v>20</v>
      </c>
      <c r="B8" t="s">
        <v>25</v>
      </c>
      <c r="C8" t="s">
        <v>26</v>
      </c>
      <c r="D8" t="s">
        <v>62</v>
      </c>
      <c r="E8">
        <v>213324</v>
      </c>
      <c r="F8" t="s">
        <v>63</v>
      </c>
      <c r="G8" t="s">
        <v>64</v>
      </c>
      <c r="H8" t="s">
        <v>65</v>
      </c>
      <c r="I8" t="s">
        <v>66</v>
      </c>
      <c r="J8" t="s">
        <v>63</v>
      </c>
      <c r="K8" t="s">
        <v>67</v>
      </c>
      <c r="L8" t="b">
        <v>1</v>
      </c>
      <c r="M8" t="s">
        <v>50</v>
      </c>
      <c r="N8" t="s">
        <v>32</v>
      </c>
      <c r="O8" t="s">
        <v>26</v>
      </c>
      <c r="P8" t="s">
        <v>33</v>
      </c>
      <c r="Q8">
        <v>1</v>
      </c>
      <c r="R8">
        <v>3</v>
      </c>
      <c r="S8">
        <v>98.567899999999995</v>
      </c>
      <c r="T8">
        <v>5000000</v>
      </c>
      <c r="U8">
        <v>5000000</v>
      </c>
      <c r="V8">
        <v>1</v>
      </c>
      <c r="W8">
        <v>102782458.34</v>
      </c>
      <c r="X8">
        <v>4587645769.6899977</v>
      </c>
      <c r="Y8">
        <v>4690428228.0299978</v>
      </c>
    </row>
    <row r="9" spans="1:25" x14ac:dyDescent="0.25">
      <c r="A9">
        <v>20</v>
      </c>
      <c r="B9" t="s">
        <v>25</v>
      </c>
      <c r="C9" t="s">
        <v>26</v>
      </c>
      <c r="D9" t="s">
        <v>68</v>
      </c>
      <c r="E9">
        <v>194433</v>
      </c>
      <c r="F9" t="s">
        <v>69</v>
      </c>
      <c r="G9" t="s">
        <v>70</v>
      </c>
      <c r="H9" t="s">
        <v>71</v>
      </c>
      <c r="I9" t="s">
        <v>72</v>
      </c>
      <c r="J9" t="s">
        <v>69</v>
      </c>
      <c r="K9" t="s">
        <v>73</v>
      </c>
      <c r="L9" t="b">
        <v>1</v>
      </c>
      <c r="M9" t="s">
        <v>74</v>
      </c>
      <c r="N9" t="s">
        <v>32</v>
      </c>
      <c r="O9" t="s">
        <v>26</v>
      </c>
      <c r="P9" t="s">
        <v>33</v>
      </c>
      <c r="Q9">
        <v>1</v>
      </c>
      <c r="R9">
        <v>3</v>
      </c>
      <c r="S9">
        <v>109.1574</v>
      </c>
      <c r="T9">
        <v>650000</v>
      </c>
      <c r="U9">
        <v>650000</v>
      </c>
      <c r="V9">
        <v>1</v>
      </c>
      <c r="W9">
        <v>6806913.75</v>
      </c>
      <c r="X9">
        <v>660466672.87</v>
      </c>
      <c r="Y9">
        <v>667273586.62</v>
      </c>
    </row>
    <row r="10" spans="1:25" x14ac:dyDescent="0.25">
      <c r="A10">
        <v>20</v>
      </c>
      <c r="B10" t="s">
        <v>25</v>
      </c>
      <c r="C10" t="s">
        <v>26</v>
      </c>
      <c r="D10" t="s">
        <v>75</v>
      </c>
      <c r="E10">
        <v>147061</v>
      </c>
      <c r="F10" t="s">
        <v>76</v>
      </c>
      <c r="G10" t="s">
        <v>77</v>
      </c>
      <c r="H10" t="s">
        <v>78</v>
      </c>
      <c r="I10" t="s">
        <v>79</v>
      </c>
      <c r="J10" t="s">
        <v>76</v>
      </c>
      <c r="K10" t="s">
        <v>80</v>
      </c>
      <c r="L10" t="b">
        <v>1</v>
      </c>
      <c r="M10" t="s">
        <v>81</v>
      </c>
      <c r="N10" t="s">
        <v>32</v>
      </c>
      <c r="O10" t="s">
        <v>26</v>
      </c>
      <c r="P10" t="s">
        <v>33</v>
      </c>
      <c r="Q10">
        <v>1</v>
      </c>
      <c r="R10">
        <v>3</v>
      </c>
      <c r="S10">
        <v>102.93594</v>
      </c>
      <c r="T10">
        <v>6200000</v>
      </c>
      <c r="U10">
        <v>6200000</v>
      </c>
      <c r="V10">
        <v>1</v>
      </c>
      <c r="W10">
        <v>165244457.19</v>
      </c>
      <c r="X10">
        <v>5940774844.7200003</v>
      </c>
      <c r="Y10">
        <v>6106019301.9099998</v>
      </c>
    </row>
    <row r="11" spans="1:25" x14ac:dyDescent="0.25">
      <c r="A11">
        <v>20</v>
      </c>
      <c r="B11" t="s">
        <v>25</v>
      </c>
      <c r="C11" t="s">
        <v>26</v>
      </c>
      <c r="D11" t="s">
        <v>82</v>
      </c>
      <c r="E11">
        <v>1104</v>
      </c>
      <c r="F11" t="s">
        <v>83</v>
      </c>
      <c r="G11" t="s">
        <v>84</v>
      </c>
      <c r="H11" t="s">
        <v>85</v>
      </c>
      <c r="I11" t="s">
        <v>86</v>
      </c>
      <c r="J11" t="s">
        <v>83</v>
      </c>
      <c r="K11" t="s">
        <v>87</v>
      </c>
      <c r="L11" t="b">
        <v>1</v>
      </c>
      <c r="M11" t="s">
        <v>61</v>
      </c>
      <c r="N11" t="s">
        <v>32</v>
      </c>
      <c r="O11" t="s">
        <v>26</v>
      </c>
      <c r="P11" t="s">
        <v>33</v>
      </c>
      <c r="Q11">
        <v>1</v>
      </c>
      <c r="R11">
        <v>3</v>
      </c>
      <c r="S11">
        <v>100.875</v>
      </c>
      <c r="T11">
        <v>1285218.128</v>
      </c>
      <c r="U11">
        <v>1545000</v>
      </c>
      <c r="V11">
        <v>0.83189999999999997</v>
      </c>
      <c r="W11">
        <v>7830330.2300000004</v>
      </c>
      <c r="X11">
        <v>1206826283.5599999</v>
      </c>
      <c r="Y11">
        <v>1214656613.79</v>
      </c>
    </row>
    <row r="12" spans="1:25" x14ac:dyDescent="0.25">
      <c r="A12">
        <v>20</v>
      </c>
      <c r="B12" t="s">
        <v>25</v>
      </c>
      <c r="C12" t="s">
        <v>26</v>
      </c>
      <c r="D12" t="s">
        <v>88</v>
      </c>
      <c r="E12">
        <v>1103</v>
      </c>
      <c r="F12" t="s">
        <v>87</v>
      </c>
      <c r="G12" t="s">
        <v>89</v>
      </c>
      <c r="H12" t="s">
        <v>85</v>
      </c>
      <c r="I12" t="s">
        <v>86</v>
      </c>
      <c r="J12" t="s">
        <v>83</v>
      </c>
      <c r="K12" t="s">
        <v>83</v>
      </c>
      <c r="L12" t="b">
        <v>1</v>
      </c>
      <c r="M12" t="s">
        <v>61</v>
      </c>
      <c r="N12" t="s">
        <v>32</v>
      </c>
      <c r="O12" t="s">
        <v>26</v>
      </c>
      <c r="P12" t="s">
        <v>33</v>
      </c>
      <c r="Q12">
        <v>1</v>
      </c>
      <c r="R12">
        <v>3</v>
      </c>
      <c r="S12">
        <v>100.875</v>
      </c>
      <c r="T12">
        <v>378491</v>
      </c>
      <c r="U12">
        <v>455000</v>
      </c>
      <c r="V12">
        <v>0.83179999999999998</v>
      </c>
      <c r="W12">
        <v>2305997.29</v>
      </c>
      <c r="X12">
        <v>355404954.40999979</v>
      </c>
      <c r="Y12">
        <v>357710951.69999993</v>
      </c>
    </row>
    <row r="13" spans="1:25" x14ac:dyDescent="0.25">
      <c r="A13">
        <v>20</v>
      </c>
      <c r="B13" t="s">
        <v>25</v>
      </c>
      <c r="C13" t="s">
        <v>26</v>
      </c>
      <c r="D13" t="s">
        <v>90</v>
      </c>
      <c r="E13">
        <v>166674</v>
      </c>
      <c r="F13" t="s">
        <v>91</v>
      </c>
      <c r="G13" t="s">
        <v>92</v>
      </c>
      <c r="H13" t="s">
        <v>93</v>
      </c>
      <c r="I13" t="s">
        <v>94</v>
      </c>
      <c r="J13" t="s">
        <v>91</v>
      </c>
      <c r="K13" t="s">
        <v>95</v>
      </c>
      <c r="L13" t="b">
        <v>1</v>
      </c>
      <c r="M13" t="s">
        <v>50</v>
      </c>
      <c r="N13" t="s">
        <v>32</v>
      </c>
      <c r="O13" t="s">
        <v>26</v>
      </c>
      <c r="P13" t="s">
        <v>33</v>
      </c>
      <c r="Q13">
        <v>1</v>
      </c>
      <c r="R13">
        <v>3</v>
      </c>
      <c r="S13">
        <v>90.39</v>
      </c>
      <c r="T13">
        <v>11062321</v>
      </c>
      <c r="U13">
        <v>11062321</v>
      </c>
      <c r="V13">
        <v>1</v>
      </c>
      <c r="W13">
        <v>170194330.97999999</v>
      </c>
      <c r="X13">
        <v>9307885062.289999</v>
      </c>
      <c r="Y13">
        <v>9478079393.2699986</v>
      </c>
    </row>
    <row r="14" spans="1:25" x14ac:dyDescent="0.25">
      <c r="A14">
        <v>20</v>
      </c>
      <c r="B14" t="s">
        <v>25</v>
      </c>
      <c r="C14" t="s">
        <v>26</v>
      </c>
      <c r="D14" t="s">
        <v>96</v>
      </c>
      <c r="E14">
        <v>166676</v>
      </c>
      <c r="F14" t="s">
        <v>97</v>
      </c>
      <c r="G14" t="s">
        <v>98</v>
      </c>
      <c r="H14" t="s">
        <v>93</v>
      </c>
      <c r="I14" t="s">
        <v>99</v>
      </c>
      <c r="J14" t="s">
        <v>97</v>
      </c>
      <c r="K14" t="s">
        <v>100</v>
      </c>
      <c r="L14" t="b">
        <v>1</v>
      </c>
      <c r="M14" t="s">
        <v>50</v>
      </c>
      <c r="N14" t="s">
        <v>32</v>
      </c>
      <c r="O14" t="s">
        <v>26</v>
      </c>
      <c r="P14" t="s">
        <v>33</v>
      </c>
      <c r="Q14">
        <v>1</v>
      </c>
      <c r="R14">
        <v>3</v>
      </c>
      <c r="S14">
        <v>103.77249999999999</v>
      </c>
      <c r="T14">
        <v>6794929</v>
      </c>
      <c r="U14">
        <v>6794929</v>
      </c>
      <c r="V14">
        <v>1</v>
      </c>
      <c r="W14">
        <v>229988667.78</v>
      </c>
      <c r="X14">
        <v>6563743060.54</v>
      </c>
      <c r="Y14">
        <v>6793731728.3199997</v>
      </c>
    </row>
    <row r="15" spans="1:25" x14ac:dyDescent="0.25">
      <c r="A15">
        <v>20</v>
      </c>
      <c r="B15" t="s">
        <v>25</v>
      </c>
      <c r="C15" t="s">
        <v>26</v>
      </c>
      <c r="D15" t="s">
        <v>101</v>
      </c>
      <c r="E15">
        <v>46507</v>
      </c>
      <c r="F15" t="s">
        <v>102</v>
      </c>
      <c r="G15" t="s">
        <v>103</v>
      </c>
      <c r="H15" t="s">
        <v>104</v>
      </c>
      <c r="I15" t="s">
        <v>103</v>
      </c>
      <c r="L15" t="b">
        <v>0</v>
      </c>
      <c r="M15" t="s">
        <v>50</v>
      </c>
      <c r="N15" t="s">
        <v>26</v>
      </c>
      <c r="P15" t="s">
        <v>33</v>
      </c>
      <c r="Q15">
        <v>1</v>
      </c>
      <c r="R15">
        <v>3</v>
      </c>
      <c r="S15">
        <v>84.478778609299994</v>
      </c>
      <c r="T15">
        <v>500000000</v>
      </c>
      <c r="U15">
        <v>500000000</v>
      </c>
      <c r="V15">
        <v>1</v>
      </c>
      <c r="W15">
        <v>4641095.8899999997</v>
      </c>
      <c r="X15">
        <v>422393893.05000001</v>
      </c>
      <c r="Y15">
        <v>427034988.94</v>
      </c>
    </row>
    <row r="16" spans="1:25" x14ac:dyDescent="0.25">
      <c r="A16">
        <v>20</v>
      </c>
      <c r="B16" t="s">
        <v>25</v>
      </c>
      <c r="C16" t="s">
        <v>26</v>
      </c>
      <c r="D16" t="s">
        <v>105</v>
      </c>
      <c r="E16">
        <v>91949</v>
      </c>
      <c r="F16" t="s">
        <v>106</v>
      </c>
      <c r="G16" t="s">
        <v>107</v>
      </c>
      <c r="H16" t="s">
        <v>104</v>
      </c>
      <c r="I16" t="s">
        <v>107</v>
      </c>
      <c r="L16" t="b">
        <v>0</v>
      </c>
      <c r="M16" t="s">
        <v>50</v>
      </c>
      <c r="N16" t="s">
        <v>26</v>
      </c>
      <c r="P16" t="s">
        <v>33</v>
      </c>
      <c r="Q16">
        <v>1</v>
      </c>
      <c r="R16">
        <v>3</v>
      </c>
      <c r="S16">
        <v>102.0524785074</v>
      </c>
      <c r="T16">
        <v>12000000000</v>
      </c>
      <c r="U16">
        <v>12000000000</v>
      </c>
      <c r="V16">
        <v>1</v>
      </c>
      <c r="W16">
        <v>240000000</v>
      </c>
      <c r="X16">
        <v>12246297420.889999</v>
      </c>
      <c r="Y16">
        <v>12486297420.889999</v>
      </c>
    </row>
    <row r="17" spans="1:25" x14ac:dyDescent="0.25">
      <c r="A17">
        <v>20</v>
      </c>
      <c r="B17" t="s">
        <v>25</v>
      </c>
      <c r="C17" t="s">
        <v>26</v>
      </c>
      <c r="D17" t="s">
        <v>108</v>
      </c>
      <c r="E17">
        <v>3893</v>
      </c>
      <c r="F17" t="s">
        <v>109</v>
      </c>
      <c r="G17" t="s">
        <v>110</v>
      </c>
      <c r="H17" t="s">
        <v>111</v>
      </c>
      <c r="I17" t="s">
        <v>110</v>
      </c>
      <c r="L17" t="b">
        <v>0</v>
      </c>
      <c r="M17" t="s">
        <v>112</v>
      </c>
      <c r="N17" t="s">
        <v>32</v>
      </c>
      <c r="O17" t="s">
        <v>32</v>
      </c>
      <c r="P17" t="s">
        <v>33</v>
      </c>
      <c r="Q17">
        <v>1</v>
      </c>
      <c r="R17">
        <v>3</v>
      </c>
      <c r="S17">
        <v>75.590486111111005</v>
      </c>
      <c r="T17">
        <v>199803</v>
      </c>
      <c r="U17">
        <v>312192</v>
      </c>
      <c r="V17">
        <v>0.64</v>
      </c>
      <c r="W17">
        <v>0</v>
      </c>
      <c r="X17">
        <v>140589703.37</v>
      </c>
      <c r="Y17">
        <v>140589703.37</v>
      </c>
    </row>
    <row r="18" spans="1:25" x14ac:dyDescent="0.25">
      <c r="A18">
        <v>20</v>
      </c>
      <c r="B18" t="s">
        <v>25</v>
      </c>
      <c r="C18" t="s">
        <v>26</v>
      </c>
      <c r="D18" t="s">
        <v>113</v>
      </c>
      <c r="E18">
        <v>3817</v>
      </c>
      <c r="F18" t="s">
        <v>114</v>
      </c>
      <c r="G18" t="s">
        <v>115</v>
      </c>
      <c r="H18" t="s">
        <v>111</v>
      </c>
      <c r="I18" t="s">
        <v>115</v>
      </c>
      <c r="L18" t="b">
        <v>0</v>
      </c>
      <c r="M18" t="s">
        <v>112</v>
      </c>
      <c r="N18" t="s">
        <v>32</v>
      </c>
      <c r="O18" t="s">
        <v>32</v>
      </c>
      <c r="P18" t="s">
        <v>33</v>
      </c>
      <c r="Q18">
        <v>1</v>
      </c>
      <c r="R18">
        <v>3</v>
      </c>
      <c r="S18">
        <v>87.497564999999994</v>
      </c>
      <c r="T18">
        <v>2575853</v>
      </c>
      <c r="U18">
        <v>4024772</v>
      </c>
      <c r="V18">
        <v>0.64</v>
      </c>
      <c r="W18">
        <v>1049019.3600000001</v>
      </c>
      <c r="X18">
        <v>2097980310.6400001</v>
      </c>
      <c r="Y18">
        <v>2099029330</v>
      </c>
    </row>
    <row r="19" spans="1:25" x14ac:dyDescent="0.25">
      <c r="A19">
        <v>20</v>
      </c>
      <c r="B19" t="s">
        <v>25</v>
      </c>
      <c r="C19" t="s">
        <v>26</v>
      </c>
      <c r="D19" t="s">
        <v>116</v>
      </c>
      <c r="E19">
        <v>3819</v>
      </c>
      <c r="F19" t="s">
        <v>117</v>
      </c>
      <c r="G19" t="s">
        <v>118</v>
      </c>
      <c r="H19" t="s">
        <v>111</v>
      </c>
      <c r="I19" t="s">
        <v>118</v>
      </c>
      <c r="L19" t="b">
        <v>0</v>
      </c>
      <c r="M19" t="s">
        <v>112</v>
      </c>
      <c r="N19" t="s">
        <v>32</v>
      </c>
      <c r="O19" t="s">
        <v>32</v>
      </c>
      <c r="P19" t="s">
        <v>33</v>
      </c>
      <c r="Q19">
        <v>1</v>
      </c>
      <c r="R19">
        <v>3</v>
      </c>
      <c r="S19">
        <v>89.718735714299996</v>
      </c>
      <c r="T19">
        <v>52924</v>
      </c>
      <c r="U19">
        <v>88208</v>
      </c>
      <c r="V19">
        <v>0.6</v>
      </c>
      <c r="W19">
        <v>28737.82</v>
      </c>
      <c r="X19">
        <v>44199783.359999992</v>
      </c>
      <c r="Y19">
        <v>44228521.179999992</v>
      </c>
    </row>
    <row r="20" spans="1:25" x14ac:dyDescent="0.25">
      <c r="A20">
        <v>20</v>
      </c>
      <c r="B20" t="s">
        <v>25</v>
      </c>
      <c r="C20" t="s">
        <v>26</v>
      </c>
      <c r="D20" t="s">
        <v>119</v>
      </c>
      <c r="E20">
        <v>34397</v>
      </c>
      <c r="F20" t="s">
        <v>120</v>
      </c>
      <c r="G20" t="s">
        <v>121</v>
      </c>
      <c r="H20" t="s">
        <v>122</v>
      </c>
      <c r="I20" t="s">
        <v>123</v>
      </c>
      <c r="L20" t="b">
        <v>1</v>
      </c>
      <c r="M20" t="s">
        <v>112</v>
      </c>
      <c r="N20" t="s">
        <v>32</v>
      </c>
      <c r="O20" t="s">
        <v>32</v>
      </c>
      <c r="P20" t="s">
        <v>33</v>
      </c>
      <c r="Q20">
        <v>1</v>
      </c>
      <c r="R20">
        <v>3</v>
      </c>
      <c r="S20">
        <v>83.102837500000007</v>
      </c>
      <c r="T20">
        <v>5614466</v>
      </c>
      <c r="U20">
        <v>6312643</v>
      </c>
      <c r="V20">
        <v>0.88939999999999997</v>
      </c>
      <c r="W20">
        <v>143305373.40000001</v>
      </c>
      <c r="X20">
        <v>4343188492.0799999</v>
      </c>
      <c r="Y20">
        <v>4486493865.4799995</v>
      </c>
    </row>
    <row r="21" spans="1:25" x14ac:dyDescent="0.25">
      <c r="A21">
        <v>17</v>
      </c>
      <c r="B21" t="s">
        <v>124</v>
      </c>
      <c r="C21" t="s">
        <v>32</v>
      </c>
      <c r="D21" t="s">
        <v>125</v>
      </c>
      <c r="E21">
        <v>135500</v>
      </c>
      <c r="F21" t="s">
        <v>126</v>
      </c>
      <c r="G21" t="s">
        <v>127</v>
      </c>
      <c r="H21" t="s">
        <v>128</v>
      </c>
      <c r="I21" t="s">
        <v>127</v>
      </c>
      <c r="L21" t="b">
        <v>0</v>
      </c>
      <c r="M21" t="s">
        <v>81</v>
      </c>
      <c r="N21" t="s">
        <v>129</v>
      </c>
      <c r="P21" t="s">
        <v>33</v>
      </c>
      <c r="Q21">
        <v>1</v>
      </c>
      <c r="R21">
        <v>3</v>
      </c>
      <c r="S21">
        <v>98.41</v>
      </c>
      <c r="T21">
        <v>2086843120</v>
      </c>
      <c r="U21">
        <v>2086843120</v>
      </c>
      <c r="V21">
        <v>1</v>
      </c>
      <c r="W21">
        <v>2443.4</v>
      </c>
      <c r="X21">
        <v>651422.74</v>
      </c>
      <c r="Y21">
        <v>653866.14</v>
      </c>
    </row>
    <row r="22" spans="1:25" x14ac:dyDescent="0.25">
      <c r="A22">
        <v>17</v>
      </c>
      <c r="B22" t="s">
        <v>124</v>
      </c>
      <c r="C22" t="s">
        <v>32</v>
      </c>
      <c r="D22" t="s">
        <v>130</v>
      </c>
      <c r="E22">
        <v>153765</v>
      </c>
      <c r="F22" t="s">
        <v>131</v>
      </c>
      <c r="G22" t="s">
        <v>132</v>
      </c>
      <c r="H22" t="s">
        <v>133</v>
      </c>
      <c r="I22" t="s">
        <v>132</v>
      </c>
      <c r="L22" t="b">
        <v>0</v>
      </c>
      <c r="M22" t="s">
        <v>81</v>
      </c>
      <c r="N22" t="s">
        <v>129</v>
      </c>
      <c r="P22" t="s">
        <v>33</v>
      </c>
      <c r="Q22">
        <v>1</v>
      </c>
      <c r="R22">
        <v>3</v>
      </c>
      <c r="S22">
        <v>94.125</v>
      </c>
      <c r="T22">
        <v>2478831350</v>
      </c>
      <c r="U22">
        <v>2478831350</v>
      </c>
      <c r="V22">
        <v>1</v>
      </c>
      <c r="W22">
        <v>1735.07</v>
      </c>
      <c r="X22">
        <v>740092.24</v>
      </c>
      <c r="Y22">
        <v>741827.30999999994</v>
      </c>
    </row>
    <row r="23" spans="1:25" x14ac:dyDescent="0.25">
      <c r="A23">
        <v>17</v>
      </c>
      <c r="B23" t="s">
        <v>124</v>
      </c>
      <c r="C23" t="s">
        <v>32</v>
      </c>
      <c r="D23" t="s">
        <v>134</v>
      </c>
      <c r="E23">
        <v>132057</v>
      </c>
      <c r="F23" t="s">
        <v>135</v>
      </c>
      <c r="G23" t="s">
        <v>136</v>
      </c>
      <c r="H23" t="s">
        <v>137</v>
      </c>
      <c r="I23" t="s">
        <v>136</v>
      </c>
      <c r="L23" t="b">
        <v>0</v>
      </c>
      <c r="M23" t="s">
        <v>81</v>
      </c>
      <c r="N23" t="s">
        <v>129</v>
      </c>
      <c r="P23" t="s">
        <v>33</v>
      </c>
      <c r="Q23">
        <v>1</v>
      </c>
      <c r="R23">
        <v>3</v>
      </c>
      <c r="S23">
        <v>92.293999999999997</v>
      </c>
      <c r="T23">
        <v>7764891566.7180004</v>
      </c>
      <c r="U23">
        <v>7764891566.7180004</v>
      </c>
      <c r="V23">
        <v>1</v>
      </c>
      <c r="W23">
        <v>16283.35</v>
      </c>
      <c r="X23">
        <v>2273226.6999999988</v>
      </c>
      <c r="Y23">
        <v>2289510.0499999989</v>
      </c>
    </row>
    <row r="24" spans="1:25" x14ac:dyDescent="0.25">
      <c r="A24">
        <v>17</v>
      </c>
      <c r="B24" t="s">
        <v>124</v>
      </c>
      <c r="C24" t="s">
        <v>32</v>
      </c>
      <c r="D24" t="s">
        <v>138</v>
      </c>
      <c r="E24">
        <v>131198</v>
      </c>
      <c r="F24" t="s">
        <v>139</v>
      </c>
      <c r="G24" t="s">
        <v>140</v>
      </c>
      <c r="H24" t="s">
        <v>141</v>
      </c>
      <c r="I24" t="s">
        <v>140</v>
      </c>
      <c r="L24" t="b">
        <v>0</v>
      </c>
      <c r="M24" t="s">
        <v>81</v>
      </c>
      <c r="N24" t="s">
        <v>129</v>
      </c>
      <c r="P24" t="s">
        <v>33</v>
      </c>
      <c r="Q24">
        <v>1</v>
      </c>
      <c r="R24">
        <v>3</v>
      </c>
      <c r="S24">
        <v>99.927000000000007</v>
      </c>
      <c r="T24">
        <v>16000000000</v>
      </c>
      <c r="U24">
        <v>16000000000</v>
      </c>
      <c r="V24">
        <v>1</v>
      </c>
      <c r="W24">
        <v>0</v>
      </c>
      <c r="X24">
        <v>5071503.3600000013</v>
      </c>
      <c r="Y24">
        <v>5071503.3600000013</v>
      </c>
    </row>
    <row r="25" spans="1:25" x14ac:dyDescent="0.25">
      <c r="A25">
        <v>17</v>
      </c>
      <c r="B25" t="s">
        <v>124</v>
      </c>
      <c r="C25" t="s">
        <v>32</v>
      </c>
      <c r="D25" t="s">
        <v>142</v>
      </c>
      <c r="E25">
        <v>139470</v>
      </c>
      <c r="F25" t="s">
        <v>143</v>
      </c>
      <c r="G25" t="s">
        <v>144</v>
      </c>
      <c r="H25" t="s">
        <v>145</v>
      </c>
      <c r="I25" t="s">
        <v>144</v>
      </c>
      <c r="L25" t="b">
        <v>0</v>
      </c>
      <c r="M25" t="s">
        <v>81</v>
      </c>
      <c r="N25" t="s">
        <v>129</v>
      </c>
      <c r="P25" t="s">
        <v>33</v>
      </c>
      <c r="Q25">
        <v>1</v>
      </c>
      <c r="R25">
        <v>3</v>
      </c>
      <c r="S25">
        <v>96.971000000000004</v>
      </c>
      <c r="T25">
        <v>3769720113.7659998</v>
      </c>
      <c r="U25">
        <v>3769720113.7659998</v>
      </c>
      <c r="V25">
        <v>1</v>
      </c>
      <c r="W25">
        <v>5030.4799999999996</v>
      </c>
      <c r="X25">
        <v>1159537.68</v>
      </c>
      <c r="Y25">
        <v>1164568.1599999999</v>
      </c>
    </row>
    <row r="26" spans="1:25" x14ac:dyDescent="0.25">
      <c r="A26">
        <v>17</v>
      </c>
      <c r="B26" t="s">
        <v>124</v>
      </c>
      <c r="C26" t="s">
        <v>32</v>
      </c>
      <c r="D26" t="s">
        <v>146</v>
      </c>
      <c r="E26">
        <v>757</v>
      </c>
      <c r="F26" t="s">
        <v>147</v>
      </c>
      <c r="G26" t="s">
        <v>148</v>
      </c>
      <c r="H26" t="s">
        <v>149</v>
      </c>
      <c r="I26" t="s">
        <v>150</v>
      </c>
      <c r="L26" t="b">
        <v>1</v>
      </c>
      <c r="M26" t="s">
        <v>81</v>
      </c>
      <c r="N26" t="s">
        <v>151</v>
      </c>
      <c r="P26" t="s">
        <v>33</v>
      </c>
      <c r="Q26">
        <v>1</v>
      </c>
      <c r="R26">
        <v>3</v>
      </c>
      <c r="S26">
        <v>92</v>
      </c>
      <c r="T26">
        <v>87008403.340000004</v>
      </c>
      <c r="U26">
        <v>87008403.340000004</v>
      </c>
      <c r="V26">
        <v>1</v>
      </c>
      <c r="W26">
        <v>31496.52</v>
      </c>
      <c r="X26">
        <v>10576531.619999999</v>
      </c>
      <c r="Y26">
        <v>10608028.140000001</v>
      </c>
    </row>
    <row r="27" spans="1:25" x14ac:dyDescent="0.25">
      <c r="A27">
        <v>17</v>
      </c>
      <c r="B27" t="s">
        <v>124</v>
      </c>
      <c r="C27" t="s">
        <v>32</v>
      </c>
      <c r="D27" t="s">
        <v>152</v>
      </c>
      <c r="E27">
        <v>194649</v>
      </c>
      <c r="F27" t="s">
        <v>153</v>
      </c>
      <c r="G27" t="s">
        <v>154</v>
      </c>
      <c r="H27" t="s">
        <v>155</v>
      </c>
      <c r="I27" t="s">
        <v>154</v>
      </c>
      <c r="L27" t="b">
        <v>0</v>
      </c>
      <c r="M27" t="s">
        <v>81</v>
      </c>
      <c r="N27" t="s">
        <v>151</v>
      </c>
      <c r="P27" t="s">
        <v>33</v>
      </c>
      <c r="Q27">
        <v>1</v>
      </c>
      <c r="R27">
        <v>3</v>
      </c>
      <c r="S27">
        <v>106.12766733847</v>
      </c>
      <c r="T27">
        <v>101120000</v>
      </c>
      <c r="U27">
        <v>101120000</v>
      </c>
      <c r="V27">
        <v>1</v>
      </c>
      <c r="W27">
        <v>0</v>
      </c>
      <c r="X27">
        <v>14179467.630000001</v>
      </c>
      <c r="Y27">
        <v>14179467.630000001</v>
      </c>
    </row>
    <row r="28" spans="1:25" x14ac:dyDescent="0.25">
      <c r="A28">
        <v>17</v>
      </c>
      <c r="B28" t="s">
        <v>124</v>
      </c>
      <c r="C28" t="s">
        <v>32</v>
      </c>
      <c r="D28" t="s">
        <v>156</v>
      </c>
      <c r="E28">
        <v>162112</v>
      </c>
      <c r="F28" t="s">
        <v>157</v>
      </c>
      <c r="G28" t="s">
        <v>158</v>
      </c>
      <c r="H28" t="s">
        <v>159</v>
      </c>
      <c r="I28" t="s">
        <v>160</v>
      </c>
      <c r="L28" t="b">
        <v>1</v>
      </c>
      <c r="M28" t="s">
        <v>81</v>
      </c>
      <c r="N28" t="s">
        <v>151</v>
      </c>
      <c r="P28" t="s">
        <v>33</v>
      </c>
      <c r="Q28">
        <v>1</v>
      </c>
      <c r="R28">
        <v>3</v>
      </c>
      <c r="S28">
        <v>95</v>
      </c>
      <c r="T28">
        <v>4669354</v>
      </c>
      <c r="U28">
        <v>4669354</v>
      </c>
      <c r="V28">
        <v>1</v>
      </c>
      <c r="W28">
        <v>1893.11</v>
      </c>
      <c r="X28">
        <v>586103.94999999995</v>
      </c>
      <c r="Y28">
        <v>587997.05999999994</v>
      </c>
    </row>
    <row r="29" spans="1:25" x14ac:dyDescent="0.25">
      <c r="A29">
        <v>17</v>
      </c>
      <c r="B29" t="s">
        <v>124</v>
      </c>
      <c r="C29" t="s">
        <v>32</v>
      </c>
      <c r="D29" t="s">
        <v>161</v>
      </c>
      <c r="E29">
        <v>31601</v>
      </c>
      <c r="F29" t="s">
        <v>162</v>
      </c>
      <c r="G29" t="s">
        <v>163</v>
      </c>
      <c r="H29" t="s">
        <v>164</v>
      </c>
      <c r="I29" t="s">
        <v>165</v>
      </c>
      <c r="L29" t="b">
        <v>1</v>
      </c>
      <c r="M29" t="s">
        <v>81</v>
      </c>
      <c r="N29" t="s">
        <v>151</v>
      </c>
      <c r="P29" t="s">
        <v>33</v>
      </c>
      <c r="Q29">
        <v>1</v>
      </c>
      <c r="R29">
        <v>3</v>
      </c>
      <c r="S29">
        <v>81.144000000000005</v>
      </c>
      <c r="T29">
        <v>36199138</v>
      </c>
      <c r="U29">
        <v>41796190</v>
      </c>
      <c r="V29">
        <v>0.86609999999999998</v>
      </c>
      <c r="W29">
        <v>41368.92</v>
      </c>
      <c r="X29">
        <v>3881046.8699999969</v>
      </c>
      <c r="Y29">
        <v>3922415.7899999968</v>
      </c>
    </row>
    <row r="30" spans="1:25" x14ac:dyDescent="0.25">
      <c r="A30">
        <v>17</v>
      </c>
      <c r="B30" t="s">
        <v>124</v>
      </c>
      <c r="C30" t="s">
        <v>32</v>
      </c>
      <c r="D30" t="s">
        <v>166</v>
      </c>
      <c r="E30">
        <v>31906</v>
      </c>
      <c r="F30" t="s">
        <v>167</v>
      </c>
      <c r="G30" t="s">
        <v>168</v>
      </c>
      <c r="H30" t="s">
        <v>169</v>
      </c>
      <c r="I30" t="s">
        <v>170</v>
      </c>
      <c r="L30" t="b">
        <v>1</v>
      </c>
      <c r="M30" t="s">
        <v>81</v>
      </c>
      <c r="N30" t="s">
        <v>151</v>
      </c>
      <c r="P30" t="s">
        <v>33</v>
      </c>
      <c r="Q30">
        <v>1</v>
      </c>
      <c r="R30">
        <v>3</v>
      </c>
      <c r="S30">
        <v>89.25</v>
      </c>
      <c r="T30">
        <v>28258067</v>
      </c>
      <c r="U30">
        <v>28258067</v>
      </c>
      <c r="V30">
        <v>1</v>
      </c>
      <c r="W30">
        <v>28235.93</v>
      </c>
      <c r="X30">
        <v>3332306.35</v>
      </c>
      <c r="Y30">
        <v>3360542.28</v>
      </c>
    </row>
    <row r="31" spans="1:25" x14ac:dyDescent="0.25">
      <c r="A31">
        <v>17</v>
      </c>
      <c r="B31" t="s">
        <v>124</v>
      </c>
      <c r="C31" t="s">
        <v>32</v>
      </c>
      <c r="D31" t="s">
        <v>171</v>
      </c>
      <c r="E31">
        <v>1065</v>
      </c>
      <c r="F31" t="s">
        <v>172</v>
      </c>
      <c r="G31" t="s">
        <v>173</v>
      </c>
      <c r="H31" t="s">
        <v>174</v>
      </c>
      <c r="I31" t="s">
        <v>175</v>
      </c>
      <c r="L31" t="b">
        <v>1</v>
      </c>
      <c r="M31" t="s">
        <v>81</v>
      </c>
      <c r="N31" t="s">
        <v>151</v>
      </c>
      <c r="P31" t="s">
        <v>33</v>
      </c>
      <c r="Q31">
        <v>1</v>
      </c>
      <c r="R31">
        <v>3</v>
      </c>
      <c r="S31">
        <v>66.984999999999999</v>
      </c>
      <c r="T31">
        <v>187830193</v>
      </c>
      <c r="U31">
        <v>187830193</v>
      </c>
      <c r="V31">
        <v>1</v>
      </c>
      <c r="W31">
        <v>761866.1</v>
      </c>
      <c r="X31">
        <v>16624064.390000001</v>
      </c>
      <c r="Y31">
        <v>17385930.489999998</v>
      </c>
    </row>
    <row r="32" spans="1:25" x14ac:dyDescent="0.25">
      <c r="A32">
        <v>17</v>
      </c>
      <c r="B32" t="s">
        <v>124</v>
      </c>
      <c r="C32" t="s">
        <v>32</v>
      </c>
      <c r="D32" t="s">
        <v>176</v>
      </c>
      <c r="E32">
        <v>459</v>
      </c>
      <c r="F32" t="s">
        <v>177</v>
      </c>
      <c r="G32" t="s">
        <v>178</v>
      </c>
      <c r="H32" t="s">
        <v>179</v>
      </c>
      <c r="I32" t="s">
        <v>178</v>
      </c>
      <c r="L32" t="b">
        <v>0</v>
      </c>
      <c r="M32" t="s">
        <v>44</v>
      </c>
      <c r="N32" t="s">
        <v>180</v>
      </c>
      <c r="P32" t="s">
        <v>33</v>
      </c>
      <c r="Q32">
        <v>1</v>
      </c>
      <c r="R32">
        <v>3</v>
      </c>
      <c r="S32">
        <v>100.5</v>
      </c>
      <c r="T32">
        <v>150000</v>
      </c>
      <c r="U32">
        <v>150000</v>
      </c>
      <c r="V32">
        <v>1</v>
      </c>
      <c r="W32">
        <v>27216.22</v>
      </c>
      <c r="X32">
        <v>869246.83</v>
      </c>
      <c r="Y32">
        <v>896463.04999999993</v>
      </c>
    </row>
    <row r="33" spans="1:25" x14ac:dyDescent="0.25">
      <c r="A33">
        <v>20</v>
      </c>
      <c r="B33" t="s">
        <v>25</v>
      </c>
      <c r="C33" t="s">
        <v>26</v>
      </c>
      <c r="D33" t="s">
        <v>181</v>
      </c>
      <c r="E33">
        <v>951</v>
      </c>
      <c r="F33" t="s">
        <v>182</v>
      </c>
      <c r="G33" t="s">
        <v>183</v>
      </c>
      <c r="H33" t="s">
        <v>184</v>
      </c>
      <c r="I33" t="s">
        <v>185</v>
      </c>
      <c r="L33" t="b">
        <v>1</v>
      </c>
      <c r="M33" t="s">
        <v>112</v>
      </c>
      <c r="N33" t="s">
        <v>32</v>
      </c>
      <c r="O33" t="s">
        <v>32</v>
      </c>
      <c r="P33" t="s">
        <v>33</v>
      </c>
      <c r="Q33">
        <v>1</v>
      </c>
      <c r="R33">
        <v>3</v>
      </c>
      <c r="S33">
        <v>100.40833333330001</v>
      </c>
      <c r="T33">
        <v>1771004</v>
      </c>
      <c r="U33">
        <v>3542008</v>
      </c>
      <c r="V33">
        <v>0.5</v>
      </c>
      <c r="W33">
        <v>13509006.98</v>
      </c>
      <c r="X33">
        <v>1655288390.6199999</v>
      </c>
      <c r="Y33">
        <v>1668797397.5999999</v>
      </c>
    </row>
    <row r="34" spans="1:25" x14ac:dyDescent="0.25">
      <c r="A34">
        <v>20</v>
      </c>
      <c r="B34" t="s">
        <v>25</v>
      </c>
      <c r="C34" t="s">
        <v>26</v>
      </c>
      <c r="D34" t="s">
        <v>186</v>
      </c>
      <c r="E34">
        <v>189777</v>
      </c>
      <c r="F34" t="s">
        <v>187</v>
      </c>
      <c r="G34" t="s">
        <v>188</v>
      </c>
      <c r="H34" t="s">
        <v>189</v>
      </c>
      <c r="I34" t="s">
        <v>188</v>
      </c>
      <c r="L34" t="b">
        <v>0</v>
      </c>
      <c r="M34" t="s">
        <v>50</v>
      </c>
      <c r="N34" t="s">
        <v>26</v>
      </c>
      <c r="P34" t="s">
        <v>33</v>
      </c>
      <c r="Q34">
        <v>1</v>
      </c>
      <c r="R34">
        <v>10</v>
      </c>
      <c r="S34">
        <v>41215.615299999998</v>
      </c>
      <c r="T34">
        <v>25</v>
      </c>
      <c r="U34">
        <v>25</v>
      </c>
      <c r="V34">
        <v>1</v>
      </c>
      <c r="W34">
        <v>0</v>
      </c>
      <c r="X34">
        <v>1030390.38</v>
      </c>
      <c r="Y34">
        <v>1030390.38</v>
      </c>
    </row>
    <row r="35" spans="1:25" x14ac:dyDescent="0.25">
      <c r="A35">
        <v>17</v>
      </c>
      <c r="B35" t="s">
        <v>124</v>
      </c>
      <c r="C35" t="s">
        <v>32</v>
      </c>
      <c r="D35" t="s">
        <v>190</v>
      </c>
      <c r="E35">
        <v>120307</v>
      </c>
      <c r="F35" t="s">
        <v>191</v>
      </c>
      <c r="G35" t="s">
        <v>192</v>
      </c>
      <c r="H35" t="s">
        <v>193</v>
      </c>
      <c r="I35" t="s">
        <v>192</v>
      </c>
      <c r="L35" t="b">
        <v>0</v>
      </c>
      <c r="M35" t="s">
        <v>44</v>
      </c>
      <c r="N35" t="s">
        <v>180</v>
      </c>
      <c r="P35" t="s">
        <v>33</v>
      </c>
      <c r="Q35">
        <v>1</v>
      </c>
      <c r="R35">
        <v>3</v>
      </c>
      <c r="S35">
        <v>104.3018033563</v>
      </c>
      <c r="T35">
        <v>217990000</v>
      </c>
      <c r="U35">
        <v>217990000</v>
      </c>
      <c r="V35">
        <v>1</v>
      </c>
      <c r="W35">
        <v>0</v>
      </c>
      <c r="X35">
        <v>13110346.84</v>
      </c>
      <c r="Y35">
        <v>13110346.84</v>
      </c>
    </row>
    <row r="36" spans="1:25" x14ac:dyDescent="0.25">
      <c r="A36">
        <v>17</v>
      </c>
      <c r="B36" t="s">
        <v>124</v>
      </c>
      <c r="C36" t="s">
        <v>32</v>
      </c>
      <c r="D36" t="s">
        <v>194</v>
      </c>
      <c r="E36">
        <v>465</v>
      </c>
      <c r="F36" t="s">
        <v>195</v>
      </c>
      <c r="G36" t="s">
        <v>196</v>
      </c>
      <c r="H36" t="s">
        <v>193</v>
      </c>
      <c r="I36" t="s">
        <v>196</v>
      </c>
      <c r="L36" t="b">
        <v>0</v>
      </c>
      <c r="M36" t="s">
        <v>44</v>
      </c>
      <c r="N36" t="s">
        <v>180</v>
      </c>
      <c r="P36" t="s">
        <v>33</v>
      </c>
      <c r="Q36">
        <v>1</v>
      </c>
      <c r="R36">
        <v>3</v>
      </c>
      <c r="S36">
        <v>89.921999999999997</v>
      </c>
      <c r="T36">
        <v>250800</v>
      </c>
      <c r="U36">
        <v>250800</v>
      </c>
      <c r="V36">
        <v>1</v>
      </c>
      <c r="W36">
        <v>146133.45000000001</v>
      </c>
      <c r="X36">
        <v>13004069.52</v>
      </c>
      <c r="Y36">
        <v>13150202.970000001</v>
      </c>
    </row>
    <row r="37" spans="1:25" x14ac:dyDescent="0.25">
      <c r="A37">
        <v>17</v>
      </c>
      <c r="B37" t="s">
        <v>124</v>
      </c>
      <c r="C37" t="s">
        <v>32</v>
      </c>
      <c r="D37" t="s">
        <v>197</v>
      </c>
      <c r="E37">
        <v>2253</v>
      </c>
      <c r="F37" t="s">
        <v>198</v>
      </c>
      <c r="G37" t="s">
        <v>199</v>
      </c>
      <c r="H37" t="s">
        <v>200</v>
      </c>
      <c r="I37" t="s">
        <v>201</v>
      </c>
      <c r="L37" t="b">
        <v>1</v>
      </c>
      <c r="M37" t="s">
        <v>202</v>
      </c>
      <c r="N37" t="s">
        <v>180</v>
      </c>
      <c r="P37" t="s">
        <v>33</v>
      </c>
      <c r="Q37">
        <v>1</v>
      </c>
      <c r="R37">
        <v>3</v>
      </c>
      <c r="S37">
        <v>100.202</v>
      </c>
      <c r="T37">
        <v>40000000</v>
      </c>
      <c r="U37">
        <v>40000000</v>
      </c>
      <c r="V37">
        <v>1</v>
      </c>
      <c r="W37">
        <v>33007.99</v>
      </c>
      <c r="X37">
        <v>2311118.29</v>
      </c>
      <c r="Y37">
        <v>2344126.2799999998</v>
      </c>
    </row>
    <row r="38" spans="1:25" x14ac:dyDescent="0.25">
      <c r="A38">
        <v>17</v>
      </c>
      <c r="B38" t="s">
        <v>124</v>
      </c>
      <c r="C38" t="s">
        <v>32</v>
      </c>
      <c r="D38" t="s">
        <v>203</v>
      </c>
      <c r="E38">
        <v>1528</v>
      </c>
      <c r="F38" t="s">
        <v>204</v>
      </c>
      <c r="G38" t="s">
        <v>205</v>
      </c>
      <c r="H38" t="s">
        <v>206</v>
      </c>
      <c r="I38" t="s">
        <v>205</v>
      </c>
      <c r="L38" t="b">
        <v>0</v>
      </c>
      <c r="M38" t="s">
        <v>44</v>
      </c>
      <c r="N38" t="s">
        <v>180</v>
      </c>
      <c r="P38" t="s">
        <v>33</v>
      </c>
      <c r="Q38">
        <v>1</v>
      </c>
      <c r="R38">
        <v>3</v>
      </c>
      <c r="S38">
        <v>93.977000000000004</v>
      </c>
      <c r="T38">
        <v>838021</v>
      </c>
      <c r="U38">
        <v>983759</v>
      </c>
      <c r="V38">
        <v>0.85189999999999999</v>
      </c>
      <c r="W38">
        <v>122870.92</v>
      </c>
      <c r="X38">
        <v>4541112.6100000013</v>
      </c>
      <c r="Y38">
        <v>4663983.5300000012</v>
      </c>
    </row>
    <row r="39" spans="1:25" x14ac:dyDescent="0.25">
      <c r="A39">
        <v>17</v>
      </c>
      <c r="B39" t="s">
        <v>124</v>
      </c>
      <c r="C39" t="s">
        <v>32</v>
      </c>
      <c r="D39" t="s">
        <v>207</v>
      </c>
      <c r="E39">
        <v>107659</v>
      </c>
      <c r="F39" t="s">
        <v>208</v>
      </c>
      <c r="G39" t="s">
        <v>209</v>
      </c>
      <c r="H39" t="s">
        <v>210</v>
      </c>
      <c r="I39" t="s">
        <v>209</v>
      </c>
      <c r="L39" t="b">
        <v>0</v>
      </c>
      <c r="M39" t="s">
        <v>44</v>
      </c>
      <c r="N39" t="s">
        <v>180</v>
      </c>
      <c r="P39" t="s">
        <v>33</v>
      </c>
      <c r="Q39">
        <v>1</v>
      </c>
      <c r="R39">
        <v>3</v>
      </c>
      <c r="S39">
        <v>107.613</v>
      </c>
      <c r="T39">
        <v>400000</v>
      </c>
      <c r="U39">
        <v>400000</v>
      </c>
      <c r="V39">
        <v>1</v>
      </c>
      <c r="W39">
        <v>85318.49</v>
      </c>
      <c r="X39">
        <v>2482049.98</v>
      </c>
      <c r="Y39">
        <v>2567368.4700000002</v>
      </c>
    </row>
    <row r="40" spans="1:25" x14ac:dyDescent="0.25">
      <c r="A40">
        <v>17</v>
      </c>
      <c r="B40" t="s">
        <v>124</v>
      </c>
      <c r="C40" t="s">
        <v>32</v>
      </c>
      <c r="D40" t="s">
        <v>211</v>
      </c>
      <c r="E40">
        <v>733</v>
      </c>
      <c r="F40" t="s">
        <v>212</v>
      </c>
      <c r="G40" t="s">
        <v>213</v>
      </c>
      <c r="H40" t="s">
        <v>214</v>
      </c>
      <c r="I40" t="s">
        <v>213</v>
      </c>
      <c r="L40" t="b">
        <v>0</v>
      </c>
      <c r="M40" t="s">
        <v>44</v>
      </c>
      <c r="N40" t="s">
        <v>180</v>
      </c>
      <c r="P40" t="s">
        <v>33</v>
      </c>
      <c r="Q40">
        <v>1</v>
      </c>
      <c r="R40">
        <v>3</v>
      </c>
      <c r="S40">
        <v>100.489</v>
      </c>
      <c r="T40">
        <v>2614886</v>
      </c>
      <c r="U40">
        <v>2614886</v>
      </c>
      <c r="V40">
        <v>1</v>
      </c>
      <c r="W40">
        <v>123336.57</v>
      </c>
      <c r="X40">
        <v>15151550.470000001</v>
      </c>
      <c r="Y40">
        <v>15274887.039999999</v>
      </c>
    </row>
    <row r="41" spans="1:25" x14ac:dyDescent="0.25">
      <c r="A41">
        <v>17</v>
      </c>
      <c r="B41" t="s">
        <v>124</v>
      </c>
      <c r="C41" t="s">
        <v>32</v>
      </c>
      <c r="D41" t="s">
        <v>215</v>
      </c>
      <c r="E41">
        <v>97465</v>
      </c>
      <c r="F41" t="s">
        <v>216</v>
      </c>
      <c r="G41" t="s">
        <v>217</v>
      </c>
      <c r="H41" t="s">
        <v>218</v>
      </c>
      <c r="I41" t="s">
        <v>217</v>
      </c>
      <c r="L41" t="b">
        <v>0</v>
      </c>
      <c r="M41" t="s">
        <v>50</v>
      </c>
      <c r="N41" t="s">
        <v>180</v>
      </c>
      <c r="P41" t="s">
        <v>33</v>
      </c>
      <c r="Q41">
        <v>1</v>
      </c>
      <c r="R41">
        <v>3</v>
      </c>
      <c r="S41">
        <v>104.932</v>
      </c>
      <c r="T41">
        <v>1201237</v>
      </c>
      <c r="U41">
        <v>1201237</v>
      </c>
      <c r="V41">
        <v>1</v>
      </c>
      <c r="W41">
        <v>71516.22</v>
      </c>
      <c r="X41">
        <v>7268125.9299999997</v>
      </c>
      <c r="Y41">
        <v>7339642.1499999994</v>
      </c>
    </row>
    <row r="42" spans="1:25" x14ac:dyDescent="0.25">
      <c r="A42">
        <v>17</v>
      </c>
      <c r="B42" t="s">
        <v>124</v>
      </c>
      <c r="C42" t="s">
        <v>32</v>
      </c>
      <c r="D42" t="s">
        <v>219</v>
      </c>
      <c r="E42">
        <v>124106</v>
      </c>
      <c r="F42" t="s">
        <v>220</v>
      </c>
      <c r="G42" t="s">
        <v>221</v>
      </c>
      <c r="H42" t="s">
        <v>222</v>
      </c>
      <c r="I42" t="s">
        <v>221</v>
      </c>
      <c r="L42" t="b">
        <v>0</v>
      </c>
      <c r="M42" t="s">
        <v>44</v>
      </c>
      <c r="N42" t="s">
        <v>180</v>
      </c>
      <c r="P42" t="s">
        <v>33</v>
      </c>
      <c r="Q42">
        <v>1</v>
      </c>
      <c r="R42">
        <v>3</v>
      </c>
      <c r="S42">
        <v>98.904799999999994</v>
      </c>
      <c r="T42">
        <v>831997</v>
      </c>
      <c r="U42">
        <v>831997</v>
      </c>
      <c r="V42">
        <v>1</v>
      </c>
      <c r="W42">
        <v>157677.81</v>
      </c>
      <c r="X42">
        <v>4744876.5999999996</v>
      </c>
      <c r="Y42">
        <v>4902554.4099999992</v>
      </c>
    </row>
    <row r="43" spans="1:25" x14ac:dyDescent="0.25">
      <c r="A43">
        <v>17</v>
      </c>
      <c r="B43" t="s">
        <v>124</v>
      </c>
      <c r="C43" t="s">
        <v>32</v>
      </c>
      <c r="D43" t="s">
        <v>223</v>
      </c>
      <c r="E43">
        <v>188163</v>
      </c>
      <c r="F43" t="s">
        <v>224</v>
      </c>
      <c r="G43" t="s">
        <v>225</v>
      </c>
      <c r="H43" t="s">
        <v>226</v>
      </c>
      <c r="I43" t="s">
        <v>225</v>
      </c>
      <c r="L43" t="b">
        <v>0</v>
      </c>
      <c r="M43" t="s">
        <v>44</v>
      </c>
      <c r="N43" t="s">
        <v>180</v>
      </c>
      <c r="P43" t="s">
        <v>33</v>
      </c>
      <c r="Q43">
        <v>1</v>
      </c>
      <c r="R43">
        <v>3</v>
      </c>
      <c r="S43">
        <v>100.0057</v>
      </c>
      <c r="T43">
        <v>600000</v>
      </c>
      <c r="U43">
        <v>600000</v>
      </c>
      <c r="V43">
        <v>1</v>
      </c>
      <c r="W43">
        <v>17392.36</v>
      </c>
      <c r="X43">
        <v>3459886.06</v>
      </c>
      <c r="Y43">
        <v>3477278.42</v>
      </c>
    </row>
    <row r="44" spans="1:25" x14ac:dyDescent="0.25">
      <c r="A44">
        <v>17</v>
      </c>
      <c r="B44" t="s">
        <v>124</v>
      </c>
      <c r="C44" t="s">
        <v>32</v>
      </c>
      <c r="D44" t="s">
        <v>227</v>
      </c>
      <c r="E44">
        <v>72358</v>
      </c>
      <c r="F44" t="s">
        <v>228</v>
      </c>
      <c r="G44" t="s">
        <v>229</v>
      </c>
      <c r="H44" t="s">
        <v>230</v>
      </c>
      <c r="I44" t="s">
        <v>229</v>
      </c>
      <c r="L44" t="b">
        <v>0</v>
      </c>
      <c r="M44" t="s">
        <v>44</v>
      </c>
      <c r="N44" t="s">
        <v>180</v>
      </c>
      <c r="P44" t="s">
        <v>33</v>
      </c>
      <c r="Q44">
        <v>1</v>
      </c>
      <c r="R44">
        <v>3</v>
      </c>
      <c r="S44">
        <v>104.7653</v>
      </c>
      <c r="T44">
        <v>598127</v>
      </c>
      <c r="U44">
        <v>598127</v>
      </c>
      <c r="V44">
        <v>1</v>
      </c>
      <c r="W44">
        <v>156972.34</v>
      </c>
      <c r="X44">
        <v>3613238.76</v>
      </c>
      <c r="Y44">
        <v>3770211.1</v>
      </c>
    </row>
    <row r="45" spans="1:25" x14ac:dyDescent="0.25">
      <c r="A45">
        <v>17</v>
      </c>
      <c r="B45" t="s">
        <v>124</v>
      </c>
      <c r="C45" t="s">
        <v>32</v>
      </c>
      <c r="D45" t="s">
        <v>231</v>
      </c>
      <c r="E45">
        <v>173737</v>
      </c>
      <c r="F45" t="s">
        <v>232</v>
      </c>
      <c r="G45" t="s">
        <v>233</v>
      </c>
      <c r="H45" t="s">
        <v>230</v>
      </c>
      <c r="I45" t="s">
        <v>233</v>
      </c>
      <c r="L45" t="b">
        <v>0</v>
      </c>
      <c r="M45" t="s">
        <v>44</v>
      </c>
      <c r="N45" t="s">
        <v>180</v>
      </c>
      <c r="P45" t="s">
        <v>33</v>
      </c>
      <c r="Q45">
        <v>1</v>
      </c>
      <c r="R45">
        <v>3</v>
      </c>
      <c r="S45">
        <v>105.6867</v>
      </c>
      <c r="T45">
        <v>750000</v>
      </c>
      <c r="U45">
        <v>750000</v>
      </c>
      <c r="V45">
        <v>1</v>
      </c>
      <c r="W45">
        <v>87337.93</v>
      </c>
      <c r="X45">
        <v>4570538.7300000004</v>
      </c>
      <c r="Y45">
        <v>4657876.66</v>
      </c>
    </row>
    <row r="46" spans="1:25" x14ac:dyDescent="0.25">
      <c r="A46">
        <v>17</v>
      </c>
      <c r="B46" t="s">
        <v>124</v>
      </c>
      <c r="C46" t="s">
        <v>32</v>
      </c>
      <c r="D46" t="s">
        <v>234</v>
      </c>
      <c r="E46">
        <v>825</v>
      </c>
      <c r="F46" t="s">
        <v>235</v>
      </c>
      <c r="G46" t="s">
        <v>236</v>
      </c>
      <c r="H46" t="s">
        <v>230</v>
      </c>
      <c r="I46" t="s">
        <v>236</v>
      </c>
      <c r="L46" t="b">
        <v>0</v>
      </c>
      <c r="M46" t="s">
        <v>44</v>
      </c>
      <c r="N46" t="s">
        <v>180</v>
      </c>
      <c r="P46" t="s">
        <v>33</v>
      </c>
      <c r="Q46">
        <v>1</v>
      </c>
      <c r="R46">
        <v>3</v>
      </c>
      <c r="S46">
        <v>100.324</v>
      </c>
      <c r="T46">
        <v>416770</v>
      </c>
      <c r="U46">
        <v>416770</v>
      </c>
      <c r="V46">
        <v>1</v>
      </c>
      <c r="W46">
        <v>36848.42</v>
      </c>
      <c r="X46">
        <v>2410943.77</v>
      </c>
      <c r="Y46">
        <v>2447792.19</v>
      </c>
    </row>
    <row r="47" spans="1:25" x14ac:dyDescent="0.25">
      <c r="A47">
        <v>20</v>
      </c>
      <c r="B47" t="s">
        <v>25</v>
      </c>
      <c r="C47" t="s">
        <v>26</v>
      </c>
      <c r="D47" t="s">
        <v>237</v>
      </c>
      <c r="E47">
        <v>143843</v>
      </c>
      <c r="F47" t="s">
        <v>238</v>
      </c>
      <c r="G47" t="s">
        <v>239</v>
      </c>
      <c r="H47" t="s">
        <v>240</v>
      </c>
      <c r="I47" t="s">
        <v>239</v>
      </c>
      <c r="L47" t="b">
        <v>0</v>
      </c>
      <c r="M47" t="s">
        <v>50</v>
      </c>
      <c r="N47" t="s">
        <v>241</v>
      </c>
      <c r="P47" t="s">
        <v>33</v>
      </c>
      <c r="Q47">
        <v>1</v>
      </c>
      <c r="R47">
        <v>2</v>
      </c>
      <c r="S47">
        <v>98.389799999999994</v>
      </c>
      <c r="T47">
        <v>539471.723</v>
      </c>
      <c r="U47">
        <v>542308.88</v>
      </c>
      <c r="V47">
        <v>0.99480000000000002</v>
      </c>
      <c r="W47">
        <v>242686737.84</v>
      </c>
      <c r="X47">
        <v>21679807986.869999</v>
      </c>
      <c r="Y47">
        <v>21922494724.709999</v>
      </c>
    </row>
    <row r="48" spans="1:25" x14ac:dyDescent="0.25">
      <c r="A48">
        <v>17</v>
      </c>
      <c r="B48" t="s">
        <v>124</v>
      </c>
      <c r="C48" t="s">
        <v>32</v>
      </c>
      <c r="D48" t="s">
        <v>242</v>
      </c>
      <c r="E48">
        <v>2054</v>
      </c>
      <c r="F48" t="s">
        <v>243</v>
      </c>
      <c r="G48" t="s">
        <v>244</v>
      </c>
      <c r="H48" t="s">
        <v>245</v>
      </c>
      <c r="I48" t="s">
        <v>246</v>
      </c>
      <c r="L48" t="b">
        <v>1</v>
      </c>
      <c r="M48" t="s">
        <v>44</v>
      </c>
      <c r="N48" t="s">
        <v>180</v>
      </c>
      <c r="P48" t="s">
        <v>33</v>
      </c>
      <c r="Q48">
        <v>1</v>
      </c>
      <c r="R48">
        <v>3</v>
      </c>
      <c r="S48">
        <v>87.533000000000001</v>
      </c>
      <c r="T48">
        <v>565885871</v>
      </c>
      <c r="U48">
        <v>642140000</v>
      </c>
      <c r="V48">
        <v>0.88119999999999998</v>
      </c>
      <c r="W48">
        <v>43053.2</v>
      </c>
      <c r="X48">
        <v>28561858.050000001</v>
      </c>
      <c r="Y48">
        <v>28604911.25</v>
      </c>
    </row>
    <row r="49" spans="1:25" x14ac:dyDescent="0.25">
      <c r="A49">
        <v>17</v>
      </c>
      <c r="B49" t="s">
        <v>124</v>
      </c>
      <c r="C49" t="s">
        <v>32</v>
      </c>
      <c r="D49" t="s">
        <v>247</v>
      </c>
      <c r="E49">
        <v>1614</v>
      </c>
      <c r="F49" t="s">
        <v>248</v>
      </c>
      <c r="G49" t="s">
        <v>249</v>
      </c>
      <c r="H49" t="s">
        <v>250</v>
      </c>
      <c r="I49" t="s">
        <v>249</v>
      </c>
      <c r="L49" t="b">
        <v>0</v>
      </c>
      <c r="M49" t="s">
        <v>44</v>
      </c>
      <c r="N49" t="s">
        <v>180</v>
      </c>
      <c r="P49" t="s">
        <v>33</v>
      </c>
      <c r="Q49">
        <v>1</v>
      </c>
      <c r="R49">
        <v>3</v>
      </c>
      <c r="S49">
        <v>99.129099999999994</v>
      </c>
      <c r="T49">
        <v>133123</v>
      </c>
      <c r="U49">
        <v>133123</v>
      </c>
      <c r="V49">
        <v>1</v>
      </c>
      <c r="W49">
        <v>23865.97</v>
      </c>
      <c r="X49">
        <v>760921.84</v>
      </c>
      <c r="Y49">
        <v>784787.80999999994</v>
      </c>
    </row>
    <row r="50" spans="1:25" x14ac:dyDescent="0.25">
      <c r="A50">
        <v>17</v>
      </c>
      <c r="B50" t="s">
        <v>124</v>
      </c>
      <c r="C50" t="s">
        <v>32</v>
      </c>
      <c r="D50" t="s">
        <v>251</v>
      </c>
      <c r="E50">
        <v>1928</v>
      </c>
      <c r="F50" t="s">
        <v>252</v>
      </c>
      <c r="G50" t="s">
        <v>253</v>
      </c>
      <c r="H50" t="s">
        <v>254</v>
      </c>
      <c r="I50" t="s">
        <v>253</v>
      </c>
      <c r="L50" t="b">
        <v>0</v>
      </c>
      <c r="M50" t="s">
        <v>44</v>
      </c>
      <c r="N50" t="s">
        <v>180</v>
      </c>
      <c r="P50" t="s">
        <v>33</v>
      </c>
      <c r="Q50">
        <v>1</v>
      </c>
      <c r="R50">
        <v>3</v>
      </c>
      <c r="S50">
        <v>97.686300000000003</v>
      </c>
      <c r="T50">
        <v>150000</v>
      </c>
      <c r="U50">
        <v>150000</v>
      </c>
      <c r="V50">
        <v>1</v>
      </c>
      <c r="W50">
        <v>21096.41</v>
      </c>
      <c r="X50">
        <v>844910.51000000047</v>
      </c>
      <c r="Y50">
        <v>866006.92000000051</v>
      </c>
    </row>
    <row r="51" spans="1:25" x14ac:dyDescent="0.25">
      <c r="A51">
        <v>17</v>
      </c>
      <c r="B51" t="s">
        <v>124</v>
      </c>
      <c r="C51" t="s">
        <v>32</v>
      </c>
      <c r="D51" t="s">
        <v>255</v>
      </c>
      <c r="E51">
        <v>3734</v>
      </c>
      <c r="F51" t="s">
        <v>256</v>
      </c>
      <c r="G51" t="s">
        <v>257</v>
      </c>
      <c r="H51" t="s">
        <v>258</v>
      </c>
      <c r="I51" t="s">
        <v>257</v>
      </c>
      <c r="L51" t="b">
        <v>0</v>
      </c>
      <c r="M51" t="s">
        <v>44</v>
      </c>
      <c r="N51" t="s">
        <v>180</v>
      </c>
      <c r="P51" t="s">
        <v>33</v>
      </c>
      <c r="Q51">
        <v>1</v>
      </c>
      <c r="R51">
        <v>3</v>
      </c>
      <c r="S51">
        <v>96.876999999999995</v>
      </c>
      <c r="T51">
        <v>430613</v>
      </c>
      <c r="U51">
        <v>430613</v>
      </c>
      <c r="V51">
        <v>1</v>
      </c>
      <c r="W51">
        <v>88002.27</v>
      </c>
      <c r="X51">
        <v>2405434.92</v>
      </c>
      <c r="Y51">
        <v>2493437.19</v>
      </c>
    </row>
    <row r="52" spans="1:25" x14ac:dyDescent="0.25">
      <c r="A52">
        <v>17</v>
      </c>
      <c r="B52" t="s">
        <v>124</v>
      </c>
      <c r="C52" t="s">
        <v>32</v>
      </c>
      <c r="D52" t="s">
        <v>259</v>
      </c>
      <c r="E52">
        <v>3401</v>
      </c>
      <c r="F52" t="s">
        <v>260</v>
      </c>
      <c r="G52" t="s">
        <v>261</v>
      </c>
      <c r="H52" t="s">
        <v>262</v>
      </c>
      <c r="I52" t="s">
        <v>261</v>
      </c>
      <c r="L52" t="b">
        <v>0</v>
      </c>
      <c r="M52" t="s">
        <v>44</v>
      </c>
      <c r="N52" t="s">
        <v>180</v>
      </c>
      <c r="P52" t="s">
        <v>33</v>
      </c>
      <c r="Q52">
        <v>1</v>
      </c>
      <c r="R52">
        <v>3</v>
      </c>
      <c r="S52">
        <v>94.403000000000006</v>
      </c>
      <c r="T52">
        <v>929750</v>
      </c>
      <c r="U52">
        <v>929750</v>
      </c>
      <c r="V52">
        <v>1</v>
      </c>
      <c r="W52">
        <v>45591.49</v>
      </c>
      <c r="X52">
        <v>5061016.7599999988</v>
      </c>
      <c r="Y52">
        <v>5106608.2499999991</v>
      </c>
    </row>
    <row r="53" spans="1:25" x14ac:dyDescent="0.25">
      <c r="A53">
        <v>17</v>
      </c>
      <c r="B53" t="s">
        <v>124</v>
      </c>
      <c r="C53" t="s">
        <v>32</v>
      </c>
      <c r="D53" t="s">
        <v>263</v>
      </c>
      <c r="E53">
        <v>90454</v>
      </c>
      <c r="F53" t="s">
        <v>264</v>
      </c>
      <c r="G53" t="s">
        <v>265</v>
      </c>
      <c r="H53" t="s">
        <v>266</v>
      </c>
      <c r="I53" t="s">
        <v>265</v>
      </c>
      <c r="L53" t="b">
        <v>0</v>
      </c>
      <c r="M53" t="s">
        <v>44</v>
      </c>
      <c r="N53" t="s">
        <v>180</v>
      </c>
      <c r="P53" t="s">
        <v>33</v>
      </c>
      <c r="Q53">
        <v>1</v>
      </c>
      <c r="R53">
        <v>3</v>
      </c>
      <c r="S53">
        <v>104.5913</v>
      </c>
      <c r="T53">
        <v>40000000</v>
      </c>
      <c r="U53">
        <v>40000000</v>
      </c>
      <c r="V53">
        <v>1</v>
      </c>
      <c r="W53">
        <v>69002.86</v>
      </c>
      <c r="X53">
        <v>2412355.7000000002</v>
      </c>
      <c r="Y53">
        <v>2481358.56</v>
      </c>
    </row>
    <row r="54" spans="1:25" x14ac:dyDescent="0.25">
      <c r="A54">
        <v>17</v>
      </c>
      <c r="B54" t="s">
        <v>124</v>
      </c>
      <c r="C54" t="s">
        <v>32</v>
      </c>
      <c r="D54" t="s">
        <v>267</v>
      </c>
      <c r="E54">
        <v>104273</v>
      </c>
      <c r="F54" t="s">
        <v>268</v>
      </c>
      <c r="G54" t="s">
        <v>269</v>
      </c>
      <c r="H54" t="s">
        <v>270</v>
      </c>
      <c r="I54" t="s">
        <v>269</v>
      </c>
      <c r="L54" t="b">
        <v>0</v>
      </c>
      <c r="M54" t="s">
        <v>44</v>
      </c>
      <c r="N54" t="s">
        <v>180</v>
      </c>
      <c r="P54" t="s">
        <v>33</v>
      </c>
      <c r="Q54">
        <v>1</v>
      </c>
      <c r="R54">
        <v>3</v>
      </c>
      <c r="S54">
        <v>104.375</v>
      </c>
      <c r="T54">
        <v>600000</v>
      </c>
      <c r="U54">
        <v>600000</v>
      </c>
      <c r="V54">
        <v>1</v>
      </c>
      <c r="W54">
        <v>54143.17</v>
      </c>
      <c r="X54">
        <v>3611050.25</v>
      </c>
      <c r="Y54">
        <v>3665193.42</v>
      </c>
    </row>
    <row r="55" spans="1:25" x14ac:dyDescent="0.25">
      <c r="A55">
        <v>17</v>
      </c>
      <c r="B55" t="s">
        <v>124</v>
      </c>
      <c r="C55" t="s">
        <v>32</v>
      </c>
      <c r="D55" t="s">
        <v>271</v>
      </c>
      <c r="E55">
        <v>191680</v>
      </c>
      <c r="F55" t="s">
        <v>272</v>
      </c>
      <c r="G55" t="s">
        <v>273</v>
      </c>
      <c r="H55" t="s">
        <v>270</v>
      </c>
      <c r="I55" t="s">
        <v>273</v>
      </c>
      <c r="L55" t="b">
        <v>0</v>
      </c>
      <c r="M55" t="s">
        <v>44</v>
      </c>
      <c r="N55" t="s">
        <v>180</v>
      </c>
      <c r="P55" t="s">
        <v>33</v>
      </c>
      <c r="Q55">
        <v>1</v>
      </c>
      <c r="R55">
        <v>3</v>
      </c>
      <c r="S55">
        <v>102.70869999999999</v>
      </c>
      <c r="T55">
        <v>500000</v>
      </c>
      <c r="U55">
        <v>500000</v>
      </c>
      <c r="V55">
        <v>1</v>
      </c>
      <c r="W55">
        <v>105212.98</v>
      </c>
      <c r="X55">
        <v>2961167.88</v>
      </c>
      <c r="Y55">
        <v>3066380.86</v>
      </c>
    </row>
    <row r="56" spans="1:25" x14ac:dyDescent="0.25">
      <c r="A56">
        <v>17</v>
      </c>
      <c r="B56" t="s">
        <v>124</v>
      </c>
      <c r="C56" t="s">
        <v>32</v>
      </c>
      <c r="D56" t="s">
        <v>274</v>
      </c>
      <c r="E56">
        <v>206226</v>
      </c>
      <c r="F56" t="s">
        <v>275</v>
      </c>
      <c r="G56" t="s">
        <v>276</v>
      </c>
      <c r="H56" t="s">
        <v>277</v>
      </c>
      <c r="I56" t="s">
        <v>276</v>
      </c>
      <c r="L56" t="b">
        <v>0</v>
      </c>
      <c r="M56" t="s">
        <v>44</v>
      </c>
      <c r="N56" t="s">
        <v>180</v>
      </c>
      <c r="P56" t="s">
        <v>33</v>
      </c>
      <c r="Q56">
        <v>1</v>
      </c>
      <c r="R56">
        <v>3</v>
      </c>
      <c r="S56">
        <v>101.1762989866</v>
      </c>
      <c r="T56">
        <v>2000000</v>
      </c>
      <c r="U56">
        <v>2000000</v>
      </c>
      <c r="V56">
        <v>1</v>
      </c>
      <c r="W56">
        <v>567388.98</v>
      </c>
      <c r="X56">
        <v>11667950.48</v>
      </c>
      <c r="Y56">
        <v>12235339.460000001</v>
      </c>
    </row>
    <row r="57" spans="1:25" x14ac:dyDescent="0.25">
      <c r="A57">
        <v>17</v>
      </c>
      <c r="B57" t="s">
        <v>124</v>
      </c>
      <c r="C57" t="s">
        <v>32</v>
      </c>
      <c r="D57" t="s">
        <v>278</v>
      </c>
      <c r="E57">
        <v>993</v>
      </c>
      <c r="F57" t="s">
        <v>279</v>
      </c>
      <c r="G57" t="s">
        <v>280</v>
      </c>
      <c r="H57" t="s">
        <v>281</v>
      </c>
      <c r="I57" t="s">
        <v>282</v>
      </c>
      <c r="L57" t="b">
        <v>1</v>
      </c>
      <c r="M57" t="s">
        <v>44</v>
      </c>
      <c r="N57" t="s">
        <v>180</v>
      </c>
      <c r="P57" t="s">
        <v>33</v>
      </c>
      <c r="Q57">
        <v>1</v>
      </c>
      <c r="R57">
        <v>3</v>
      </c>
      <c r="S57">
        <v>101.048</v>
      </c>
      <c r="T57">
        <v>63466</v>
      </c>
      <c r="U57">
        <v>317330</v>
      </c>
      <c r="V57">
        <v>0.2</v>
      </c>
      <c r="W57">
        <v>46659.179999999993</v>
      </c>
      <c r="X57">
        <v>3697895.5599999968</v>
      </c>
      <c r="Y57">
        <v>3744554.739999997</v>
      </c>
    </row>
    <row r="58" spans="1:25" x14ac:dyDescent="0.25">
      <c r="A58">
        <v>17</v>
      </c>
      <c r="B58" t="s">
        <v>124</v>
      </c>
      <c r="C58" t="s">
        <v>32</v>
      </c>
      <c r="D58" t="s">
        <v>283</v>
      </c>
      <c r="E58">
        <v>1654</v>
      </c>
      <c r="F58" t="s">
        <v>284</v>
      </c>
      <c r="G58" t="s">
        <v>285</v>
      </c>
      <c r="H58" t="s">
        <v>281</v>
      </c>
      <c r="I58" t="s">
        <v>285</v>
      </c>
      <c r="L58" t="b">
        <v>0</v>
      </c>
      <c r="M58" t="s">
        <v>44</v>
      </c>
      <c r="N58" t="s">
        <v>180</v>
      </c>
      <c r="P58" t="s">
        <v>33</v>
      </c>
      <c r="Q58">
        <v>1</v>
      </c>
      <c r="R58">
        <v>3</v>
      </c>
      <c r="S58">
        <v>94.822800000000001</v>
      </c>
      <c r="T58">
        <v>687050</v>
      </c>
      <c r="U58">
        <v>700000</v>
      </c>
      <c r="V58">
        <v>0.98150000000000004</v>
      </c>
      <c r="W58">
        <v>192609.05</v>
      </c>
      <c r="X58">
        <v>3756530.44</v>
      </c>
      <c r="Y58">
        <v>3949139.49</v>
      </c>
    </row>
    <row r="59" spans="1:25" x14ac:dyDescent="0.25">
      <c r="A59">
        <v>17</v>
      </c>
      <c r="B59" t="s">
        <v>124</v>
      </c>
      <c r="C59" t="s">
        <v>32</v>
      </c>
      <c r="D59" t="s">
        <v>286</v>
      </c>
      <c r="E59">
        <v>1093</v>
      </c>
      <c r="F59" t="s">
        <v>287</v>
      </c>
      <c r="G59" t="s">
        <v>288</v>
      </c>
      <c r="H59" t="s">
        <v>289</v>
      </c>
      <c r="I59" t="s">
        <v>290</v>
      </c>
      <c r="L59" t="b">
        <v>1</v>
      </c>
      <c r="M59" t="s">
        <v>44</v>
      </c>
      <c r="N59" t="s">
        <v>180</v>
      </c>
      <c r="P59" t="s">
        <v>33</v>
      </c>
      <c r="Q59">
        <v>1</v>
      </c>
      <c r="R59">
        <v>3</v>
      </c>
      <c r="S59">
        <v>61.25</v>
      </c>
      <c r="T59">
        <v>373360</v>
      </c>
      <c r="U59">
        <v>373360</v>
      </c>
      <c r="V59">
        <v>1</v>
      </c>
      <c r="W59">
        <v>338176.7</v>
      </c>
      <c r="X59">
        <v>13186200.439999999</v>
      </c>
      <c r="Y59">
        <v>13524377.140000001</v>
      </c>
    </row>
    <row r="60" spans="1:25" x14ac:dyDescent="0.25">
      <c r="A60">
        <v>17</v>
      </c>
      <c r="B60" t="s">
        <v>124</v>
      </c>
      <c r="C60" t="s">
        <v>32</v>
      </c>
      <c r="D60" t="s">
        <v>291</v>
      </c>
      <c r="E60">
        <v>1094</v>
      </c>
      <c r="F60" t="s">
        <v>292</v>
      </c>
      <c r="G60" t="s">
        <v>293</v>
      </c>
      <c r="H60" t="s">
        <v>289</v>
      </c>
      <c r="I60" t="s">
        <v>293</v>
      </c>
      <c r="L60" t="b">
        <v>0</v>
      </c>
      <c r="M60" t="s">
        <v>44</v>
      </c>
      <c r="N60" t="s">
        <v>180</v>
      </c>
      <c r="P60" t="s">
        <v>33</v>
      </c>
      <c r="Q60">
        <v>1</v>
      </c>
      <c r="R60">
        <v>3</v>
      </c>
      <c r="S60">
        <v>71.277000000000001</v>
      </c>
      <c r="T60">
        <v>400000</v>
      </c>
      <c r="U60">
        <v>400000</v>
      </c>
      <c r="V60">
        <v>1</v>
      </c>
      <c r="W60">
        <v>440.59</v>
      </c>
      <c r="X60">
        <v>16439.75</v>
      </c>
      <c r="Y60">
        <v>16880.34</v>
      </c>
    </row>
    <row r="61" spans="1:25" x14ac:dyDescent="0.25">
      <c r="A61">
        <v>17</v>
      </c>
      <c r="B61" t="s">
        <v>124</v>
      </c>
      <c r="C61" t="s">
        <v>32</v>
      </c>
      <c r="D61" t="s">
        <v>294</v>
      </c>
      <c r="E61">
        <v>1096</v>
      </c>
      <c r="F61" t="s">
        <v>295</v>
      </c>
      <c r="G61" t="s">
        <v>296</v>
      </c>
      <c r="H61" t="s">
        <v>289</v>
      </c>
      <c r="I61" t="s">
        <v>296</v>
      </c>
      <c r="L61" t="b">
        <v>0</v>
      </c>
      <c r="M61" t="s">
        <v>44</v>
      </c>
      <c r="N61" t="s">
        <v>180</v>
      </c>
      <c r="P61" t="s">
        <v>33</v>
      </c>
      <c r="Q61">
        <v>1</v>
      </c>
      <c r="R61">
        <v>3</v>
      </c>
      <c r="S61">
        <v>100.188</v>
      </c>
      <c r="T61">
        <v>1100000</v>
      </c>
      <c r="U61">
        <v>1100000</v>
      </c>
      <c r="V61">
        <v>1</v>
      </c>
      <c r="W61">
        <v>190489.03</v>
      </c>
      <c r="X61">
        <v>6354687.2999999998</v>
      </c>
      <c r="Y61">
        <v>6545176.3300000001</v>
      </c>
    </row>
    <row r="62" spans="1:25" x14ac:dyDescent="0.25">
      <c r="A62">
        <v>17</v>
      </c>
      <c r="B62" t="s">
        <v>124</v>
      </c>
      <c r="C62" t="s">
        <v>32</v>
      </c>
      <c r="D62" t="s">
        <v>297</v>
      </c>
      <c r="E62">
        <v>194432</v>
      </c>
      <c r="F62" t="s">
        <v>298</v>
      </c>
      <c r="G62" t="s">
        <v>299</v>
      </c>
      <c r="H62" t="s">
        <v>300</v>
      </c>
      <c r="I62" t="s">
        <v>299</v>
      </c>
      <c r="L62" t="b">
        <v>0</v>
      </c>
      <c r="M62" t="s">
        <v>44</v>
      </c>
      <c r="N62" t="s">
        <v>180</v>
      </c>
      <c r="P62" t="s">
        <v>33</v>
      </c>
      <c r="Q62">
        <v>1</v>
      </c>
      <c r="R62">
        <v>3</v>
      </c>
      <c r="S62">
        <v>99.163600000000002</v>
      </c>
      <c r="T62">
        <v>363440</v>
      </c>
      <c r="U62">
        <v>363440</v>
      </c>
      <c r="V62">
        <v>1</v>
      </c>
      <c r="W62">
        <v>6416.18</v>
      </c>
      <c r="X62">
        <v>2078120.86</v>
      </c>
      <c r="Y62">
        <v>2084537.04</v>
      </c>
    </row>
    <row r="63" spans="1:25" x14ac:dyDescent="0.25">
      <c r="A63">
        <v>17</v>
      </c>
      <c r="B63" t="s">
        <v>124</v>
      </c>
      <c r="C63" t="s">
        <v>32</v>
      </c>
      <c r="D63" t="s">
        <v>301</v>
      </c>
      <c r="E63">
        <v>3845</v>
      </c>
      <c r="F63" t="s">
        <v>302</v>
      </c>
      <c r="G63" t="s">
        <v>303</v>
      </c>
      <c r="H63" t="s">
        <v>304</v>
      </c>
      <c r="I63" t="s">
        <v>303</v>
      </c>
      <c r="L63" t="b">
        <v>0</v>
      </c>
      <c r="M63" t="s">
        <v>44</v>
      </c>
      <c r="N63" t="s">
        <v>180</v>
      </c>
      <c r="P63" t="s">
        <v>33</v>
      </c>
      <c r="Q63">
        <v>1</v>
      </c>
      <c r="R63">
        <v>3</v>
      </c>
      <c r="S63">
        <v>100.827</v>
      </c>
      <c r="T63">
        <v>363287</v>
      </c>
      <c r="U63">
        <v>363287</v>
      </c>
      <c r="V63">
        <v>1</v>
      </c>
      <c r="W63">
        <v>77334.13</v>
      </c>
      <c r="X63">
        <v>2112090.36</v>
      </c>
      <c r="Y63">
        <v>2189424.4900000002</v>
      </c>
    </row>
    <row r="64" spans="1:25" x14ac:dyDescent="0.25">
      <c r="A64">
        <v>17</v>
      </c>
      <c r="B64" t="s">
        <v>124</v>
      </c>
      <c r="C64" t="s">
        <v>32</v>
      </c>
      <c r="D64" t="s">
        <v>305</v>
      </c>
      <c r="E64">
        <v>175896</v>
      </c>
      <c r="F64" t="s">
        <v>306</v>
      </c>
      <c r="G64" t="s">
        <v>307</v>
      </c>
      <c r="H64" t="s">
        <v>308</v>
      </c>
      <c r="I64" t="s">
        <v>307</v>
      </c>
      <c r="L64" t="b">
        <v>0</v>
      </c>
      <c r="M64" t="s">
        <v>44</v>
      </c>
      <c r="N64" t="s">
        <v>180</v>
      </c>
      <c r="P64" t="s">
        <v>33</v>
      </c>
      <c r="Q64">
        <v>1</v>
      </c>
      <c r="R64">
        <v>3</v>
      </c>
      <c r="S64">
        <v>103.26300000000001</v>
      </c>
      <c r="T64">
        <v>291661</v>
      </c>
      <c r="U64">
        <v>291661</v>
      </c>
      <c r="V64">
        <v>1</v>
      </c>
      <c r="W64">
        <v>5001.49</v>
      </c>
      <c r="X64">
        <v>1736636.36</v>
      </c>
      <c r="Y64">
        <v>1741637.85</v>
      </c>
    </row>
    <row r="65" spans="1:25" x14ac:dyDescent="0.25">
      <c r="A65">
        <v>17</v>
      </c>
      <c r="B65" t="s">
        <v>124</v>
      </c>
      <c r="C65" t="s">
        <v>32</v>
      </c>
      <c r="D65" t="s">
        <v>309</v>
      </c>
      <c r="E65">
        <v>106828</v>
      </c>
      <c r="F65" t="s">
        <v>310</v>
      </c>
      <c r="G65" t="s">
        <v>311</v>
      </c>
      <c r="H65" t="s">
        <v>312</v>
      </c>
      <c r="I65" t="s">
        <v>311</v>
      </c>
      <c r="L65" t="b">
        <v>0</v>
      </c>
      <c r="M65" t="s">
        <v>44</v>
      </c>
      <c r="N65" t="s">
        <v>180</v>
      </c>
      <c r="P65" t="s">
        <v>33</v>
      </c>
      <c r="Q65">
        <v>1</v>
      </c>
      <c r="R65">
        <v>3</v>
      </c>
      <c r="S65">
        <v>100.0001</v>
      </c>
      <c r="T65">
        <v>600000</v>
      </c>
      <c r="U65">
        <v>600000</v>
      </c>
      <c r="V65">
        <v>1</v>
      </c>
      <c r="W65">
        <v>9406.9</v>
      </c>
      <c r="X65">
        <v>3459692.32</v>
      </c>
      <c r="Y65">
        <v>3469099.22</v>
      </c>
    </row>
    <row r="66" spans="1:25" x14ac:dyDescent="0.25">
      <c r="A66">
        <v>17</v>
      </c>
      <c r="B66" t="s">
        <v>124</v>
      </c>
      <c r="C66" t="s">
        <v>32</v>
      </c>
      <c r="D66" t="s">
        <v>313</v>
      </c>
      <c r="E66">
        <v>712</v>
      </c>
      <c r="F66" t="s">
        <v>314</v>
      </c>
      <c r="G66" t="s">
        <v>315</v>
      </c>
      <c r="H66" t="s">
        <v>316</v>
      </c>
      <c r="I66" t="s">
        <v>315</v>
      </c>
      <c r="L66" t="b">
        <v>0</v>
      </c>
      <c r="M66" t="s">
        <v>44</v>
      </c>
      <c r="N66" t="s">
        <v>317</v>
      </c>
      <c r="P66" t="s">
        <v>33</v>
      </c>
      <c r="Q66">
        <v>1</v>
      </c>
      <c r="R66">
        <v>3</v>
      </c>
      <c r="S66">
        <v>104.68119747535</v>
      </c>
      <c r="T66">
        <v>28492.072</v>
      </c>
      <c r="U66">
        <v>38908</v>
      </c>
      <c r="V66">
        <v>0.73229999999999995</v>
      </c>
      <c r="W66">
        <v>7446.68</v>
      </c>
      <c r="X66">
        <v>1486387.03</v>
      </c>
      <c r="Y66">
        <v>1493833.71</v>
      </c>
    </row>
    <row r="67" spans="1:25" x14ac:dyDescent="0.25">
      <c r="A67">
        <v>17</v>
      </c>
      <c r="B67" t="s">
        <v>124</v>
      </c>
      <c r="C67" t="s">
        <v>32</v>
      </c>
      <c r="D67" t="s">
        <v>318</v>
      </c>
      <c r="E67">
        <v>4063</v>
      </c>
      <c r="F67" t="s">
        <v>319</v>
      </c>
      <c r="G67" t="s">
        <v>320</v>
      </c>
      <c r="H67" t="s">
        <v>214</v>
      </c>
      <c r="I67" t="s">
        <v>320</v>
      </c>
      <c r="L67" t="b">
        <v>0</v>
      </c>
      <c r="M67" t="s">
        <v>44</v>
      </c>
      <c r="N67" t="s">
        <v>317</v>
      </c>
      <c r="P67" t="s">
        <v>33</v>
      </c>
      <c r="Q67">
        <v>1</v>
      </c>
      <c r="R67">
        <v>3</v>
      </c>
      <c r="S67">
        <v>101.75696871412001</v>
      </c>
      <c r="T67">
        <v>122045</v>
      </c>
      <c r="U67">
        <v>122045</v>
      </c>
      <c r="V67">
        <v>1</v>
      </c>
      <c r="W67">
        <v>86214.89</v>
      </c>
      <c r="X67">
        <v>6189040.79</v>
      </c>
      <c r="Y67">
        <v>6275255.6799999997</v>
      </c>
    </row>
    <row r="68" spans="1:25" x14ac:dyDescent="0.25">
      <c r="A68">
        <v>17</v>
      </c>
      <c r="B68" t="s">
        <v>124</v>
      </c>
      <c r="C68" t="s">
        <v>32</v>
      </c>
      <c r="D68" t="s">
        <v>321</v>
      </c>
      <c r="E68">
        <v>29844</v>
      </c>
      <c r="F68" t="s">
        <v>322</v>
      </c>
      <c r="G68" t="s">
        <v>323</v>
      </c>
      <c r="H68" t="s">
        <v>324</v>
      </c>
      <c r="I68" t="s">
        <v>325</v>
      </c>
      <c r="L68" t="b">
        <v>1</v>
      </c>
      <c r="M68" t="s">
        <v>44</v>
      </c>
      <c r="N68" t="s">
        <v>317</v>
      </c>
      <c r="P68" t="s">
        <v>33</v>
      </c>
      <c r="Q68">
        <v>1</v>
      </c>
      <c r="R68">
        <v>3</v>
      </c>
      <c r="S68">
        <v>104.3017</v>
      </c>
      <c r="T68">
        <v>4800000</v>
      </c>
      <c r="U68">
        <v>4800000</v>
      </c>
      <c r="V68">
        <v>1</v>
      </c>
      <c r="W68">
        <v>18186.650000000001</v>
      </c>
      <c r="X68">
        <v>2495007.2799999998</v>
      </c>
      <c r="Y68">
        <v>2513193.9300000002</v>
      </c>
    </row>
    <row r="69" spans="1:25" x14ac:dyDescent="0.25">
      <c r="A69">
        <v>17</v>
      </c>
      <c r="B69" t="s">
        <v>124</v>
      </c>
      <c r="C69" t="s">
        <v>32</v>
      </c>
      <c r="D69" t="s">
        <v>326</v>
      </c>
      <c r="E69">
        <v>174740</v>
      </c>
      <c r="F69" t="s">
        <v>327</v>
      </c>
      <c r="G69" t="s">
        <v>328</v>
      </c>
      <c r="H69" t="s">
        <v>329</v>
      </c>
      <c r="I69" t="s">
        <v>330</v>
      </c>
      <c r="L69" t="b">
        <v>1</v>
      </c>
      <c r="M69" t="s">
        <v>61</v>
      </c>
      <c r="N69" t="s">
        <v>331</v>
      </c>
      <c r="P69" t="s">
        <v>33</v>
      </c>
      <c r="Q69">
        <v>1</v>
      </c>
      <c r="R69">
        <v>3</v>
      </c>
      <c r="S69">
        <v>104.545</v>
      </c>
      <c r="T69">
        <v>35500000</v>
      </c>
      <c r="U69">
        <v>35500000</v>
      </c>
      <c r="V69">
        <v>1</v>
      </c>
      <c r="W69">
        <v>94476.32</v>
      </c>
      <c r="X69">
        <v>10920545.83</v>
      </c>
      <c r="Y69">
        <v>11015022.15</v>
      </c>
    </row>
    <row r="70" spans="1:25" x14ac:dyDescent="0.25">
      <c r="A70">
        <v>17</v>
      </c>
      <c r="B70" t="s">
        <v>124</v>
      </c>
      <c r="C70" t="s">
        <v>32</v>
      </c>
      <c r="D70" t="s">
        <v>332</v>
      </c>
      <c r="E70">
        <v>118346</v>
      </c>
      <c r="F70" t="s">
        <v>333</v>
      </c>
      <c r="G70" t="s">
        <v>334</v>
      </c>
      <c r="H70" t="s">
        <v>335</v>
      </c>
      <c r="I70" t="s">
        <v>336</v>
      </c>
      <c r="L70" t="b">
        <v>1</v>
      </c>
      <c r="M70" t="s">
        <v>61</v>
      </c>
      <c r="N70" t="s">
        <v>331</v>
      </c>
      <c r="P70" t="s">
        <v>33</v>
      </c>
      <c r="Q70">
        <v>1</v>
      </c>
      <c r="R70">
        <v>3</v>
      </c>
      <c r="S70">
        <v>105.39360000000001</v>
      </c>
      <c r="T70">
        <v>34000000</v>
      </c>
      <c r="U70">
        <v>34000000</v>
      </c>
      <c r="V70">
        <v>1</v>
      </c>
      <c r="W70">
        <v>37085.81</v>
      </c>
      <c r="X70">
        <v>10544011.77</v>
      </c>
      <c r="Y70">
        <v>10581097.58</v>
      </c>
    </row>
    <row r="71" spans="1:25" x14ac:dyDescent="0.25">
      <c r="A71">
        <v>17</v>
      </c>
      <c r="B71" t="s">
        <v>124</v>
      </c>
      <c r="C71" t="s">
        <v>32</v>
      </c>
      <c r="D71" t="s">
        <v>337</v>
      </c>
      <c r="E71">
        <v>190120</v>
      </c>
      <c r="F71" t="s">
        <v>338</v>
      </c>
      <c r="G71" t="s">
        <v>339</v>
      </c>
      <c r="H71" t="s">
        <v>340</v>
      </c>
      <c r="I71" t="s">
        <v>341</v>
      </c>
      <c r="L71" t="b">
        <v>1</v>
      </c>
      <c r="M71" t="s">
        <v>61</v>
      </c>
      <c r="N71" t="s">
        <v>331</v>
      </c>
      <c r="P71" t="s">
        <v>33</v>
      </c>
      <c r="Q71">
        <v>1</v>
      </c>
      <c r="R71">
        <v>3</v>
      </c>
      <c r="S71">
        <v>100.86</v>
      </c>
      <c r="T71">
        <v>17500000</v>
      </c>
      <c r="U71">
        <v>17500000</v>
      </c>
      <c r="V71">
        <v>1</v>
      </c>
      <c r="W71">
        <v>107170.44</v>
      </c>
      <c r="X71">
        <v>5193614.830000001</v>
      </c>
      <c r="Y71">
        <v>5300785.2700000014</v>
      </c>
    </row>
    <row r="72" spans="1:25" x14ac:dyDescent="0.25">
      <c r="A72">
        <v>17</v>
      </c>
      <c r="B72" t="s">
        <v>124</v>
      </c>
      <c r="C72" t="s">
        <v>32</v>
      </c>
      <c r="D72" t="s">
        <v>342</v>
      </c>
      <c r="E72">
        <v>116819</v>
      </c>
      <c r="F72" t="s">
        <v>343</v>
      </c>
      <c r="G72" t="s">
        <v>344</v>
      </c>
      <c r="H72" t="s">
        <v>345</v>
      </c>
      <c r="I72" t="s">
        <v>344</v>
      </c>
      <c r="L72" t="b">
        <v>0</v>
      </c>
      <c r="M72" t="s">
        <v>61</v>
      </c>
      <c r="N72" t="s">
        <v>331</v>
      </c>
      <c r="P72" t="s">
        <v>33</v>
      </c>
      <c r="Q72">
        <v>1</v>
      </c>
      <c r="R72">
        <v>3</v>
      </c>
      <c r="S72">
        <v>110.56495</v>
      </c>
      <c r="T72">
        <v>35894100</v>
      </c>
      <c r="U72">
        <v>36500000</v>
      </c>
      <c r="V72">
        <v>0.98340000000000005</v>
      </c>
      <c r="W72">
        <v>133342.06</v>
      </c>
      <c r="X72">
        <v>11677591.199999999</v>
      </c>
      <c r="Y72">
        <v>11810933.26</v>
      </c>
    </row>
    <row r="73" spans="1:25" x14ac:dyDescent="0.25">
      <c r="A73">
        <v>17</v>
      </c>
      <c r="B73" t="s">
        <v>124</v>
      </c>
      <c r="C73" t="s">
        <v>32</v>
      </c>
      <c r="D73" t="s">
        <v>346</v>
      </c>
      <c r="E73">
        <v>174739</v>
      </c>
      <c r="F73" t="s">
        <v>347</v>
      </c>
      <c r="G73" t="s">
        <v>348</v>
      </c>
      <c r="H73" t="s">
        <v>345</v>
      </c>
      <c r="I73" t="s">
        <v>348</v>
      </c>
      <c r="L73" t="b">
        <v>0</v>
      </c>
      <c r="M73" t="s">
        <v>61</v>
      </c>
      <c r="N73" t="s">
        <v>331</v>
      </c>
      <c r="P73" t="s">
        <v>33</v>
      </c>
      <c r="Q73">
        <v>1</v>
      </c>
      <c r="R73">
        <v>3</v>
      </c>
      <c r="S73">
        <v>106.71615</v>
      </c>
      <c r="T73">
        <v>17800000</v>
      </c>
      <c r="U73">
        <v>17800000</v>
      </c>
      <c r="V73">
        <v>1</v>
      </c>
      <c r="W73">
        <v>204630.31</v>
      </c>
      <c r="X73">
        <v>5589370.2200000007</v>
      </c>
      <c r="Y73">
        <v>5794000.5300000003</v>
      </c>
    </row>
    <row r="74" spans="1:25" x14ac:dyDescent="0.25">
      <c r="A74">
        <v>17</v>
      </c>
      <c r="B74" t="s">
        <v>124</v>
      </c>
      <c r="C74" t="s">
        <v>32</v>
      </c>
      <c r="D74" t="s">
        <v>349</v>
      </c>
      <c r="E74">
        <v>106046</v>
      </c>
      <c r="F74" t="s">
        <v>350</v>
      </c>
      <c r="G74" t="s">
        <v>351</v>
      </c>
      <c r="H74" t="s">
        <v>352</v>
      </c>
      <c r="I74" t="s">
        <v>351</v>
      </c>
      <c r="L74" t="b">
        <v>0</v>
      </c>
      <c r="M74" t="s">
        <v>61</v>
      </c>
      <c r="N74" t="s">
        <v>331</v>
      </c>
      <c r="P74" t="s">
        <v>33</v>
      </c>
      <c r="Q74">
        <v>1</v>
      </c>
      <c r="R74">
        <v>3</v>
      </c>
      <c r="S74">
        <v>106.58199999999999</v>
      </c>
      <c r="T74">
        <v>6500000</v>
      </c>
      <c r="U74">
        <v>6500000</v>
      </c>
      <c r="V74">
        <v>1</v>
      </c>
      <c r="W74">
        <v>62538.32</v>
      </c>
      <c r="X74">
        <v>2038496.4</v>
      </c>
      <c r="Y74">
        <v>2101034.7200000002</v>
      </c>
    </row>
    <row r="75" spans="1:25" x14ac:dyDescent="0.25">
      <c r="A75">
        <v>17</v>
      </c>
      <c r="B75" t="s">
        <v>124</v>
      </c>
      <c r="C75" t="s">
        <v>32</v>
      </c>
      <c r="D75" t="s">
        <v>353</v>
      </c>
      <c r="E75">
        <v>964</v>
      </c>
      <c r="F75" t="s">
        <v>354</v>
      </c>
      <c r="G75" t="s">
        <v>355</v>
      </c>
      <c r="H75" t="s">
        <v>356</v>
      </c>
      <c r="I75" t="s">
        <v>355</v>
      </c>
      <c r="L75" t="b">
        <v>0</v>
      </c>
      <c r="M75" t="s">
        <v>31</v>
      </c>
      <c r="N75" t="s">
        <v>357</v>
      </c>
      <c r="O75" t="s">
        <v>358</v>
      </c>
      <c r="P75" t="s">
        <v>33</v>
      </c>
      <c r="Q75">
        <v>1</v>
      </c>
      <c r="R75">
        <v>3</v>
      </c>
      <c r="S75">
        <v>99.025499999999994</v>
      </c>
      <c r="T75">
        <v>11100000</v>
      </c>
      <c r="U75">
        <v>11100000</v>
      </c>
      <c r="V75">
        <v>1</v>
      </c>
      <c r="W75">
        <v>667786.67000000004</v>
      </c>
      <c r="X75">
        <v>14820285.07</v>
      </c>
      <c r="Y75">
        <v>15488071.74</v>
      </c>
    </row>
    <row r="76" spans="1:25" x14ac:dyDescent="0.25">
      <c r="A76">
        <v>17</v>
      </c>
      <c r="B76" t="s">
        <v>124</v>
      </c>
      <c r="C76" t="s">
        <v>32</v>
      </c>
      <c r="D76" t="s">
        <v>359</v>
      </c>
      <c r="E76">
        <v>152071</v>
      </c>
      <c r="F76" t="s">
        <v>360</v>
      </c>
      <c r="G76" t="s">
        <v>361</v>
      </c>
      <c r="H76" t="s">
        <v>362</v>
      </c>
      <c r="I76" t="s">
        <v>363</v>
      </c>
      <c r="J76" t="s">
        <v>360</v>
      </c>
      <c r="K76" t="s">
        <v>364</v>
      </c>
      <c r="L76" t="b">
        <v>1</v>
      </c>
      <c r="M76" t="s">
        <v>44</v>
      </c>
      <c r="N76" t="s">
        <v>32</v>
      </c>
      <c r="O76" t="s">
        <v>180</v>
      </c>
      <c r="P76" t="s">
        <v>33</v>
      </c>
      <c r="Q76">
        <v>1</v>
      </c>
      <c r="R76">
        <v>3</v>
      </c>
      <c r="S76">
        <v>100.86005</v>
      </c>
      <c r="T76">
        <v>10000000</v>
      </c>
      <c r="U76">
        <v>10000000</v>
      </c>
      <c r="V76">
        <v>1</v>
      </c>
      <c r="W76">
        <v>179687.5</v>
      </c>
      <c r="X76">
        <v>10086005</v>
      </c>
      <c r="Y76">
        <v>10265692.5</v>
      </c>
    </row>
    <row r="77" spans="1:25" x14ac:dyDescent="0.25">
      <c r="A77">
        <v>17</v>
      </c>
      <c r="B77" t="s">
        <v>124</v>
      </c>
      <c r="C77" t="s">
        <v>32</v>
      </c>
      <c r="D77" t="s">
        <v>365</v>
      </c>
      <c r="E77">
        <v>189238</v>
      </c>
      <c r="F77" t="s">
        <v>366</v>
      </c>
      <c r="G77" t="s">
        <v>367</v>
      </c>
      <c r="H77" t="s">
        <v>368</v>
      </c>
      <c r="I77" t="s">
        <v>367</v>
      </c>
      <c r="L77" t="b">
        <v>0</v>
      </c>
      <c r="M77" t="s">
        <v>61</v>
      </c>
      <c r="N77" t="s">
        <v>32</v>
      </c>
      <c r="O77" t="s">
        <v>331</v>
      </c>
      <c r="P77" t="s">
        <v>33</v>
      </c>
      <c r="Q77">
        <v>1</v>
      </c>
      <c r="R77">
        <v>3</v>
      </c>
      <c r="S77">
        <v>921.09</v>
      </c>
      <c r="T77">
        <v>2240</v>
      </c>
      <c r="U77">
        <v>2240</v>
      </c>
      <c r="V77">
        <v>1</v>
      </c>
      <c r="W77">
        <v>0</v>
      </c>
      <c r="X77">
        <v>2063241.6</v>
      </c>
      <c r="Y77">
        <v>2063241.6</v>
      </c>
    </row>
    <row r="78" spans="1:25" x14ac:dyDescent="0.25">
      <c r="A78">
        <v>17</v>
      </c>
      <c r="B78" t="s">
        <v>124</v>
      </c>
      <c r="C78" t="s">
        <v>32</v>
      </c>
      <c r="D78" t="s">
        <v>369</v>
      </c>
      <c r="E78">
        <v>160292</v>
      </c>
      <c r="F78" t="s">
        <v>370</v>
      </c>
      <c r="G78" t="s">
        <v>371</v>
      </c>
      <c r="H78" t="s">
        <v>372</v>
      </c>
      <c r="I78" t="s">
        <v>373</v>
      </c>
      <c r="J78" t="s">
        <v>370</v>
      </c>
      <c r="K78" t="s">
        <v>374</v>
      </c>
      <c r="L78" t="b">
        <v>1</v>
      </c>
      <c r="M78" t="s">
        <v>81</v>
      </c>
      <c r="N78" t="s">
        <v>32</v>
      </c>
      <c r="O78" t="s">
        <v>129</v>
      </c>
      <c r="P78" t="s">
        <v>33</v>
      </c>
      <c r="Q78">
        <v>1</v>
      </c>
      <c r="R78">
        <v>3</v>
      </c>
      <c r="S78">
        <v>102.17795</v>
      </c>
      <c r="T78">
        <v>4000000</v>
      </c>
      <c r="U78">
        <v>4000000</v>
      </c>
      <c r="V78">
        <v>1</v>
      </c>
      <c r="W78">
        <v>155750</v>
      </c>
      <c r="X78">
        <v>4087118</v>
      </c>
      <c r="Y78">
        <v>4242868</v>
      </c>
    </row>
    <row r="79" spans="1:25" x14ac:dyDescent="0.25">
      <c r="A79">
        <v>17</v>
      </c>
      <c r="B79" t="s">
        <v>124</v>
      </c>
      <c r="C79" t="s">
        <v>32</v>
      </c>
      <c r="D79" t="s">
        <v>375</v>
      </c>
      <c r="E79">
        <v>193917</v>
      </c>
      <c r="F79" t="s">
        <v>376</v>
      </c>
      <c r="G79" t="s">
        <v>377</v>
      </c>
      <c r="H79" t="s">
        <v>378</v>
      </c>
      <c r="I79" t="s">
        <v>379</v>
      </c>
      <c r="J79" t="s">
        <v>376</v>
      </c>
      <c r="K79" t="s">
        <v>380</v>
      </c>
      <c r="L79" t="b">
        <v>1</v>
      </c>
      <c r="M79" t="s">
        <v>61</v>
      </c>
      <c r="N79" t="s">
        <v>32</v>
      </c>
      <c r="O79" t="s">
        <v>331</v>
      </c>
      <c r="P79" t="s">
        <v>33</v>
      </c>
      <c r="Q79">
        <v>1</v>
      </c>
      <c r="R79">
        <v>3</v>
      </c>
      <c r="S79">
        <v>100.1086441667</v>
      </c>
      <c r="T79">
        <v>4250000</v>
      </c>
      <c r="U79">
        <v>4250000</v>
      </c>
      <c r="V79">
        <v>1</v>
      </c>
      <c r="W79">
        <v>86770.83</v>
      </c>
      <c r="X79">
        <v>4254617.38</v>
      </c>
      <c r="Y79">
        <v>4341388.21</v>
      </c>
    </row>
    <row r="80" spans="1:25" x14ac:dyDescent="0.25">
      <c r="A80">
        <v>17</v>
      </c>
      <c r="B80" t="s">
        <v>124</v>
      </c>
      <c r="C80" t="s">
        <v>32</v>
      </c>
      <c r="D80" t="s">
        <v>381</v>
      </c>
      <c r="E80">
        <v>223116</v>
      </c>
      <c r="F80" t="s">
        <v>382</v>
      </c>
      <c r="G80" t="s">
        <v>383</v>
      </c>
      <c r="H80" t="s">
        <v>384</v>
      </c>
      <c r="I80" t="s">
        <v>385</v>
      </c>
      <c r="J80" t="s">
        <v>382</v>
      </c>
      <c r="K80" t="s">
        <v>386</v>
      </c>
      <c r="L80" t="b">
        <v>1</v>
      </c>
      <c r="M80" t="s">
        <v>81</v>
      </c>
      <c r="N80" t="s">
        <v>32</v>
      </c>
      <c r="O80" t="s">
        <v>129</v>
      </c>
      <c r="P80" t="s">
        <v>33</v>
      </c>
      <c r="Q80">
        <v>1</v>
      </c>
      <c r="R80">
        <v>3</v>
      </c>
      <c r="S80">
        <v>93.855900000000005</v>
      </c>
      <c r="T80">
        <v>3200000</v>
      </c>
      <c r="U80">
        <v>3200000</v>
      </c>
      <c r="V80">
        <v>1</v>
      </c>
      <c r="W80">
        <v>20955.560000000001</v>
      </c>
      <c r="X80">
        <v>3003388.8</v>
      </c>
      <c r="Y80">
        <v>3024344.36</v>
      </c>
    </row>
    <row r="81" spans="1:25" x14ac:dyDescent="0.25">
      <c r="A81">
        <v>17</v>
      </c>
      <c r="B81" t="s">
        <v>124</v>
      </c>
      <c r="C81" t="s">
        <v>32</v>
      </c>
      <c r="D81" t="s">
        <v>387</v>
      </c>
      <c r="E81">
        <v>202700</v>
      </c>
      <c r="F81" t="s">
        <v>388</v>
      </c>
      <c r="G81" t="s">
        <v>389</v>
      </c>
      <c r="H81" t="s">
        <v>384</v>
      </c>
      <c r="I81" t="s">
        <v>390</v>
      </c>
      <c r="J81" t="s">
        <v>388</v>
      </c>
      <c r="K81" t="s">
        <v>391</v>
      </c>
      <c r="L81" t="b">
        <v>1</v>
      </c>
      <c r="M81" t="s">
        <v>81</v>
      </c>
      <c r="N81" t="s">
        <v>32</v>
      </c>
      <c r="O81" t="s">
        <v>129</v>
      </c>
      <c r="P81" t="s">
        <v>33</v>
      </c>
      <c r="Q81">
        <v>1</v>
      </c>
      <c r="R81">
        <v>3</v>
      </c>
      <c r="S81">
        <v>93.774050000000003</v>
      </c>
      <c r="T81">
        <v>3500000</v>
      </c>
      <c r="U81">
        <v>3500000</v>
      </c>
      <c r="V81">
        <v>1</v>
      </c>
      <c r="W81">
        <v>1847.22</v>
      </c>
      <c r="X81">
        <v>3282091.75</v>
      </c>
      <c r="Y81">
        <v>3283938.97</v>
      </c>
    </row>
    <row r="82" spans="1:25" x14ac:dyDescent="0.25">
      <c r="A82">
        <v>17</v>
      </c>
      <c r="B82" t="s">
        <v>124</v>
      </c>
      <c r="C82" t="s">
        <v>32</v>
      </c>
      <c r="D82" t="s">
        <v>392</v>
      </c>
      <c r="E82">
        <v>215023</v>
      </c>
      <c r="F82" t="s">
        <v>393</v>
      </c>
      <c r="G82" t="s">
        <v>394</v>
      </c>
      <c r="H82" t="s">
        <v>300</v>
      </c>
      <c r="I82" t="s">
        <v>395</v>
      </c>
      <c r="J82" t="s">
        <v>393</v>
      </c>
      <c r="K82" t="s">
        <v>396</v>
      </c>
      <c r="L82" t="b">
        <v>1</v>
      </c>
      <c r="M82" t="s">
        <v>44</v>
      </c>
      <c r="N82" t="s">
        <v>32</v>
      </c>
      <c r="O82" t="s">
        <v>180</v>
      </c>
      <c r="P82" t="s">
        <v>33</v>
      </c>
      <c r="Q82">
        <v>1</v>
      </c>
      <c r="R82">
        <v>3</v>
      </c>
      <c r="S82">
        <v>98.731250000000003</v>
      </c>
      <c r="T82">
        <v>5000000</v>
      </c>
      <c r="U82">
        <v>5000000</v>
      </c>
      <c r="V82">
        <v>1</v>
      </c>
      <c r="W82">
        <v>77201.53</v>
      </c>
      <c r="X82">
        <v>4936562.5</v>
      </c>
      <c r="Y82">
        <v>5013764.03</v>
      </c>
    </row>
    <row r="83" spans="1:25" x14ac:dyDescent="0.25">
      <c r="A83">
        <v>17</v>
      </c>
      <c r="B83" t="s">
        <v>124</v>
      </c>
      <c r="C83" t="s">
        <v>32</v>
      </c>
      <c r="D83" t="s">
        <v>397</v>
      </c>
      <c r="E83">
        <v>131577</v>
      </c>
      <c r="F83" t="s">
        <v>398</v>
      </c>
      <c r="G83" t="s">
        <v>399</v>
      </c>
      <c r="H83" t="s">
        <v>400</v>
      </c>
      <c r="I83" t="s">
        <v>399</v>
      </c>
      <c r="L83" t="b">
        <v>0</v>
      </c>
      <c r="M83" t="s">
        <v>81</v>
      </c>
      <c r="N83" t="s">
        <v>32</v>
      </c>
      <c r="O83" t="s">
        <v>129</v>
      </c>
      <c r="P83" t="s">
        <v>33</v>
      </c>
      <c r="Q83">
        <v>1</v>
      </c>
      <c r="R83">
        <v>3</v>
      </c>
      <c r="S83">
        <v>110.64100000000001</v>
      </c>
      <c r="T83">
        <v>3885000</v>
      </c>
      <c r="U83">
        <v>3885000</v>
      </c>
      <c r="V83">
        <v>1</v>
      </c>
      <c r="W83">
        <v>195990.16</v>
      </c>
      <c r="X83">
        <v>4298402.8499999996</v>
      </c>
      <c r="Y83">
        <v>4494393.01</v>
      </c>
    </row>
    <row r="84" spans="1:25" x14ac:dyDescent="0.25">
      <c r="A84">
        <v>17</v>
      </c>
      <c r="B84" t="s">
        <v>124</v>
      </c>
      <c r="C84" t="s">
        <v>32</v>
      </c>
      <c r="D84" t="s">
        <v>401</v>
      </c>
      <c r="E84">
        <v>35570</v>
      </c>
      <c r="F84" t="s">
        <v>402</v>
      </c>
      <c r="G84" t="s">
        <v>403</v>
      </c>
      <c r="H84" t="s">
        <v>404</v>
      </c>
      <c r="I84" t="s">
        <v>405</v>
      </c>
      <c r="L84" t="b">
        <v>1</v>
      </c>
      <c r="M84" t="s">
        <v>44</v>
      </c>
      <c r="N84" t="s">
        <v>32</v>
      </c>
      <c r="O84" t="s">
        <v>180</v>
      </c>
      <c r="P84" t="s">
        <v>33</v>
      </c>
      <c r="Q84">
        <v>1</v>
      </c>
      <c r="R84">
        <v>3</v>
      </c>
      <c r="S84">
        <v>95.114757142900004</v>
      </c>
      <c r="T84">
        <v>2500000</v>
      </c>
      <c r="U84">
        <v>2500000</v>
      </c>
      <c r="V84">
        <v>1</v>
      </c>
      <c r="W84">
        <v>2760.42</v>
      </c>
      <c r="X84">
        <v>2377868.9300000002</v>
      </c>
      <c r="Y84">
        <v>2380629.35</v>
      </c>
    </row>
    <row r="85" spans="1:25" x14ac:dyDescent="0.25">
      <c r="A85">
        <v>17</v>
      </c>
      <c r="B85" t="s">
        <v>124</v>
      </c>
      <c r="C85" t="s">
        <v>32</v>
      </c>
      <c r="D85" t="s">
        <v>406</v>
      </c>
      <c r="E85">
        <v>523</v>
      </c>
      <c r="F85" t="s">
        <v>407</v>
      </c>
      <c r="G85" t="s">
        <v>408</v>
      </c>
      <c r="H85" t="s">
        <v>404</v>
      </c>
      <c r="I85" t="s">
        <v>409</v>
      </c>
      <c r="L85" t="b">
        <v>1</v>
      </c>
      <c r="M85" t="s">
        <v>44</v>
      </c>
      <c r="N85" t="s">
        <v>32</v>
      </c>
      <c r="O85" t="s">
        <v>180</v>
      </c>
      <c r="P85" t="s">
        <v>33</v>
      </c>
      <c r="Q85">
        <v>1</v>
      </c>
      <c r="R85">
        <v>3</v>
      </c>
      <c r="S85">
        <v>99.684357142899998</v>
      </c>
      <c r="T85">
        <v>7900000</v>
      </c>
      <c r="U85">
        <v>7900000</v>
      </c>
      <c r="V85">
        <v>1</v>
      </c>
      <c r="W85">
        <v>54312.5</v>
      </c>
      <c r="X85">
        <v>7875064.2199999988</v>
      </c>
      <c r="Y85">
        <v>7929376.7199999988</v>
      </c>
    </row>
    <row r="86" spans="1:25" x14ac:dyDescent="0.25">
      <c r="A86">
        <v>17</v>
      </c>
      <c r="B86" t="s">
        <v>124</v>
      </c>
      <c r="C86" t="s">
        <v>32</v>
      </c>
      <c r="D86" t="s">
        <v>410</v>
      </c>
      <c r="E86">
        <v>524</v>
      </c>
      <c r="F86" t="s">
        <v>411</v>
      </c>
      <c r="G86" t="s">
        <v>412</v>
      </c>
      <c r="H86" t="s">
        <v>404</v>
      </c>
      <c r="I86" t="s">
        <v>413</v>
      </c>
      <c r="L86" t="b">
        <v>1</v>
      </c>
      <c r="M86" t="s">
        <v>44</v>
      </c>
      <c r="N86" t="s">
        <v>32</v>
      </c>
      <c r="O86" t="s">
        <v>180</v>
      </c>
      <c r="P86" t="s">
        <v>33</v>
      </c>
      <c r="Q86">
        <v>1</v>
      </c>
      <c r="R86">
        <v>3</v>
      </c>
      <c r="S86">
        <v>100.06805</v>
      </c>
      <c r="T86">
        <v>7915000</v>
      </c>
      <c r="U86">
        <v>7915000</v>
      </c>
      <c r="V86">
        <v>1</v>
      </c>
      <c r="W86">
        <v>40234.589999999997</v>
      </c>
      <c r="X86">
        <v>7920386.1600000011</v>
      </c>
      <c r="Y86">
        <v>7960620.7500000009</v>
      </c>
    </row>
    <row r="87" spans="1:25" x14ac:dyDescent="0.25">
      <c r="A87">
        <v>17</v>
      </c>
      <c r="B87" t="s">
        <v>124</v>
      </c>
      <c r="C87" t="s">
        <v>32</v>
      </c>
      <c r="D87" t="s">
        <v>414</v>
      </c>
      <c r="E87">
        <v>222125</v>
      </c>
      <c r="F87" t="s">
        <v>415</v>
      </c>
      <c r="G87" t="s">
        <v>416</v>
      </c>
      <c r="H87" t="s">
        <v>404</v>
      </c>
      <c r="I87" t="s">
        <v>417</v>
      </c>
      <c r="J87" t="s">
        <v>415</v>
      </c>
      <c r="K87" t="s">
        <v>418</v>
      </c>
      <c r="L87" t="b">
        <v>1</v>
      </c>
      <c r="M87" t="s">
        <v>44</v>
      </c>
      <c r="N87" t="s">
        <v>32</v>
      </c>
      <c r="O87" t="s">
        <v>180</v>
      </c>
      <c r="P87" t="s">
        <v>33</v>
      </c>
      <c r="Q87">
        <v>1</v>
      </c>
      <c r="R87">
        <v>3</v>
      </c>
      <c r="S87">
        <v>99.855112500000004</v>
      </c>
      <c r="T87">
        <v>5000000</v>
      </c>
      <c r="U87">
        <v>5000000</v>
      </c>
      <c r="V87">
        <v>1</v>
      </c>
      <c r="W87">
        <v>40000</v>
      </c>
      <c r="X87">
        <v>4992755.6300000008</v>
      </c>
      <c r="Y87">
        <v>5032755.6300000008</v>
      </c>
    </row>
    <row r="88" spans="1:25" x14ac:dyDescent="0.25">
      <c r="A88">
        <v>17</v>
      </c>
      <c r="B88" t="s">
        <v>124</v>
      </c>
      <c r="C88" t="s">
        <v>32</v>
      </c>
      <c r="D88" t="s">
        <v>419</v>
      </c>
      <c r="E88">
        <v>548</v>
      </c>
      <c r="F88" t="s">
        <v>420</v>
      </c>
      <c r="G88" t="s">
        <v>421</v>
      </c>
      <c r="H88" t="s">
        <v>422</v>
      </c>
      <c r="I88" t="s">
        <v>423</v>
      </c>
      <c r="L88" t="b">
        <v>1</v>
      </c>
      <c r="M88" t="s">
        <v>44</v>
      </c>
      <c r="N88" t="s">
        <v>32</v>
      </c>
      <c r="O88" t="s">
        <v>180</v>
      </c>
      <c r="P88" t="s">
        <v>33</v>
      </c>
      <c r="Q88">
        <v>1</v>
      </c>
      <c r="R88">
        <v>3</v>
      </c>
      <c r="S88">
        <v>97.594999999999999</v>
      </c>
      <c r="T88">
        <v>8037000</v>
      </c>
      <c r="U88">
        <v>8037000</v>
      </c>
      <c r="V88">
        <v>1</v>
      </c>
      <c r="W88">
        <v>14874.03</v>
      </c>
      <c r="X88">
        <v>7843710.1500000004</v>
      </c>
      <c r="Y88">
        <v>7858584.1800000006</v>
      </c>
    </row>
    <row r="89" spans="1:25" x14ac:dyDescent="0.25">
      <c r="A89">
        <v>17</v>
      </c>
      <c r="B89" t="s">
        <v>124</v>
      </c>
      <c r="C89" t="s">
        <v>32</v>
      </c>
      <c r="D89" t="s">
        <v>424</v>
      </c>
      <c r="E89">
        <v>1918</v>
      </c>
      <c r="F89" t="s">
        <v>425</v>
      </c>
      <c r="G89" t="s">
        <v>426</v>
      </c>
      <c r="H89" t="s">
        <v>422</v>
      </c>
      <c r="I89" t="s">
        <v>427</v>
      </c>
      <c r="L89" t="b">
        <v>1</v>
      </c>
      <c r="M89" t="s">
        <v>44</v>
      </c>
      <c r="N89" t="s">
        <v>32</v>
      </c>
      <c r="O89" t="s">
        <v>180</v>
      </c>
      <c r="P89" t="s">
        <v>33</v>
      </c>
      <c r="Q89">
        <v>1</v>
      </c>
      <c r="R89">
        <v>3</v>
      </c>
      <c r="S89">
        <v>97.852512500000003</v>
      </c>
      <c r="T89">
        <v>6500000</v>
      </c>
      <c r="U89">
        <v>6500000</v>
      </c>
      <c r="V89">
        <v>1</v>
      </c>
      <c r="W89">
        <v>145324.66</v>
      </c>
      <c r="X89">
        <v>6360413.3099999996</v>
      </c>
      <c r="Y89">
        <v>6505737.9699999997</v>
      </c>
    </row>
    <row r="90" spans="1:25" x14ac:dyDescent="0.25">
      <c r="A90">
        <v>17</v>
      </c>
      <c r="B90" t="s">
        <v>124</v>
      </c>
      <c r="C90" t="s">
        <v>32</v>
      </c>
      <c r="D90" t="s">
        <v>428</v>
      </c>
      <c r="E90">
        <v>161093</v>
      </c>
      <c r="F90" t="s">
        <v>429</v>
      </c>
      <c r="G90" t="s">
        <v>430</v>
      </c>
      <c r="H90" t="s">
        <v>422</v>
      </c>
      <c r="I90" t="s">
        <v>431</v>
      </c>
      <c r="J90" t="s">
        <v>429</v>
      </c>
      <c r="K90" t="s">
        <v>432</v>
      </c>
      <c r="L90" t="b">
        <v>1</v>
      </c>
      <c r="M90" t="s">
        <v>44</v>
      </c>
      <c r="N90" t="s">
        <v>32</v>
      </c>
      <c r="O90" t="s">
        <v>180</v>
      </c>
      <c r="P90" t="s">
        <v>33</v>
      </c>
      <c r="Q90">
        <v>1</v>
      </c>
      <c r="R90">
        <v>3</v>
      </c>
      <c r="S90">
        <v>102.45139</v>
      </c>
      <c r="T90">
        <v>3000000</v>
      </c>
      <c r="U90">
        <v>3000000</v>
      </c>
      <c r="V90">
        <v>1</v>
      </c>
      <c r="W90">
        <v>107385.42</v>
      </c>
      <c r="X90">
        <v>3073541.7</v>
      </c>
      <c r="Y90">
        <v>3180927.12</v>
      </c>
    </row>
    <row r="91" spans="1:25" x14ac:dyDescent="0.25">
      <c r="A91">
        <v>17</v>
      </c>
      <c r="B91" t="s">
        <v>124</v>
      </c>
      <c r="C91" t="s">
        <v>32</v>
      </c>
      <c r="D91" t="s">
        <v>433</v>
      </c>
      <c r="E91">
        <v>118335</v>
      </c>
      <c r="F91" t="s">
        <v>434</v>
      </c>
      <c r="G91" t="s">
        <v>435</v>
      </c>
      <c r="H91" t="s">
        <v>422</v>
      </c>
      <c r="I91" t="s">
        <v>436</v>
      </c>
      <c r="L91" t="b">
        <v>1</v>
      </c>
      <c r="M91" t="s">
        <v>44</v>
      </c>
      <c r="N91" t="s">
        <v>32</v>
      </c>
      <c r="O91" t="s">
        <v>180</v>
      </c>
      <c r="P91" t="s">
        <v>33</v>
      </c>
      <c r="Q91">
        <v>1</v>
      </c>
      <c r="R91">
        <v>3</v>
      </c>
      <c r="S91">
        <v>105.57365</v>
      </c>
      <c r="T91">
        <v>11000000</v>
      </c>
      <c r="U91">
        <v>11000000</v>
      </c>
      <c r="V91">
        <v>1</v>
      </c>
      <c r="W91">
        <v>54618.06</v>
      </c>
      <c r="X91">
        <v>11613101.5</v>
      </c>
      <c r="Y91">
        <v>11667719.560000001</v>
      </c>
    </row>
    <row r="92" spans="1:25" x14ac:dyDescent="0.25">
      <c r="A92">
        <v>17</v>
      </c>
      <c r="B92" t="s">
        <v>124</v>
      </c>
      <c r="C92" t="s">
        <v>32</v>
      </c>
      <c r="D92" t="s">
        <v>437</v>
      </c>
      <c r="E92">
        <v>96458</v>
      </c>
      <c r="F92" t="s">
        <v>438</v>
      </c>
      <c r="G92" t="s">
        <v>439</v>
      </c>
      <c r="H92" t="s">
        <v>422</v>
      </c>
      <c r="I92" t="s">
        <v>440</v>
      </c>
      <c r="L92" t="b">
        <v>1</v>
      </c>
      <c r="M92" t="s">
        <v>44</v>
      </c>
      <c r="N92" t="s">
        <v>32</v>
      </c>
      <c r="O92" t="s">
        <v>180</v>
      </c>
      <c r="P92" t="s">
        <v>33</v>
      </c>
      <c r="Q92">
        <v>1</v>
      </c>
      <c r="R92">
        <v>3</v>
      </c>
      <c r="S92">
        <v>107.2377666667</v>
      </c>
      <c r="T92">
        <v>2000000</v>
      </c>
      <c r="U92">
        <v>2000000</v>
      </c>
      <c r="V92">
        <v>1</v>
      </c>
      <c r="W92">
        <v>14552.78</v>
      </c>
      <c r="X92">
        <v>2144755.33</v>
      </c>
      <c r="Y92">
        <v>2159308.11</v>
      </c>
    </row>
    <row r="93" spans="1:25" x14ac:dyDescent="0.25">
      <c r="A93">
        <v>17</v>
      </c>
      <c r="B93" t="s">
        <v>124</v>
      </c>
      <c r="C93" t="s">
        <v>32</v>
      </c>
      <c r="D93" t="s">
        <v>441</v>
      </c>
      <c r="E93">
        <v>121311</v>
      </c>
      <c r="F93" t="s">
        <v>442</v>
      </c>
      <c r="G93" t="s">
        <v>443</v>
      </c>
      <c r="H93" t="s">
        <v>444</v>
      </c>
      <c r="I93" t="s">
        <v>445</v>
      </c>
      <c r="L93" t="b">
        <v>1</v>
      </c>
      <c r="M93" t="s">
        <v>50</v>
      </c>
      <c r="N93" t="s">
        <v>32</v>
      </c>
      <c r="O93" t="s">
        <v>26</v>
      </c>
      <c r="P93" t="s">
        <v>33</v>
      </c>
      <c r="Q93">
        <v>1</v>
      </c>
      <c r="R93">
        <v>3</v>
      </c>
      <c r="S93">
        <v>105.70869999999999</v>
      </c>
      <c r="T93">
        <v>6000000</v>
      </c>
      <c r="U93">
        <v>6000000</v>
      </c>
      <c r="V93">
        <v>1</v>
      </c>
      <c r="W93">
        <v>249375</v>
      </c>
      <c r="X93">
        <v>6342522</v>
      </c>
      <c r="Y93">
        <v>6591897</v>
      </c>
    </row>
    <row r="94" spans="1:25" x14ac:dyDescent="0.25">
      <c r="A94">
        <v>17</v>
      </c>
      <c r="B94" t="s">
        <v>124</v>
      </c>
      <c r="C94" t="s">
        <v>32</v>
      </c>
      <c r="D94" t="s">
        <v>446</v>
      </c>
      <c r="E94">
        <v>187610</v>
      </c>
      <c r="F94" t="s">
        <v>447</v>
      </c>
      <c r="G94" t="s">
        <v>448</v>
      </c>
      <c r="H94" t="s">
        <v>449</v>
      </c>
      <c r="I94" t="s">
        <v>450</v>
      </c>
      <c r="J94" t="s">
        <v>447</v>
      </c>
      <c r="K94" t="s">
        <v>451</v>
      </c>
      <c r="L94" t="b">
        <v>1</v>
      </c>
      <c r="M94" t="s">
        <v>452</v>
      </c>
      <c r="N94" t="s">
        <v>32</v>
      </c>
      <c r="O94" s="8" t="s">
        <v>180</v>
      </c>
      <c r="P94" t="s">
        <v>33</v>
      </c>
      <c r="Q94">
        <v>1</v>
      </c>
      <c r="R94">
        <v>3</v>
      </c>
      <c r="S94">
        <v>103.69499999999999</v>
      </c>
      <c r="T94">
        <v>7000000</v>
      </c>
      <c r="U94">
        <v>7000000</v>
      </c>
      <c r="V94">
        <v>1</v>
      </c>
      <c r="W94">
        <v>192500</v>
      </c>
      <c r="X94">
        <v>7258650</v>
      </c>
      <c r="Y94">
        <v>7451150</v>
      </c>
    </row>
    <row r="95" spans="1:25" x14ac:dyDescent="0.25">
      <c r="A95">
        <v>20</v>
      </c>
      <c r="B95" t="s">
        <v>25</v>
      </c>
      <c r="C95" t="s">
        <v>26</v>
      </c>
      <c r="D95" t="s">
        <v>453</v>
      </c>
      <c r="E95">
        <v>166894</v>
      </c>
      <c r="F95" t="s">
        <v>454</v>
      </c>
      <c r="G95" t="s">
        <v>455</v>
      </c>
      <c r="H95" t="s">
        <v>456</v>
      </c>
      <c r="I95" t="s">
        <v>455</v>
      </c>
      <c r="L95" t="b">
        <v>0</v>
      </c>
      <c r="M95" t="s">
        <v>61</v>
      </c>
      <c r="N95" t="s">
        <v>331</v>
      </c>
      <c r="P95" t="s">
        <v>33</v>
      </c>
      <c r="Q95">
        <v>1</v>
      </c>
      <c r="R95">
        <v>3</v>
      </c>
      <c r="S95">
        <v>100.8417</v>
      </c>
      <c r="T95">
        <v>23750000</v>
      </c>
      <c r="U95">
        <v>25000000</v>
      </c>
      <c r="V95">
        <v>0.95</v>
      </c>
      <c r="W95">
        <v>198408625.13</v>
      </c>
      <c r="X95">
        <v>6559955099.2299995</v>
      </c>
      <c r="Y95">
        <v>6758363724.3600006</v>
      </c>
    </row>
    <row r="96" spans="1:25" x14ac:dyDescent="0.25">
      <c r="A96">
        <v>20</v>
      </c>
      <c r="B96" t="s">
        <v>25</v>
      </c>
      <c r="C96" t="s">
        <v>26</v>
      </c>
      <c r="D96" t="s">
        <v>457</v>
      </c>
      <c r="E96">
        <v>166886</v>
      </c>
      <c r="F96" t="s">
        <v>458</v>
      </c>
      <c r="G96" t="s">
        <v>459</v>
      </c>
      <c r="H96" t="s">
        <v>456</v>
      </c>
      <c r="I96" t="s">
        <v>459</v>
      </c>
      <c r="L96" t="b">
        <v>0</v>
      </c>
      <c r="M96" t="s">
        <v>61</v>
      </c>
      <c r="N96" t="s">
        <v>32</v>
      </c>
      <c r="O96" s="8" t="s">
        <v>26</v>
      </c>
      <c r="P96" t="s">
        <v>33</v>
      </c>
      <c r="Q96">
        <v>1</v>
      </c>
      <c r="R96">
        <v>3</v>
      </c>
      <c r="S96">
        <v>100.84</v>
      </c>
      <c r="T96">
        <v>15650444</v>
      </c>
      <c r="U96">
        <v>15650444</v>
      </c>
      <c r="V96">
        <v>1</v>
      </c>
      <c r="W96">
        <v>169964343.52000001</v>
      </c>
      <c r="X96">
        <v>14690746629.549999</v>
      </c>
      <c r="Y96">
        <v>14860710973.07</v>
      </c>
    </row>
    <row r="97" spans="1:25" x14ac:dyDescent="0.25">
      <c r="A97">
        <v>17</v>
      </c>
      <c r="B97" t="s">
        <v>124</v>
      </c>
      <c r="C97" t="s">
        <v>32</v>
      </c>
      <c r="D97" t="s">
        <v>460</v>
      </c>
      <c r="E97">
        <v>32264</v>
      </c>
      <c r="F97" t="s">
        <v>461</v>
      </c>
      <c r="G97" t="s">
        <v>462</v>
      </c>
      <c r="H97" t="s">
        <v>463</v>
      </c>
      <c r="I97" t="s">
        <v>464</v>
      </c>
      <c r="L97" t="b">
        <v>1</v>
      </c>
      <c r="M97" t="s">
        <v>44</v>
      </c>
      <c r="N97" t="s">
        <v>32</v>
      </c>
      <c r="O97" t="s">
        <v>180</v>
      </c>
      <c r="P97" t="s">
        <v>33</v>
      </c>
      <c r="Q97">
        <v>1</v>
      </c>
      <c r="R97">
        <v>3</v>
      </c>
      <c r="S97">
        <v>99.778667857100004</v>
      </c>
      <c r="T97">
        <v>10000000</v>
      </c>
      <c r="U97">
        <v>10000000</v>
      </c>
      <c r="V97">
        <v>1</v>
      </c>
      <c r="W97">
        <v>127688.89</v>
      </c>
      <c r="X97">
        <v>9977866.799999997</v>
      </c>
      <c r="Y97">
        <v>10105555.689999999</v>
      </c>
    </row>
    <row r="98" spans="1:25" x14ac:dyDescent="0.25">
      <c r="A98">
        <v>17</v>
      </c>
      <c r="B98" t="s">
        <v>124</v>
      </c>
      <c r="C98" t="s">
        <v>32</v>
      </c>
      <c r="D98" t="s">
        <v>465</v>
      </c>
      <c r="E98">
        <v>216347</v>
      </c>
      <c r="F98" t="s">
        <v>466</v>
      </c>
      <c r="G98" t="s">
        <v>467</v>
      </c>
      <c r="H98" t="s">
        <v>463</v>
      </c>
      <c r="I98" t="s">
        <v>468</v>
      </c>
      <c r="J98" t="s">
        <v>466</v>
      </c>
      <c r="K98" t="s">
        <v>469</v>
      </c>
      <c r="L98" t="b">
        <v>1</v>
      </c>
      <c r="M98" t="s">
        <v>44</v>
      </c>
      <c r="N98" t="s">
        <v>32</v>
      </c>
      <c r="O98" t="s">
        <v>180</v>
      </c>
      <c r="P98" t="s">
        <v>33</v>
      </c>
      <c r="Q98">
        <v>1</v>
      </c>
      <c r="R98">
        <v>3</v>
      </c>
      <c r="S98">
        <v>98.451099999999997</v>
      </c>
      <c r="T98">
        <v>8000000</v>
      </c>
      <c r="U98">
        <v>8000000</v>
      </c>
      <c r="V98">
        <v>1</v>
      </c>
      <c r="W98">
        <v>101333.33</v>
      </c>
      <c r="X98">
        <v>7876088</v>
      </c>
      <c r="Y98">
        <v>7977421.3300000001</v>
      </c>
    </row>
    <row r="99" spans="1:25" x14ac:dyDescent="0.25">
      <c r="A99">
        <v>17</v>
      </c>
      <c r="B99" t="s">
        <v>124</v>
      </c>
      <c r="C99" t="s">
        <v>32</v>
      </c>
      <c r="D99" t="s">
        <v>470</v>
      </c>
      <c r="E99">
        <v>176054</v>
      </c>
      <c r="F99" t="s">
        <v>471</v>
      </c>
      <c r="G99" t="s">
        <v>472</v>
      </c>
      <c r="H99" t="s">
        <v>473</v>
      </c>
      <c r="I99" t="s">
        <v>474</v>
      </c>
      <c r="L99" t="b">
        <v>1</v>
      </c>
      <c r="M99" t="s">
        <v>61</v>
      </c>
      <c r="N99" t="s">
        <v>32</v>
      </c>
      <c r="O99" t="s">
        <v>331</v>
      </c>
      <c r="P99" t="s">
        <v>33</v>
      </c>
      <c r="Q99">
        <v>1</v>
      </c>
      <c r="R99">
        <v>3</v>
      </c>
      <c r="S99">
        <v>101.1636458333</v>
      </c>
      <c r="T99">
        <v>4500000</v>
      </c>
      <c r="U99">
        <v>4500000</v>
      </c>
      <c r="V99">
        <v>1</v>
      </c>
      <c r="W99">
        <v>90737.5</v>
      </c>
      <c r="X99">
        <v>4552364.0599999996</v>
      </c>
      <c r="Y99">
        <v>4643101.5599999996</v>
      </c>
    </row>
    <row r="100" spans="1:25" x14ac:dyDescent="0.25">
      <c r="A100">
        <v>17</v>
      </c>
      <c r="B100" t="s">
        <v>124</v>
      </c>
      <c r="C100" t="s">
        <v>32</v>
      </c>
      <c r="D100" t="s">
        <v>475</v>
      </c>
      <c r="E100">
        <v>53985</v>
      </c>
      <c r="F100" t="s">
        <v>476</v>
      </c>
      <c r="G100" t="s">
        <v>477</v>
      </c>
      <c r="H100" t="s">
        <v>478</v>
      </c>
      <c r="I100" t="s">
        <v>479</v>
      </c>
      <c r="L100" t="b">
        <v>1</v>
      </c>
      <c r="M100" t="s">
        <v>31</v>
      </c>
      <c r="N100" t="s">
        <v>32</v>
      </c>
      <c r="O100" t="s">
        <v>358</v>
      </c>
      <c r="P100" t="s">
        <v>33</v>
      </c>
      <c r="Q100">
        <v>1</v>
      </c>
      <c r="R100">
        <v>3</v>
      </c>
      <c r="S100">
        <v>54.376249999999999</v>
      </c>
      <c r="T100">
        <v>6000000</v>
      </c>
      <c r="U100">
        <v>6000000</v>
      </c>
      <c r="V100">
        <v>1</v>
      </c>
      <c r="W100">
        <v>0</v>
      </c>
      <c r="X100">
        <v>3262575.01</v>
      </c>
      <c r="Y100">
        <v>3262575.01</v>
      </c>
    </row>
    <row r="101" spans="1:25" x14ac:dyDescent="0.25">
      <c r="A101">
        <v>17</v>
      </c>
      <c r="B101" t="s">
        <v>124</v>
      </c>
      <c r="C101" t="s">
        <v>32</v>
      </c>
      <c r="D101" t="s">
        <v>480</v>
      </c>
      <c r="E101">
        <v>160598</v>
      </c>
      <c r="F101" t="s">
        <v>481</v>
      </c>
      <c r="G101" t="s">
        <v>482</v>
      </c>
      <c r="H101" t="s">
        <v>483</v>
      </c>
      <c r="I101" t="s">
        <v>484</v>
      </c>
      <c r="J101" t="s">
        <v>481</v>
      </c>
      <c r="K101" t="s">
        <v>485</v>
      </c>
      <c r="L101" t="b">
        <v>1</v>
      </c>
      <c r="M101" t="s">
        <v>61</v>
      </c>
      <c r="N101" t="s">
        <v>32</v>
      </c>
      <c r="O101" t="s">
        <v>331</v>
      </c>
      <c r="P101" t="s">
        <v>33</v>
      </c>
      <c r="Q101">
        <v>1</v>
      </c>
      <c r="R101">
        <v>3</v>
      </c>
      <c r="S101">
        <v>102.02641363639999</v>
      </c>
      <c r="T101">
        <v>8000000</v>
      </c>
      <c r="U101">
        <v>8000000</v>
      </c>
      <c r="V101">
        <v>1</v>
      </c>
      <c r="W101">
        <v>265955.56</v>
      </c>
      <c r="X101">
        <v>8162113.0900000008</v>
      </c>
      <c r="Y101">
        <v>8428068.6500000004</v>
      </c>
    </row>
    <row r="102" spans="1:25" x14ac:dyDescent="0.25">
      <c r="A102">
        <v>17</v>
      </c>
      <c r="B102" t="s">
        <v>124</v>
      </c>
      <c r="C102" t="s">
        <v>32</v>
      </c>
      <c r="D102" t="s">
        <v>486</v>
      </c>
      <c r="E102">
        <v>147255</v>
      </c>
      <c r="F102" t="s">
        <v>487</v>
      </c>
      <c r="G102" t="s">
        <v>488</v>
      </c>
      <c r="H102" t="s">
        <v>489</v>
      </c>
      <c r="I102" t="s">
        <v>488</v>
      </c>
      <c r="L102" t="b">
        <v>0</v>
      </c>
      <c r="M102" t="s">
        <v>112</v>
      </c>
      <c r="N102" t="s">
        <v>32</v>
      </c>
      <c r="O102" t="s">
        <v>32</v>
      </c>
      <c r="P102" t="s">
        <v>33</v>
      </c>
      <c r="Q102">
        <v>1</v>
      </c>
      <c r="R102">
        <v>3</v>
      </c>
      <c r="S102">
        <v>92.967699999999994</v>
      </c>
      <c r="T102">
        <v>300000</v>
      </c>
      <c r="U102">
        <v>300000</v>
      </c>
      <c r="V102">
        <v>1</v>
      </c>
      <c r="W102">
        <v>0</v>
      </c>
      <c r="X102">
        <v>278903.09999999998</v>
      </c>
      <c r="Y102">
        <v>278903.09999999998</v>
      </c>
    </row>
    <row r="103" spans="1:25" x14ac:dyDescent="0.25">
      <c r="A103">
        <v>17</v>
      </c>
      <c r="B103" t="s">
        <v>124</v>
      </c>
      <c r="C103" t="s">
        <v>32</v>
      </c>
      <c r="D103" t="s">
        <v>491</v>
      </c>
      <c r="E103">
        <v>201039</v>
      </c>
      <c r="F103" t="s">
        <v>492</v>
      </c>
      <c r="G103" t="s">
        <v>493</v>
      </c>
      <c r="H103" t="s">
        <v>494</v>
      </c>
      <c r="I103" t="s">
        <v>493</v>
      </c>
      <c r="L103" t="b">
        <v>0</v>
      </c>
      <c r="M103" t="s">
        <v>112</v>
      </c>
      <c r="N103" t="s">
        <v>32</v>
      </c>
      <c r="O103" t="s">
        <v>32</v>
      </c>
      <c r="P103" t="s">
        <v>33</v>
      </c>
      <c r="Q103">
        <v>1</v>
      </c>
      <c r="R103">
        <v>3</v>
      </c>
      <c r="S103">
        <v>94.906099999999995</v>
      </c>
      <c r="T103">
        <v>1164092</v>
      </c>
      <c r="U103">
        <v>1164092</v>
      </c>
      <c r="V103">
        <v>1</v>
      </c>
      <c r="W103">
        <v>0</v>
      </c>
      <c r="X103">
        <v>1104794.32</v>
      </c>
      <c r="Y103">
        <v>1104794.32</v>
      </c>
    </row>
    <row r="104" spans="1:25" x14ac:dyDescent="0.25">
      <c r="A104">
        <v>17</v>
      </c>
      <c r="B104" t="s">
        <v>124</v>
      </c>
      <c r="C104" t="s">
        <v>32</v>
      </c>
      <c r="D104" t="s">
        <v>495</v>
      </c>
      <c r="E104">
        <v>162360</v>
      </c>
      <c r="F104" t="s">
        <v>496</v>
      </c>
      <c r="G104" t="s">
        <v>497</v>
      </c>
      <c r="H104" t="s">
        <v>498</v>
      </c>
      <c r="I104" t="s">
        <v>497</v>
      </c>
      <c r="L104" t="b">
        <v>0</v>
      </c>
      <c r="M104" t="s">
        <v>112</v>
      </c>
      <c r="N104" t="s">
        <v>32</v>
      </c>
      <c r="O104" t="s">
        <v>32</v>
      </c>
      <c r="P104" t="s">
        <v>33</v>
      </c>
      <c r="Q104">
        <v>1</v>
      </c>
      <c r="R104">
        <v>3</v>
      </c>
      <c r="S104">
        <v>104.649</v>
      </c>
      <c r="T104">
        <v>2305449</v>
      </c>
      <c r="U104">
        <v>2305449</v>
      </c>
      <c r="V104">
        <v>1</v>
      </c>
      <c r="W104">
        <v>0</v>
      </c>
      <c r="X104">
        <v>2412629.3199999998</v>
      </c>
      <c r="Y104">
        <v>2412629.3199999998</v>
      </c>
    </row>
    <row r="105" spans="1:25" x14ac:dyDescent="0.25">
      <c r="A105">
        <v>17</v>
      </c>
      <c r="B105" t="s">
        <v>124</v>
      </c>
      <c r="C105" t="s">
        <v>32</v>
      </c>
      <c r="D105" t="s">
        <v>499</v>
      </c>
      <c r="E105">
        <v>226889</v>
      </c>
      <c r="F105" t="s">
        <v>500</v>
      </c>
      <c r="G105" t="s">
        <v>501</v>
      </c>
      <c r="H105" t="s">
        <v>502</v>
      </c>
      <c r="I105" t="s">
        <v>503</v>
      </c>
      <c r="J105" t="s">
        <v>500</v>
      </c>
      <c r="K105" t="s">
        <v>504</v>
      </c>
      <c r="L105" t="b">
        <v>1</v>
      </c>
      <c r="M105" t="s">
        <v>31</v>
      </c>
      <c r="N105" t="s">
        <v>32</v>
      </c>
      <c r="O105" t="s">
        <v>358</v>
      </c>
      <c r="P105" t="s">
        <v>33</v>
      </c>
      <c r="Q105">
        <v>1</v>
      </c>
      <c r="R105">
        <v>3</v>
      </c>
      <c r="S105">
        <v>100.6296875</v>
      </c>
      <c r="T105">
        <v>5700000</v>
      </c>
      <c r="U105">
        <v>5700000</v>
      </c>
      <c r="V105">
        <v>1</v>
      </c>
      <c r="W105">
        <v>0</v>
      </c>
      <c r="X105">
        <v>5735892.1900000004</v>
      </c>
      <c r="Y105">
        <v>5735892.1900000004</v>
      </c>
    </row>
    <row r="106" spans="1:25" x14ac:dyDescent="0.25">
      <c r="A106">
        <v>17</v>
      </c>
      <c r="B106" t="s">
        <v>124</v>
      </c>
      <c r="C106" t="s">
        <v>32</v>
      </c>
      <c r="D106" t="s">
        <v>505</v>
      </c>
      <c r="E106">
        <v>151819</v>
      </c>
      <c r="F106" t="s">
        <v>506</v>
      </c>
      <c r="G106" t="s">
        <v>507</v>
      </c>
      <c r="H106" t="s">
        <v>502</v>
      </c>
      <c r="I106" t="s">
        <v>508</v>
      </c>
      <c r="J106" t="s">
        <v>506</v>
      </c>
      <c r="K106" t="s">
        <v>509</v>
      </c>
      <c r="L106" t="b">
        <v>1</v>
      </c>
      <c r="M106" t="s">
        <v>31</v>
      </c>
      <c r="N106" t="s">
        <v>32</v>
      </c>
      <c r="O106" t="s">
        <v>358</v>
      </c>
      <c r="P106" t="s">
        <v>33</v>
      </c>
      <c r="Q106">
        <v>1</v>
      </c>
      <c r="R106">
        <v>3</v>
      </c>
      <c r="S106">
        <v>105.80857</v>
      </c>
      <c r="T106">
        <v>6000000</v>
      </c>
      <c r="U106">
        <v>6000000</v>
      </c>
      <c r="V106">
        <v>1</v>
      </c>
      <c r="W106">
        <v>129687.5</v>
      </c>
      <c r="X106">
        <v>6348514.2000000002</v>
      </c>
      <c r="Y106">
        <v>6478201.7000000002</v>
      </c>
    </row>
    <row r="107" spans="1:25" x14ac:dyDescent="0.25">
      <c r="A107">
        <v>17</v>
      </c>
      <c r="B107" t="s">
        <v>124</v>
      </c>
      <c r="C107" t="s">
        <v>32</v>
      </c>
      <c r="D107" t="s">
        <v>510</v>
      </c>
      <c r="E107">
        <v>758</v>
      </c>
      <c r="F107" t="s">
        <v>511</v>
      </c>
      <c r="G107" t="s">
        <v>512</v>
      </c>
      <c r="H107" t="s">
        <v>149</v>
      </c>
      <c r="I107" t="s">
        <v>513</v>
      </c>
      <c r="L107" t="b">
        <v>1</v>
      </c>
      <c r="M107" t="s">
        <v>81</v>
      </c>
      <c r="N107" t="s">
        <v>32</v>
      </c>
      <c r="O107" t="s">
        <v>129</v>
      </c>
      <c r="P107" t="s">
        <v>33</v>
      </c>
      <c r="Q107">
        <v>1</v>
      </c>
      <c r="R107">
        <v>3</v>
      </c>
      <c r="S107">
        <v>96.838433333300003</v>
      </c>
      <c r="T107">
        <v>3704534.1</v>
      </c>
      <c r="U107">
        <v>5290000</v>
      </c>
      <c r="V107">
        <v>0.70030000000000003</v>
      </c>
      <c r="W107">
        <v>10419.01</v>
      </c>
      <c r="X107">
        <v>3587412.79</v>
      </c>
      <c r="Y107">
        <v>3597831.7999999989</v>
      </c>
    </row>
    <row r="108" spans="1:25" x14ac:dyDescent="0.25">
      <c r="A108">
        <v>17</v>
      </c>
      <c r="B108" t="s">
        <v>124</v>
      </c>
      <c r="C108" t="s">
        <v>32</v>
      </c>
      <c r="D108" t="s">
        <v>514</v>
      </c>
      <c r="E108">
        <v>213327</v>
      </c>
      <c r="F108" t="s">
        <v>515</v>
      </c>
      <c r="G108" t="s">
        <v>516</v>
      </c>
      <c r="H108" t="s">
        <v>517</v>
      </c>
      <c r="I108" t="s">
        <v>516</v>
      </c>
      <c r="L108" t="b">
        <v>0</v>
      </c>
      <c r="M108" t="s">
        <v>31</v>
      </c>
      <c r="N108" t="s">
        <v>32</v>
      </c>
      <c r="O108" t="s">
        <v>358</v>
      </c>
      <c r="P108" t="s">
        <v>33</v>
      </c>
      <c r="Q108">
        <v>1</v>
      </c>
      <c r="R108">
        <v>3</v>
      </c>
      <c r="S108">
        <v>100</v>
      </c>
      <c r="T108">
        <v>15000000</v>
      </c>
      <c r="U108">
        <v>15000000</v>
      </c>
      <c r="V108">
        <v>1</v>
      </c>
      <c r="W108">
        <v>428044.34</v>
      </c>
      <c r="X108">
        <v>15000000</v>
      </c>
      <c r="Y108">
        <v>15428044.34</v>
      </c>
    </row>
    <row r="109" spans="1:25" x14ac:dyDescent="0.25">
      <c r="A109">
        <v>17</v>
      </c>
      <c r="B109" t="s">
        <v>124</v>
      </c>
      <c r="C109" t="s">
        <v>32</v>
      </c>
      <c r="D109" t="s">
        <v>518</v>
      </c>
      <c r="E109">
        <v>114779</v>
      </c>
      <c r="F109" t="s">
        <v>519</v>
      </c>
      <c r="G109" t="s">
        <v>520</v>
      </c>
      <c r="H109" t="s">
        <v>517</v>
      </c>
      <c r="I109" t="s">
        <v>521</v>
      </c>
      <c r="J109" t="s">
        <v>519</v>
      </c>
      <c r="K109" t="s">
        <v>522</v>
      </c>
      <c r="L109" t="b">
        <v>1</v>
      </c>
      <c r="M109" t="s">
        <v>31</v>
      </c>
      <c r="N109" t="s">
        <v>32</v>
      </c>
      <c r="O109" t="s">
        <v>358</v>
      </c>
      <c r="P109" t="s">
        <v>33</v>
      </c>
      <c r="Q109">
        <v>1</v>
      </c>
      <c r="R109">
        <v>3</v>
      </c>
      <c r="S109">
        <v>71.069000000000003</v>
      </c>
      <c r="T109">
        <v>5500000</v>
      </c>
      <c r="U109">
        <v>5500000</v>
      </c>
      <c r="V109">
        <v>1</v>
      </c>
      <c r="W109">
        <v>74574.62</v>
      </c>
      <c r="X109">
        <v>3908795</v>
      </c>
      <c r="Y109">
        <v>3983369.62</v>
      </c>
    </row>
    <row r="110" spans="1:25" x14ac:dyDescent="0.25">
      <c r="A110">
        <v>17</v>
      </c>
      <c r="B110" t="s">
        <v>124</v>
      </c>
      <c r="C110" t="s">
        <v>32</v>
      </c>
      <c r="D110" t="s">
        <v>523</v>
      </c>
      <c r="E110">
        <v>176053</v>
      </c>
      <c r="F110" t="s">
        <v>524</v>
      </c>
      <c r="G110" t="s">
        <v>525</v>
      </c>
      <c r="H110" t="s">
        <v>526</v>
      </c>
      <c r="I110" t="s">
        <v>527</v>
      </c>
      <c r="L110" t="b">
        <v>1</v>
      </c>
      <c r="M110" t="s">
        <v>81</v>
      </c>
      <c r="N110" t="s">
        <v>32</v>
      </c>
      <c r="O110" t="s">
        <v>129</v>
      </c>
      <c r="P110" t="s">
        <v>33</v>
      </c>
      <c r="Q110">
        <v>1</v>
      </c>
      <c r="R110">
        <v>3</v>
      </c>
      <c r="S110">
        <v>102.75</v>
      </c>
      <c r="T110">
        <v>6000000</v>
      </c>
      <c r="U110">
        <v>6000000</v>
      </c>
      <c r="V110">
        <v>1</v>
      </c>
      <c r="W110">
        <v>37916.660000000003</v>
      </c>
      <c r="X110">
        <v>6165000</v>
      </c>
      <c r="Y110">
        <v>6202916.6600000001</v>
      </c>
    </row>
    <row r="111" spans="1:25" x14ac:dyDescent="0.25">
      <c r="A111">
        <v>17</v>
      </c>
      <c r="B111" t="s">
        <v>124</v>
      </c>
      <c r="C111" t="s">
        <v>32</v>
      </c>
      <c r="D111" t="s">
        <v>528</v>
      </c>
      <c r="E111">
        <v>35708</v>
      </c>
      <c r="F111" t="s">
        <v>529</v>
      </c>
      <c r="G111" t="s">
        <v>530</v>
      </c>
      <c r="H111" t="s">
        <v>531</v>
      </c>
      <c r="I111" t="s">
        <v>530</v>
      </c>
      <c r="L111" t="b">
        <v>0</v>
      </c>
      <c r="M111" t="s">
        <v>81</v>
      </c>
      <c r="N111" t="s">
        <v>32</v>
      </c>
      <c r="O111" t="s">
        <v>129</v>
      </c>
      <c r="P111" t="s">
        <v>33</v>
      </c>
      <c r="Q111">
        <v>1</v>
      </c>
      <c r="R111">
        <v>3</v>
      </c>
      <c r="S111">
        <v>91.088650000000001</v>
      </c>
      <c r="T111">
        <v>3000000</v>
      </c>
      <c r="U111">
        <v>3000000</v>
      </c>
      <c r="V111">
        <v>1</v>
      </c>
      <c r="W111">
        <v>33916.67</v>
      </c>
      <c r="X111">
        <v>2732659.5</v>
      </c>
      <c r="Y111">
        <v>2766576.17</v>
      </c>
    </row>
    <row r="112" spans="1:25" x14ac:dyDescent="0.25">
      <c r="A112">
        <v>17</v>
      </c>
      <c r="B112" t="s">
        <v>124</v>
      </c>
      <c r="C112" t="s">
        <v>32</v>
      </c>
      <c r="D112" t="s">
        <v>532</v>
      </c>
      <c r="E112">
        <v>149965</v>
      </c>
      <c r="F112" t="s">
        <v>533</v>
      </c>
      <c r="G112" t="s">
        <v>534</v>
      </c>
      <c r="H112" t="s">
        <v>531</v>
      </c>
      <c r="I112" t="s">
        <v>534</v>
      </c>
      <c r="L112" t="b">
        <v>0</v>
      </c>
      <c r="M112" t="s">
        <v>81</v>
      </c>
      <c r="N112" t="s">
        <v>32</v>
      </c>
      <c r="O112" t="s">
        <v>129</v>
      </c>
      <c r="P112" t="s">
        <v>33</v>
      </c>
      <c r="Q112">
        <v>1</v>
      </c>
      <c r="R112">
        <v>3</v>
      </c>
      <c r="S112">
        <v>103.2316571429</v>
      </c>
      <c r="T112">
        <v>5300000</v>
      </c>
      <c r="U112">
        <v>5300000</v>
      </c>
      <c r="V112">
        <v>1</v>
      </c>
      <c r="W112">
        <v>204234.03</v>
      </c>
      <c r="X112">
        <v>5471277.8300000001</v>
      </c>
      <c r="Y112">
        <v>5675511.8600000003</v>
      </c>
    </row>
    <row r="113" spans="1:25" x14ac:dyDescent="0.25">
      <c r="A113">
        <v>17</v>
      </c>
      <c r="B113" t="s">
        <v>124</v>
      </c>
      <c r="C113" t="s">
        <v>32</v>
      </c>
      <c r="D113" t="s">
        <v>535</v>
      </c>
      <c r="E113">
        <v>53259</v>
      </c>
      <c r="F113" t="s">
        <v>536</v>
      </c>
      <c r="G113" t="s">
        <v>537</v>
      </c>
      <c r="H113" t="s">
        <v>531</v>
      </c>
      <c r="I113" t="s">
        <v>537</v>
      </c>
      <c r="L113" t="b">
        <v>0</v>
      </c>
      <c r="M113" t="s">
        <v>81</v>
      </c>
      <c r="N113" t="s">
        <v>32</v>
      </c>
      <c r="O113" t="s">
        <v>129</v>
      </c>
      <c r="P113" t="s">
        <v>33</v>
      </c>
      <c r="Q113">
        <v>1</v>
      </c>
      <c r="R113">
        <v>3</v>
      </c>
      <c r="S113">
        <v>107.995665625</v>
      </c>
      <c r="T113">
        <v>3000000</v>
      </c>
      <c r="U113">
        <v>3000000</v>
      </c>
      <c r="V113">
        <v>1</v>
      </c>
      <c r="W113">
        <v>12572.91</v>
      </c>
      <c r="X113">
        <v>3239869.97</v>
      </c>
      <c r="Y113">
        <v>3252442.88</v>
      </c>
    </row>
    <row r="114" spans="1:25" x14ac:dyDescent="0.25">
      <c r="A114">
        <v>17</v>
      </c>
      <c r="B114" t="s">
        <v>124</v>
      </c>
      <c r="C114" t="s">
        <v>32</v>
      </c>
      <c r="D114" t="s">
        <v>538</v>
      </c>
      <c r="E114">
        <v>147064</v>
      </c>
      <c r="F114" t="s">
        <v>539</v>
      </c>
      <c r="G114" t="s">
        <v>540</v>
      </c>
      <c r="H114" t="s">
        <v>541</v>
      </c>
      <c r="I114" t="s">
        <v>542</v>
      </c>
      <c r="J114" t="s">
        <v>539</v>
      </c>
      <c r="K114" t="s">
        <v>543</v>
      </c>
      <c r="L114" t="b">
        <v>1</v>
      </c>
      <c r="M114" t="s">
        <v>44</v>
      </c>
      <c r="N114" t="s">
        <v>32</v>
      </c>
      <c r="O114" t="s">
        <v>180</v>
      </c>
      <c r="P114" t="s">
        <v>33</v>
      </c>
      <c r="Q114">
        <v>1</v>
      </c>
      <c r="R114">
        <v>3</v>
      </c>
      <c r="S114">
        <v>99.308571428600004</v>
      </c>
      <c r="T114">
        <v>4912426</v>
      </c>
      <c r="U114">
        <v>5000000</v>
      </c>
      <c r="V114">
        <v>0.98250000000000004</v>
      </c>
      <c r="W114">
        <v>0</v>
      </c>
      <c r="X114">
        <v>4878460.08</v>
      </c>
      <c r="Y114">
        <v>4878460.08</v>
      </c>
    </row>
    <row r="115" spans="1:25" x14ac:dyDescent="0.25">
      <c r="A115">
        <v>17</v>
      </c>
      <c r="B115" t="s">
        <v>124</v>
      </c>
      <c r="C115" t="s">
        <v>32</v>
      </c>
      <c r="D115" t="s">
        <v>544</v>
      </c>
      <c r="E115">
        <v>32196</v>
      </c>
      <c r="F115" t="s">
        <v>545</v>
      </c>
      <c r="G115" t="s">
        <v>546</v>
      </c>
      <c r="H115" t="s">
        <v>547</v>
      </c>
      <c r="I115" t="s">
        <v>548</v>
      </c>
      <c r="L115" t="b">
        <v>1</v>
      </c>
      <c r="M115" t="s">
        <v>44</v>
      </c>
      <c r="N115" t="s">
        <v>32</v>
      </c>
      <c r="O115" t="s">
        <v>180</v>
      </c>
      <c r="P115" t="s">
        <v>33</v>
      </c>
      <c r="Q115">
        <v>1</v>
      </c>
      <c r="R115">
        <v>3</v>
      </c>
      <c r="S115">
        <v>90.492671428600005</v>
      </c>
      <c r="T115">
        <v>8985000</v>
      </c>
      <c r="U115">
        <v>8985000</v>
      </c>
      <c r="V115">
        <v>1</v>
      </c>
      <c r="W115">
        <v>8735.42</v>
      </c>
      <c r="X115">
        <v>8130766.5299999993</v>
      </c>
      <c r="Y115">
        <v>8139501.9499999993</v>
      </c>
    </row>
    <row r="116" spans="1:25" x14ac:dyDescent="0.25">
      <c r="A116">
        <v>17</v>
      </c>
      <c r="B116" t="s">
        <v>124</v>
      </c>
      <c r="C116" t="s">
        <v>32</v>
      </c>
      <c r="D116" t="s">
        <v>549</v>
      </c>
      <c r="E116">
        <v>218888</v>
      </c>
      <c r="F116" t="s">
        <v>550</v>
      </c>
      <c r="G116" t="s">
        <v>551</v>
      </c>
      <c r="H116" t="s">
        <v>547</v>
      </c>
      <c r="I116" t="s">
        <v>552</v>
      </c>
      <c r="J116" t="s">
        <v>550</v>
      </c>
      <c r="K116" t="s">
        <v>553</v>
      </c>
      <c r="L116" t="b">
        <v>1</v>
      </c>
      <c r="M116" t="s">
        <v>44</v>
      </c>
      <c r="N116" t="s">
        <v>32</v>
      </c>
      <c r="O116" t="s">
        <v>180</v>
      </c>
      <c r="P116" t="s">
        <v>33</v>
      </c>
      <c r="Q116">
        <v>1</v>
      </c>
      <c r="R116">
        <v>3</v>
      </c>
      <c r="S116">
        <v>98.338999999999999</v>
      </c>
      <c r="T116">
        <v>5000000</v>
      </c>
      <c r="U116">
        <v>5000000</v>
      </c>
      <c r="V116">
        <v>1</v>
      </c>
      <c r="W116">
        <v>61354.16</v>
      </c>
      <c r="X116">
        <v>4916950</v>
      </c>
      <c r="Y116">
        <v>4978304.16</v>
      </c>
    </row>
    <row r="117" spans="1:25" x14ac:dyDescent="0.25">
      <c r="A117">
        <v>17</v>
      </c>
      <c r="B117" t="s">
        <v>124</v>
      </c>
      <c r="C117" t="s">
        <v>32</v>
      </c>
      <c r="D117" t="s">
        <v>554</v>
      </c>
      <c r="E117">
        <v>95963</v>
      </c>
      <c r="F117" t="s">
        <v>555</v>
      </c>
      <c r="G117" t="s">
        <v>556</v>
      </c>
      <c r="H117" t="s">
        <v>557</v>
      </c>
      <c r="I117" t="s">
        <v>558</v>
      </c>
      <c r="L117" t="b">
        <v>1</v>
      </c>
      <c r="M117" t="s">
        <v>31</v>
      </c>
      <c r="N117" t="s">
        <v>32</v>
      </c>
      <c r="O117" t="s">
        <v>358</v>
      </c>
      <c r="P117" t="s">
        <v>33</v>
      </c>
      <c r="Q117">
        <v>1</v>
      </c>
      <c r="R117">
        <v>3</v>
      </c>
      <c r="S117">
        <v>99.377883333300005</v>
      </c>
      <c r="T117">
        <v>5000000</v>
      </c>
      <c r="U117">
        <v>5000000</v>
      </c>
      <c r="V117">
        <v>1</v>
      </c>
      <c r="W117">
        <v>46875</v>
      </c>
      <c r="X117">
        <v>4968894.17</v>
      </c>
      <c r="Y117">
        <v>5015769.17</v>
      </c>
    </row>
    <row r="118" spans="1:25" x14ac:dyDescent="0.25">
      <c r="A118">
        <v>17</v>
      </c>
      <c r="B118" t="s">
        <v>124</v>
      </c>
      <c r="C118" t="s">
        <v>32</v>
      </c>
      <c r="D118" t="s">
        <v>51</v>
      </c>
      <c r="E118">
        <v>148823</v>
      </c>
      <c r="F118" t="s">
        <v>52</v>
      </c>
      <c r="G118" t="s">
        <v>53</v>
      </c>
      <c r="H118" t="s">
        <v>48</v>
      </c>
      <c r="I118" t="s">
        <v>54</v>
      </c>
      <c r="J118" t="s">
        <v>52</v>
      </c>
      <c r="K118" t="s">
        <v>55</v>
      </c>
      <c r="L118" t="b">
        <v>1</v>
      </c>
      <c r="M118" t="s">
        <v>50</v>
      </c>
      <c r="N118" t="s">
        <v>32</v>
      </c>
      <c r="O118" s="8" t="s">
        <v>358</v>
      </c>
      <c r="P118" t="s">
        <v>33</v>
      </c>
      <c r="Q118">
        <v>1</v>
      </c>
      <c r="R118">
        <v>3</v>
      </c>
      <c r="S118">
        <v>102.8934375</v>
      </c>
      <c r="T118">
        <v>5000000</v>
      </c>
      <c r="U118">
        <v>5000000</v>
      </c>
      <c r="V118">
        <v>1</v>
      </c>
      <c r="W118">
        <v>114843.75</v>
      </c>
      <c r="X118">
        <v>5144671.88</v>
      </c>
      <c r="Y118">
        <v>5259515.63</v>
      </c>
    </row>
    <row r="119" spans="1:25" x14ac:dyDescent="0.25">
      <c r="A119">
        <v>17</v>
      </c>
      <c r="B119" t="s">
        <v>124</v>
      </c>
      <c r="C119" t="s">
        <v>32</v>
      </c>
      <c r="D119" t="s">
        <v>62</v>
      </c>
      <c r="E119">
        <v>213324</v>
      </c>
      <c r="F119" t="s">
        <v>63</v>
      </c>
      <c r="G119" t="s">
        <v>64</v>
      </c>
      <c r="H119" t="s">
        <v>65</v>
      </c>
      <c r="I119" t="s">
        <v>66</v>
      </c>
      <c r="J119" t="s">
        <v>63</v>
      </c>
      <c r="K119" t="s">
        <v>67</v>
      </c>
      <c r="L119" t="b">
        <v>1</v>
      </c>
      <c r="M119" t="s">
        <v>50</v>
      </c>
      <c r="N119" t="s">
        <v>32</v>
      </c>
      <c r="O119" t="s">
        <v>26</v>
      </c>
      <c r="P119" t="s">
        <v>33</v>
      </c>
      <c r="Q119">
        <v>1</v>
      </c>
      <c r="R119">
        <v>3</v>
      </c>
      <c r="S119">
        <v>98.567899999999995</v>
      </c>
      <c r="T119">
        <v>5000000</v>
      </c>
      <c r="U119">
        <v>5000000</v>
      </c>
      <c r="V119">
        <v>1</v>
      </c>
      <c r="W119">
        <v>110416.66</v>
      </c>
      <c r="X119">
        <v>4928395</v>
      </c>
      <c r="Y119">
        <v>5038811.66</v>
      </c>
    </row>
    <row r="120" spans="1:25" x14ac:dyDescent="0.25">
      <c r="A120">
        <v>17</v>
      </c>
      <c r="B120" t="s">
        <v>124</v>
      </c>
      <c r="C120" t="s">
        <v>32</v>
      </c>
      <c r="D120" t="s">
        <v>559</v>
      </c>
      <c r="E120">
        <v>1545</v>
      </c>
      <c r="F120" t="s">
        <v>560</v>
      </c>
      <c r="G120" t="s">
        <v>561</v>
      </c>
      <c r="H120" t="s">
        <v>562</v>
      </c>
      <c r="I120" t="s">
        <v>563</v>
      </c>
      <c r="J120" t="s">
        <v>560</v>
      </c>
      <c r="K120" t="s">
        <v>564</v>
      </c>
      <c r="L120" t="b">
        <v>1</v>
      </c>
      <c r="M120" t="s">
        <v>31</v>
      </c>
      <c r="N120" t="s">
        <v>32</v>
      </c>
      <c r="O120" t="s">
        <v>358</v>
      </c>
      <c r="P120" t="s">
        <v>33</v>
      </c>
      <c r="Q120">
        <v>1</v>
      </c>
      <c r="R120">
        <v>3</v>
      </c>
      <c r="S120">
        <v>101.23958571430001</v>
      </c>
      <c r="T120">
        <v>3360500</v>
      </c>
      <c r="U120">
        <v>5000000</v>
      </c>
      <c r="V120">
        <v>0.67210000000000003</v>
      </c>
      <c r="W120">
        <v>37164.519999999997</v>
      </c>
      <c r="X120">
        <v>3402156.28</v>
      </c>
      <c r="Y120">
        <v>3439320.8</v>
      </c>
    </row>
    <row r="121" spans="1:25" x14ac:dyDescent="0.25">
      <c r="A121">
        <v>17</v>
      </c>
      <c r="B121" t="s">
        <v>124</v>
      </c>
      <c r="C121" t="s">
        <v>32</v>
      </c>
      <c r="D121" t="s">
        <v>565</v>
      </c>
      <c r="E121">
        <v>187868</v>
      </c>
      <c r="F121" t="s">
        <v>566</v>
      </c>
      <c r="G121" t="s">
        <v>567</v>
      </c>
      <c r="H121" t="s">
        <v>568</v>
      </c>
      <c r="I121" t="s">
        <v>569</v>
      </c>
      <c r="L121" t="b">
        <v>1</v>
      </c>
      <c r="M121" t="s">
        <v>61</v>
      </c>
      <c r="N121" t="s">
        <v>32</v>
      </c>
      <c r="O121" t="s">
        <v>331</v>
      </c>
      <c r="P121" t="s">
        <v>33</v>
      </c>
      <c r="Q121">
        <v>1</v>
      </c>
      <c r="R121">
        <v>3</v>
      </c>
      <c r="S121">
        <v>99.844981250000004</v>
      </c>
      <c r="T121">
        <v>2000000</v>
      </c>
      <c r="U121">
        <v>2000000</v>
      </c>
      <c r="V121">
        <v>1</v>
      </c>
      <c r="W121">
        <v>46180.56</v>
      </c>
      <c r="X121">
        <v>1996899.63</v>
      </c>
      <c r="Y121">
        <v>2043080.19</v>
      </c>
    </row>
    <row r="122" spans="1:25" x14ac:dyDescent="0.25">
      <c r="A122">
        <v>17</v>
      </c>
      <c r="B122" t="s">
        <v>124</v>
      </c>
      <c r="C122" t="s">
        <v>32</v>
      </c>
      <c r="D122" t="s">
        <v>570</v>
      </c>
      <c r="E122">
        <v>944</v>
      </c>
      <c r="F122" t="s">
        <v>571</v>
      </c>
      <c r="G122" t="s">
        <v>572</v>
      </c>
      <c r="H122" t="s">
        <v>159</v>
      </c>
      <c r="I122" t="s">
        <v>573</v>
      </c>
      <c r="L122" t="b">
        <v>1</v>
      </c>
      <c r="M122" t="s">
        <v>81</v>
      </c>
      <c r="N122" t="s">
        <v>32</v>
      </c>
      <c r="O122" t="s">
        <v>129</v>
      </c>
      <c r="P122" t="s">
        <v>33</v>
      </c>
      <c r="Q122">
        <v>1</v>
      </c>
      <c r="R122">
        <v>3</v>
      </c>
      <c r="S122">
        <v>102.9136833333</v>
      </c>
      <c r="T122">
        <v>16019650</v>
      </c>
      <c r="U122">
        <v>21500000</v>
      </c>
      <c r="V122">
        <v>0.74509999999999998</v>
      </c>
      <c r="W122">
        <v>55067.55</v>
      </c>
      <c r="X122">
        <v>16486411.869999999</v>
      </c>
      <c r="Y122">
        <v>16541479.42</v>
      </c>
    </row>
    <row r="123" spans="1:25" x14ac:dyDescent="0.25">
      <c r="A123">
        <v>17</v>
      </c>
      <c r="B123" t="s">
        <v>124</v>
      </c>
      <c r="C123" t="s">
        <v>32</v>
      </c>
      <c r="D123" t="s">
        <v>574</v>
      </c>
      <c r="E123">
        <v>147224</v>
      </c>
      <c r="F123" t="s">
        <v>575</v>
      </c>
      <c r="G123" t="s">
        <v>576</v>
      </c>
      <c r="H123" t="s">
        <v>577</v>
      </c>
      <c r="I123" t="s">
        <v>576</v>
      </c>
      <c r="L123" t="b">
        <v>0</v>
      </c>
      <c r="M123" t="s">
        <v>112</v>
      </c>
      <c r="N123" t="s">
        <v>32</v>
      </c>
      <c r="O123" t="s">
        <v>32</v>
      </c>
      <c r="P123" t="s">
        <v>33</v>
      </c>
      <c r="Q123">
        <v>1</v>
      </c>
      <c r="R123">
        <v>3</v>
      </c>
      <c r="S123">
        <v>92.756600000000006</v>
      </c>
      <c r="T123">
        <v>133340</v>
      </c>
      <c r="U123">
        <v>200000</v>
      </c>
      <c r="V123">
        <v>0.66669999999999996</v>
      </c>
      <c r="W123">
        <v>0</v>
      </c>
      <c r="X123">
        <v>123681.65</v>
      </c>
      <c r="Y123">
        <v>123681.65</v>
      </c>
    </row>
    <row r="124" spans="1:25" x14ac:dyDescent="0.25">
      <c r="A124">
        <v>16</v>
      </c>
      <c r="B124" t="s">
        <v>578</v>
      </c>
      <c r="C124" t="s">
        <v>32</v>
      </c>
      <c r="D124" t="s">
        <v>194</v>
      </c>
      <c r="E124">
        <v>465</v>
      </c>
      <c r="F124" t="s">
        <v>195</v>
      </c>
      <c r="G124" t="s">
        <v>196</v>
      </c>
      <c r="H124" t="s">
        <v>193</v>
      </c>
      <c r="I124" t="s">
        <v>196</v>
      </c>
      <c r="L124" t="b">
        <v>0</v>
      </c>
      <c r="M124" t="s">
        <v>44</v>
      </c>
      <c r="N124" t="s">
        <v>180</v>
      </c>
      <c r="P124" t="s">
        <v>579</v>
      </c>
      <c r="Q124">
        <v>1</v>
      </c>
      <c r="R124">
        <v>3</v>
      </c>
      <c r="S124">
        <v>89.921999999999997</v>
      </c>
      <c r="T124">
        <v>10000</v>
      </c>
      <c r="U124">
        <v>10000</v>
      </c>
      <c r="V124">
        <v>1</v>
      </c>
      <c r="W124">
        <v>5962.2</v>
      </c>
      <c r="X124">
        <v>518503.57</v>
      </c>
      <c r="Y124">
        <v>524465.77</v>
      </c>
    </row>
    <row r="125" spans="1:25" x14ac:dyDescent="0.25">
      <c r="A125">
        <v>17</v>
      </c>
      <c r="B125" t="s">
        <v>124</v>
      </c>
      <c r="C125" t="s">
        <v>32</v>
      </c>
      <c r="D125" t="s">
        <v>580</v>
      </c>
      <c r="E125">
        <v>222557</v>
      </c>
      <c r="F125" t="s">
        <v>581</v>
      </c>
      <c r="G125" t="s">
        <v>582</v>
      </c>
      <c r="H125" t="s">
        <v>583</v>
      </c>
      <c r="I125" t="s">
        <v>584</v>
      </c>
      <c r="J125" t="s">
        <v>581</v>
      </c>
      <c r="K125" t="s">
        <v>585</v>
      </c>
      <c r="L125" t="b">
        <v>1</v>
      </c>
      <c r="M125" t="s">
        <v>81</v>
      </c>
      <c r="N125" t="s">
        <v>32</v>
      </c>
      <c r="O125" t="s">
        <v>129</v>
      </c>
      <c r="P125" t="s">
        <v>33</v>
      </c>
      <c r="Q125">
        <v>1</v>
      </c>
      <c r="R125">
        <v>3</v>
      </c>
      <c r="S125">
        <v>101.91743750000001</v>
      </c>
      <c r="T125">
        <v>5000000</v>
      </c>
      <c r="U125">
        <v>5000000</v>
      </c>
      <c r="V125">
        <v>1</v>
      </c>
      <c r="W125">
        <v>38750</v>
      </c>
      <c r="X125">
        <v>5095871.8899999997</v>
      </c>
      <c r="Y125">
        <v>5134621.8899999997</v>
      </c>
    </row>
    <row r="126" spans="1:25" x14ac:dyDescent="0.25">
      <c r="A126">
        <v>17</v>
      </c>
      <c r="B126" t="s">
        <v>124</v>
      </c>
      <c r="C126" t="s">
        <v>32</v>
      </c>
      <c r="D126" t="s">
        <v>586</v>
      </c>
      <c r="E126">
        <v>1944</v>
      </c>
      <c r="F126" t="s">
        <v>587</v>
      </c>
      <c r="G126" t="s">
        <v>588</v>
      </c>
      <c r="H126" t="s">
        <v>589</v>
      </c>
      <c r="I126" t="s">
        <v>590</v>
      </c>
      <c r="L126" t="b">
        <v>1</v>
      </c>
      <c r="M126" t="s">
        <v>31</v>
      </c>
      <c r="N126" t="s">
        <v>32</v>
      </c>
      <c r="O126" t="s">
        <v>358</v>
      </c>
      <c r="P126" t="s">
        <v>33</v>
      </c>
      <c r="Q126">
        <v>1</v>
      </c>
      <c r="R126">
        <v>3</v>
      </c>
      <c r="S126">
        <v>101.316</v>
      </c>
      <c r="T126">
        <v>2476589</v>
      </c>
      <c r="U126">
        <v>4000000</v>
      </c>
      <c r="V126">
        <v>0.61909999999999998</v>
      </c>
      <c r="W126">
        <v>15478.68</v>
      </c>
      <c r="X126">
        <v>2509180.91</v>
      </c>
      <c r="Y126">
        <v>2524659.59</v>
      </c>
    </row>
    <row r="127" spans="1:25" x14ac:dyDescent="0.25">
      <c r="A127">
        <v>17</v>
      </c>
      <c r="B127" t="s">
        <v>124</v>
      </c>
      <c r="C127" t="s">
        <v>32</v>
      </c>
      <c r="D127" t="s">
        <v>591</v>
      </c>
      <c r="E127">
        <v>114867</v>
      </c>
      <c r="F127" t="s">
        <v>592</v>
      </c>
      <c r="G127" t="s">
        <v>593</v>
      </c>
      <c r="H127" t="s">
        <v>594</v>
      </c>
      <c r="I127" t="s">
        <v>595</v>
      </c>
      <c r="J127" t="s">
        <v>592</v>
      </c>
      <c r="K127" t="s">
        <v>596</v>
      </c>
      <c r="L127" t="b">
        <v>1</v>
      </c>
      <c r="M127" t="s">
        <v>31</v>
      </c>
      <c r="N127" t="s">
        <v>32</v>
      </c>
      <c r="O127" t="s">
        <v>358</v>
      </c>
      <c r="P127" t="s">
        <v>33</v>
      </c>
      <c r="Q127">
        <v>1</v>
      </c>
      <c r="R127">
        <v>3</v>
      </c>
      <c r="S127">
        <v>100.744</v>
      </c>
      <c r="T127">
        <v>8268490</v>
      </c>
      <c r="U127">
        <v>8268490</v>
      </c>
      <c r="V127">
        <v>1</v>
      </c>
      <c r="W127">
        <v>62013.68</v>
      </c>
      <c r="X127">
        <v>8330007.5700000012</v>
      </c>
      <c r="Y127">
        <v>8392021.2500000019</v>
      </c>
    </row>
    <row r="128" spans="1:25" x14ac:dyDescent="0.25">
      <c r="A128">
        <v>17</v>
      </c>
      <c r="B128" t="s">
        <v>124</v>
      </c>
      <c r="C128" t="s">
        <v>32</v>
      </c>
      <c r="D128" t="s">
        <v>75</v>
      </c>
      <c r="E128">
        <v>147061</v>
      </c>
      <c r="F128" t="s">
        <v>76</v>
      </c>
      <c r="G128" t="s">
        <v>77</v>
      </c>
      <c r="H128" t="s">
        <v>78</v>
      </c>
      <c r="I128" t="s">
        <v>79</v>
      </c>
      <c r="J128" t="s">
        <v>76</v>
      </c>
      <c r="K128" t="s">
        <v>80</v>
      </c>
      <c r="L128" t="b">
        <v>1</v>
      </c>
      <c r="M128" t="s">
        <v>81</v>
      </c>
      <c r="N128" t="s">
        <v>32</v>
      </c>
      <c r="O128" t="s">
        <v>129</v>
      </c>
      <c r="P128" t="s">
        <v>33</v>
      </c>
      <c r="Q128">
        <v>1</v>
      </c>
      <c r="R128">
        <v>3</v>
      </c>
      <c r="S128">
        <v>102.93594</v>
      </c>
      <c r="T128">
        <v>5300000</v>
      </c>
      <c r="U128">
        <v>5300000</v>
      </c>
      <c r="V128">
        <v>1</v>
      </c>
      <c r="W128">
        <v>151749.31</v>
      </c>
      <c r="X128">
        <v>5455604.8200000003</v>
      </c>
      <c r="Y128">
        <v>5607354.1299999999</v>
      </c>
    </row>
    <row r="129" spans="1:25" x14ac:dyDescent="0.25">
      <c r="A129">
        <v>17</v>
      </c>
      <c r="B129" t="s">
        <v>124</v>
      </c>
      <c r="C129" t="s">
        <v>32</v>
      </c>
      <c r="D129" t="s">
        <v>597</v>
      </c>
      <c r="E129">
        <v>137747</v>
      </c>
      <c r="F129" t="s">
        <v>598</v>
      </c>
      <c r="G129" t="s">
        <v>599</v>
      </c>
      <c r="H129" t="s">
        <v>600</v>
      </c>
      <c r="I129" t="s">
        <v>601</v>
      </c>
      <c r="L129" t="b">
        <v>1</v>
      </c>
      <c r="M129" t="s">
        <v>31</v>
      </c>
      <c r="N129" t="s">
        <v>32</v>
      </c>
      <c r="O129" t="s">
        <v>358</v>
      </c>
      <c r="P129" t="s">
        <v>33</v>
      </c>
      <c r="Q129">
        <v>1</v>
      </c>
      <c r="R129">
        <v>3</v>
      </c>
      <c r="S129">
        <v>110.15</v>
      </c>
      <c r="T129">
        <v>4885091</v>
      </c>
      <c r="U129">
        <v>5088000</v>
      </c>
      <c r="V129">
        <v>0.96009999999999995</v>
      </c>
      <c r="W129">
        <v>0</v>
      </c>
      <c r="X129">
        <v>5380927.7400000002</v>
      </c>
      <c r="Y129">
        <v>5380927.7400000002</v>
      </c>
    </row>
    <row r="130" spans="1:25" x14ac:dyDescent="0.25">
      <c r="A130">
        <v>17</v>
      </c>
      <c r="B130" t="s">
        <v>124</v>
      </c>
      <c r="C130" t="s">
        <v>32</v>
      </c>
      <c r="D130" t="s">
        <v>602</v>
      </c>
      <c r="E130">
        <v>173055</v>
      </c>
      <c r="F130" t="s">
        <v>603</v>
      </c>
      <c r="G130" t="s">
        <v>604</v>
      </c>
      <c r="H130" t="s">
        <v>605</v>
      </c>
      <c r="I130" t="s">
        <v>604</v>
      </c>
      <c r="L130" t="b">
        <v>0</v>
      </c>
      <c r="M130" t="s">
        <v>112</v>
      </c>
      <c r="N130" t="s">
        <v>32</v>
      </c>
      <c r="O130" t="s">
        <v>32</v>
      </c>
      <c r="P130" t="s">
        <v>33</v>
      </c>
      <c r="Q130">
        <v>1</v>
      </c>
      <c r="R130">
        <v>2</v>
      </c>
      <c r="S130">
        <v>99.183999999999997</v>
      </c>
      <c r="T130">
        <v>500000</v>
      </c>
      <c r="U130">
        <v>500000</v>
      </c>
      <c r="V130">
        <v>1</v>
      </c>
      <c r="W130">
        <v>0</v>
      </c>
      <c r="X130">
        <v>495920</v>
      </c>
      <c r="Y130">
        <v>495920</v>
      </c>
    </row>
    <row r="131" spans="1:25" x14ac:dyDescent="0.25">
      <c r="A131">
        <v>17</v>
      </c>
      <c r="B131" t="s">
        <v>124</v>
      </c>
      <c r="C131" t="s">
        <v>32</v>
      </c>
      <c r="D131" t="s">
        <v>606</v>
      </c>
      <c r="E131">
        <v>201936</v>
      </c>
      <c r="F131" t="s">
        <v>607</v>
      </c>
      <c r="G131" t="s">
        <v>608</v>
      </c>
      <c r="H131" t="s">
        <v>609</v>
      </c>
      <c r="I131" t="s">
        <v>608</v>
      </c>
      <c r="L131" t="b">
        <v>0</v>
      </c>
      <c r="M131" t="s">
        <v>39</v>
      </c>
      <c r="N131" t="s">
        <v>610</v>
      </c>
      <c r="P131" t="s">
        <v>33</v>
      </c>
      <c r="Q131">
        <v>1</v>
      </c>
      <c r="R131">
        <v>3</v>
      </c>
      <c r="S131">
        <v>100</v>
      </c>
      <c r="T131">
        <v>26555600</v>
      </c>
      <c r="U131">
        <v>84250000</v>
      </c>
      <c r="V131">
        <v>0.31519999999999998</v>
      </c>
      <c r="W131">
        <v>2683.26</v>
      </c>
      <c r="X131">
        <v>659520.67999999993</v>
      </c>
      <c r="Y131">
        <v>662203.93999999994</v>
      </c>
    </row>
    <row r="132" spans="1:25" x14ac:dyDescent="0.25">
      <c r="A132">
        <v>17</v>
      </c>
      <c r="B132" t="s">
        <v>124</v>
      </c>
      <c r="C132" t="s">
        <v>32</v>
      </c>
      <c r="D132" t="s">
        <v>611</v>
      </c>
      <c r="E132">
        <v>481</v>
      </c>
      <c r="F132" t="s">
        <v>612</v>
      </c>
      <c r="G132" t="s">
        <v>613</v>
      </c>
      <c r="H132" t="s">
        <v>111</v>
      </c>
      <c r="I132" t="s">
        <v>613</v>
      </c>
      <c r="L132" t="b">
        <v>0</v>
      </c>
      <c r="M132" t="s">
        <v>112</v>
      </c>
      <c r="N132" t="s">
        <v>490</v>
      </c>
      <c r="P132" t="s">
        <v>33</v>
      </c>
      <c r="Q132">
        <v>1</v>
      </c>
      <c r="R132">
        <v>3</v>
      </c>
      <c r="S132">
        <v>11.364000000000001</v>
      </c>
      <c r="T132">
        <v>556000000</v>
      </c>
      <c r="U132">
        <v>556000000</v>
      </c>
      <c r="V132">
        <v>1</v>
      </c>
      <c r="W132">
        <v>0</v>
      </c>
      <c r="X132">
        <v>40050.760000000009</v>
      </c>
      <c r="Y132">
        <v>40050.760000000009</v>
      </c>
    </row>
    <row r="133" spans="1:25" x14ac:dyDescent="0.25">
      <c r="A133">
        <v>17</v>
      </c>
      <c r="B133" t="s">
        <v>124</v>
      </c>
      <c r="C133" t="s">
        <v>32</v>
      </c>
      <c r="D133" t="s">
        <v>614</v>
      </c>
      <c r="E133">
        <v>173056</v>
      </c>
      <c r="F133" t="s">
        <v>615</v>
      </c>
      <c r="G133" t="s">
        <v>616</v>
      </c>
      <c r="H133" t="s">
        <v>111</v>
      </c>
      <c r="I133" t="s">
        <v>616</v>
      </c>
      <c r="L133" t="b">
        <v>0</v>
      </c>
      <c r="M133" t="s">
        <v>112</v>
      </c>
      <c r="N133" t="s">
        <v>490</v>
      </c>
      <c r="P133" t="s">
        <v>33</v>
      </c>
      <c r="Q133">
        <v>1</v>
      </c>
      <c r="R133">
        <v>3</v>
      </c>
      <c r="S133">
        <v>217.44800000000001</v>
      </c>
      <c r="T133">
        <v>500000000</v>
      </c>
      <c r="U133">
        <v>500000000</v>
      </c>
      <c r="V133">
        <v>1</v>
      </c>
      <c r="W133">
        <v>0</v>
      </c>
      <c r="X133">
        <v>689176</v>
      </c>
      <c r="Y133">
        <v>689176</v>
      </c>
    </row>
    <row r="134" spans="1:25" x14ac:dyDescent="0.25">
      <c r="A134">
        <v>17</v>
      </c>
      <c r="B134" t="s">
        <v>124</v>
      </c>
      <c r="C134" t="s">
        <v>32</v>
      </c>
      <c r="D134" t="s">
        <v>617</v>
      </c>
      <c r="E134">
        <v>208993</v>
      </c>
      <c r="F134" t="s">
        <v>618</v>
      </c>
      <c r="G134" t="s">
        <v>619</v>
      </c>
      <c r="H134" t="s">
        <v>111</v>
      </c>
      <c r="I134" t="s">
        <v>619</v>
      </c>
      <c r="L134" t="b">
        <v>0</v>
      </c>
      <c r="M134" t="s">
        <v>112</v>
      </c>
      <c r="N134" t="s">
        <v>490</v>
      </c>
      <c r="P134" t="s">
        <v>33</v>
      </c>
      <c r="Q134">
        <v>1</v>
      </c>
      <c r="R134">
        <v>3</v>
      </c>
      <c r="S134">
        <v>346.322</v>
      </c>
      <c r="T134">
        <v>1000000000</v>
      </c>
      <c r="U134">
        <v>1000000000</v>
      </c>
      <c r="V134">
        <v>1</v>
      </c>
      <c r="W134">
        <v>0</v>
      </c>
      <c r="X134">
        <v>2195254.12</v>
      </c>
      <c r="Y134">
        <v>2195254.12</v>
      </c>
    </row>
    <row r="135" spans="1:25" x14ac:dyDescent="0.25">
      <c r="A135">
        <v>17</v>
      </c>
      <c r="B135" t="s">
        <v>124</v>
      </c>
      <c r="C135" t="s">
        <v>32</v>
      </c>
      <c r="D135" t="s">
        <v>620</v>
      </c>
      <c r="E135">
        <v>220236</v>
      </c>
      <c r="F135" t="s">
        <v>621</v>
      </c>
      <c r="G135" t="s">
        <v>622</v>
      </c>
      <c r="H135" t="s">
        <v>111</v>
      </c>
      <c r="I135" t="s">
        <v>622</v>
      </c>
      <c r="L135" t="b">
        <v>0</v>
      </c>
      <c r="M135" t="s">
        <v>112</v>
      </c>
      <c r="N135" t="s">
        <v>490</v>
      </c>
      <c r="P135" t="s">
        <v>33</v>
      </c>
      <c r="Q135">
        <v>1</v>
      </c>
      <c r="R135">
        <v>3</v>
      </c>
      <c r="S135">
        <v>94.063000000000002</v>
      </c>
      <c r="T135">
        <v>6298000000</v>
      </c>
      <c r="U135">
        <v>6298000000</v>
      </c>
      <c r="V135">
        <v>1</v>
      </c>
      <c r="W135">
        <v>0</v>
      </c>
      <c r="X135">
        <v>3755140.6</v>
      </c>
      <c r="Y135">
        <v>3755140.6</v>
      </c>
    </row>
    <row r="136" spans="1:25" x14ac:dyDescent="0.25">
      <c r="A136">
        <v>17</v>
      </c>
      <c r="B136" t="s">
        <v>124</v>
      </c>
      <c r="C136" t="s">
        <v>32</v>
      </c>
      <c r="D136" t="s">
        <v>623</v>
      </c>
      <c r="E136">
        <v>172044</v>
      </c>
      <c r="F136" t="s">
        <v>624</v>
      </c>
      <c r="G136" t="s">
        <v>625</v>
      </c>
      <c r="H136" t="s">
        <v>111</v>
      </c>
      <c r="I136" t="s">
        <v>625</v>
      </c>
      <c r="L136" t="b">
        <v>0</v>
      </c>
      <c r="M136" t="s">
        <v>112</v>
      </c>
      <c r="N136" t="s">
        <v>490</v>
      </c>
      <c r="P136" t="s">
        <v>33</v>
      </c>
      <c r="Q136">
        <v>1</v>
      </c>
      <c r="R136">
        <v>3</v>
      </c>
      <c r="S136">
        <v>167.48599999999999</v>
      </c>
      <c r="T136">
        <v>380000000</v>
      </c>
      <c r="U136">
        <v>380000000</v>
      </c>
      <c r="V136">
        <v>1</v>
      </c>
      <c r="W136">
        <v>0</v>
      </c>
      <c r="X136">
        <v>403428.73</v>
      </c>
      <c r="Y136">
        <v>403428.73</v>
      </c>
    </row>
    <row r="137" spans="1:25" x14ac:dyDescent="0.25">
      <c r="A137">
        <v>17</v>
      </c>
      <c r="B137" t="s">
        <v>124</v>
      </c>
      <c r="C137" t="s">
        <v>32</v>
      </c>
      <c r="D137" t="s">
        <v>626</v>
      </c>
      <c r="E137">
        <v>172244</v>
      </c>
      <c r="F137" t="s">
        <v>627</v>
      </c>
      <c r="G137" t="s">
        <v>628</v>
      </c>
      <c r="H137" t="s">
        <v>111</v>
      </c>
      <c r="I137" t="s">
        <v>628</v>
      </c>
      <c r="L137" t="b">
        <v>0</v>
      </c>
      <c r="M137" t="s">
        <v>112</v>
      </c>
      <c r="N137" t="s">
        <v>490</v>
      </c>
      <c r="P137" t="s">
        <v>33</v>
      </c>
      <c r="Q137">
        <v>1</v>
      </c>
      <c r="R137">
        <v>3</v>
      </c>
      <c r="S137">
        <v>270.7916666667</v>
      </c>
      <c r="T137">
        <v>1300000000</v>
      </c>
      <c r="U137">
        <v>1300000000</v>
      </c>
      <c r="V137">
        <v>1</v>
      </c>
      <c r="W137">
        <v>0</v>
      </c>
      <c r="X137">
        <v>2231430.52</v>
      </c>
      <c r="Y137">
        <v>2231430.52</v>
      </c>
    </row>
    <row r="138" spans="1:25" x14ac:dyDescent="0.25">
      <c r="A138">
        <v>17</v>
      </c>
      <c r="B138" t="s">
        <v>124</v>
      </c>
      <c r="C138" t="s">
        <v>32</v>
      </c>
      <c r="D138" t="s">
        <v>629</v>
      </c>
      <c r="E138">
        <v>218074</v>
      </c>
      <c r="F138" t="s">
        <v>630</v>
      </c>
      <c r="G138" t="s">
        <v>631</v>
      </c>
      <c r="H138" t="s">
        <v>111</v>
      </c>
      <c r="I138" t="s">
        <v>631</v>
      </c>
      <c r="L138" t="b">
        <v>0</v>
      </c>
      <c r="M138" t="s">
        <v>112</v>
      </c>
      <c r="N138" t="s">
        <v>490</v>
      </c>
      <c r="P138" t="s">
        <v>33</v>
      </c>
      <c r="Q138">
        <v>1</v>
      </c>
      <c r="R138">
        <v>3</v>
      </c>
      <c r="S138">
        <v>90.438999999999993</v>
      </c>
      <c r="T138">
        <v>8223000000</v>
      </c>
      <c r="U138">
        <v>8223000000</v>
      </c>
      <c r="V138">
        <v>1</v>
      </c>
      <c r="W138">
        <v>0</v>
      </c>
      <c r="X138">
        <v>4714012.8599999994</v>
      </c>
      <c r="Y138">
        <v>4714012.8599999994</v>
      </c>
    </row>
    <row r="139" spans="1:25" x14ac:dyDescent="0.25">
      <c r="A139">
        <v>17</v>
      </c>
      <c r="B139" t="s">
        <v>124</v>
      </c>
      <c r="C139" t="s">
        <v>32</v>
      </c>
      <c r="D139" t="s">
        <v>632</v>
      </c>
      <c r="E139">
        <v>173541</v>
      </c>
      <c r="F139" t="s">
        <v>633</v>
      </c>
      <c r="G139" t="s">
        <v>634</v>
      </c>
      <c r="H139" t="s">
        <v>111</v>
      </c>
      <c r="I139" t="s">
        <v>634</v>
      </c>
      <c r="L139" t="b">
        <v>0</v>
      </c>
      <c r="M139" t="s">
        <v>112</v>
      </c>
      <c r="N139" t="s">
        <v>490</v>
      </c>
      <c r="P139" t="s">
        <v>33</v>
      </c>
      <c r="Q139">
        <v>1</v>
      </c>
      <c r="R139">
        <v>3</v>
      </c>
      <c r="S139">
        <v>112.80200000000001</v>
      </c>
      <c r="T139">
        <v>18495000000</v>
      </c>
      <c r="U139">
        <v>18495000000</v>
      </c>
      <c r="V139">
        <v>1</v>
      </c>
      <c r="W139">
        <v>0</v>
      </c>
      <c r="X139">
        <v>13224396.310000001</v>
      </c>
      <c r="Y139">
        <v>13224396.310000001</v>
      </c>
    </row>
    <row r="140" spans="1:25" x14ac:dyDescent="0.25">
      <c r="A140">
        <v>17</v>
      </c>
      <c r="B140" t="s">
        <v>124</v>
      </c>
      <c r="C140" t="s">
        <v>32</v>
      </c>
      <c r="D140" t="s">
        <v>635</v>
      </c>
      <c r="E140">
        <v>638</v>
      </c>
      <c r="F140" t="s">
        <v>636</v>
      </c>
      <c r="G140" t="s">
        <v>637</v>
      </c>
      <c r="H140" t="s">
        <v>638</v>
      </c>
      <c r="I140" t="s">
        <v>637</v>
      </c>
      <c r="L140" t="b">
        <v>0</v>
      </c>
      <c r="M140" t="s">
        <v>31</v>
      </c>
      <c r="N140" t="s">
        <v>358</v>
      </c>
      <c r="P140" t="s">
        <v>33</v>
      </c>
      <c r="Q140">
        <v>1</v>
      </c>
      <c r="R140">
        <v>3</v>
      </c>
      <c r="S140">
        <v>994.83845799999995</v>
      </c>
      <c r="T140">
        <v>16500</v>
      </c>
      <c r="U140">
        <v>16500</v>
      </c>
      <c r="V140">
        <v>1</v>
      </c>
      <c r="W140">
        <v>0</v>
      </c>
      <c r="X140">
        <v>3235789.11</v>
      </c>
      <c r="Y140">
        <v>3235789.11</v>
      </c>
    </row>
    <row r="141" spans="1:25" x14ac:dyDescent="0.25">
      <c r="A141">
        <v>17</v>
      </c>
      <c r="B141" t="s">
        <v>124</v>
      </c>
      <c r="C141" t="s">
        <v>32</v>
      </c>
      <c r="D141" t="s">
        <v>639</v>
      </c>
      <c r="E141">
        <v>639</v>
      </c>
      <c r="F141" t="s">
        <v>640</v>
      </c>
      <c r="G141" t="s">
        <v>641</v>
      </c>
      <c r="H141" t="s">
        <v>638</v>
      </c>
      <c r="I141" t="s">
        <v>641</v>
      </c>
      <c r="L141" t="b">
        <v>0</v>
      </c>
      <c r="M141" t="s">
        <v>31</v>
      </c>
      <c r="N141" t="s">
        <v>358</v>
      </c>
      <c r="P141" t="s">
        <v>33</v>
      </c>
      <c r="Q141">
        <v>1</v>
      </c>
      <c r="R141">
        <v>3</v>
      </c>
      <c r="S141">
        <v>934.15834800000005</v>
      </c>
      <c r="T141">
        <v>9000</v>
      </c>
      <c r="U141">
        <v>9000</v>
      </c>
      <c r="V141">
        <v>1</v>
      </c>
      <c r="W141">
        <v>0</v>
      </c>
      <c r="X141">
        <v>1657321.29</v>
      </c>
      <c r="Y141">
        <v>1657321.29</v>
      </c>
    </row>
    <row r="142" spans="1:25" x14ac:dyDescent="0.25">
      <c r="A142">
        <v>17</v>
      </c>
      <c r="B142" t="s">
        <v>124</v>
      </c>
      <c r="C142" t="s">
        <v>32</v>
      </c>
      <c r="D142" t="s">
        <v>642</v>
      </c>
      <c r="E142">
        <v>2057</v>
      </c>
      <c r="F142" t="s">
        <v>643</v>
      </c>
      <c r="G142" t="s">
        <v>644</v>
      </c>
      <c r="H142" t="s">
        <v>638</v>
      </c>
      <c r="I142" t="s">
        <v>644</v>
      </c>
      <c r="L142" t="b">
        <v>0</v>
      </c>
      <c r="M142" t="s">
        <v>31</v>
      </c>
      <c r="N142" t="s">
        <v>358</v>
      </c>
      <c r="P142" t="s">
        <v>33</v>
      </c>
      <c r="Q142">
        <v>1</v>
      </c>
      <c r="R142">
        <v>3</v>
      </c>
      <c r="S142">
        <v>876.62079100000005</v>
      </c>
      <c r="T142">
        <v>36000</v>
      </c>
      <c r="U142">
        <v>36000</v>
      </c>
      <c r="V142">
        <v>1</v>
      </c>
      <c r="W142">
        <v>0</v>
      </c>
      <c r="X142">
        <v>6220967.9899999984</v>
      </c>
      <c r="Y142">
        <v>6220967.9899999984</v>
      </c>
    </row>
    <row r="143" spans="1:25" x14ac:dyDescent="0.25">
      <c r="A143">
        <v>17</v>
      </c>
      <c r="B143" t="s">
        <v>124</v>
      </c>
      <c r="C143" t="s">
        <v>32</v>
      </c>
      <c r="D143" t="s">
        <v>645</v>
      </c>
      <c r="E143">
        <v>49827</v>
      </c>
      <c r="F143" t="s">
        <v>646</v>
      </c>
      <c r="G143" t="s">
        <v>647</v>
      </c>
      <c r="H143" t="s">
        <v>638</v>
      </c>
      <c r="I143" t="s">
        <v>647</v>
      </c>
      <c r="L143" t="b">
        <v>0</v>
      </c>
      <c r="M143" t="s">
        <v>31</v>
      </c>
      <c r="N143" t="s">
        <v>358</v>
      </c>
      <c r="P143" t="s">
        <v>33</v>
      </c>
      <c r="Q143">
        <v>1</v>
      </c>
      <c r="R143">
        <v>3</v>
      </c>
      <c r="S143">
        <v>829.79302199999995</v>
      </c>
      <c r="T143">
        <v>175000</v>
      </c>
      <c r="U143">
        <v>175000</v>
      </c>
      <c r="V143">
        <v>1</v>
      </c>
      <c r="W143">
        <v>0</v>
      </c>
      <c r="X143">
        <v>28625397.489999991</v>
      </c>
      <c r="Y143">
        <v>28625397.489999991</v>
      </c>
    </row>
    <row r="144" spans="1:25" x14ac:dyDescent="0.25">
      <c r="A144">
        <v>17</v>
      </c>
      <c r="B144" t="s">
        <v>124</v>
      </c>
      <c r="C144" t="s">
        <v>32</v>
      </c>
      <c r="D144" t="s">
        <v>648</v>
      </c>
      <c r="E144">
        <v>120786</v>
      </c>
      <c r="F144" t="s">
        <v>649</v>
      </c>
      <c r="G144" t="s">
        <v>650</v>
      </c>
      <c r="H144" t="s">
        <v>638</v>
      </c>
      <c r="I144" t="s">
        <v>650</v>
      </c>
      <c r="L144" t="b">
        <v>0</v>
      </c>
      <c r="M144" t="s">
        <v>31</v>
      </c>
      <c r="N144" t="s">
        <v>358</v>
      </c>
      <c r="P144" t="s">
        <v>33</v>
      </c>
      <c r="Q144">
        <v>1</v>
      </c>
      <c r="R144">
        <v>3</v>
      </c>
      <c r="S144">
        <v>796.45237699999996</v>
      </c>
      <c r="T144">
        <v>348000</v>
      </c>
      <c r="U144">
        <v>348000</v>
      </c>
      <c r="V144">
        <v>1</v>
      </c>
      <c r="W144">
        <v>0</v>
      </c>
      <c r="X144">
        <v>54636485.499999993</v>
      </c>
      <c r="Y144">
        <v>54636485.499999993</v>
      </c>
    </row>
    <row r="145" spans="1:25" x14ac:dyDescent="0.25">
      <c r="A145">
        <v>17</v>
      </c>
      <c r="B145" t="s">
        <v>124</v>
      </c>
      <c r="C145" t="s">
        <v>32</v>
      </c>
      <c r="D145" t="s">
        <v>651</v>
      </c>
      <c r="E145">
        <v>202367</v>
      </c>
      <c r="F145" t="s">
        <v>652</v>
      </c>
      <c r="G145" t="s">
        <v>653</v>
      </c>
      <c r="H145" t="s">
        <v>638</v>
      </c>
      <c r="I145" t="s">
        <v>653</v>
      </c>
      <c r="L145" t="b">
        <v>0</v>
      </c>
      <c r="M145" t="s">
        <v>31</v>
      </c>
      <c r="N145" t="s">
        <v>358</v>
      </c>
      <c r="P145" t="s">
        <v>33</v>
      </c>
      <c r="Q145">
        <v>1</v>
      </c>
      <c r="R145">
        <v>3</v>
      </c>
      <c r="S145">
        <v>771.78364299999998</v>
      </c>
      <c r="T145">
        <v>583000</v>
      </c>
      <c r="U145">
        <v>583000</v>
      </c>
      <c r="V145">
        <v>1</v>
      </c>
      <c r="W145">
        <v>0</v>
      </c>
      <c r="X145">
        <v>88696773.839999929</v>
      </c>
      <c r="Y145">
        <v>88696773.839999929</v>
      </c>
    </row>
    <row r="146" spans="1:25" x14ac:dyDescent="0.25">
      <c r="A146">
        <v>17</v>
      </c>
      <c r="B146" t="s">
        <v>124</v>
      </c>
      <c r="C146" t="s">
        <v>32</v>
      </c>
      <c r="D146" t="s">
        <v>654</v>
      </c>
      <c r="E146">
        <v>192588</v>
      </c>
      <c r="F146" t="s">
        <v>655</v>
      </c>
      <c r="G146" t="s">
        <v>656</v>
      </c>
      <c r="H146" t="s">
        <v>657</v>
      </c>
      <c r="I146" t="s">
        <v>658</v>
      </c>
      <c r="L146" t="b">
        <v>1</v>
      </c>
      <c r="M146" t="s">
        <v>81</v>
      </c>
      <c r="N146" t="s">
        <v>129</v>
      </c>
      <c r="P146" t="s">
        <v>33</v>
      </c>
      <c r="Q146">
        <v>1</v>
      </c>
      <c r="R146">
        <v>3</v>
      </c>
      <c r="S146">
        <v>100.46</v>
      </c>
      <c r="T146">
        <v>28832000000</v>
      </c>
      <c r="U146">
        <v>28832000000</v>
      </c>
      <c r="V146">
        <v>1</v>
      </c>
      <c r="W146">
        <v>882387.14</v>
      </c>
      <c r="X146">
        <v>9187594.6699999999</v>
      </c>
      <c r="Y146">
        <v>10069981.810000001</v>
      </c>
    </row>
    <row r="147" spans="1:25" x14ac:dyDescent="0.25">
      <c r="A147">
        <v>17</v>
      </c>
      <c r="B147" t="s">
        <v>124</v>
      </c>
      <c r="C147" t="s">
        <v>32</v>
      </c>
      <c r="D147" t="s">
        <v>659</v>
      </c>
      <c r="E147">
        <v>3307</v>
      </c>
      <c r="F147" t="s">
        <v>660</v>
      </c>
      <c r="G147" t="s">
        <v>661</v>
      </c>
      <c r="H147" t="s">
        <v>657</v>
      </c>
      <c r="I147" t="s">
        <v>662</v>
      </c>
      <c r="L147" t="b">
        <v>1</v>
      </c>
      <c r="M147" t="s">
        <v>81</v>
      </c>
      <c r="N147" t="s">
        <v>129</v>
      </c>
      <c r="P147" t="s">
        <v>33</v>
      </c>
      <c r="Q147">
        <v>1</v>
      </c>
      <c r="R147">
        <v>3</v>
      </c>
      <c r="S147">
        <v>94.518500000000003</v>
      </c>
      <c r="T147">
        <v>4666666669</v>
      </c>
      <c r="U147">
        <v>7000000000</v>
      </c>
      <c r="V147">
        <v>0.66669999999999996</v>
      </c>
      <c r="W147">
        <v>1977.07</v>
      </c>
      <c r="X147">
        <v>1399128.12</v>
      </c>
      <c r="Y147">
        <v>1401105.19</v>
      </c>
    </row>
    <row r="148" spans="1:25" x14ac:dyDescent="0.25">
      <c r="A148">
        <v>17</v>
      </c>
      <c r="B148" t="s">
        <v>124</v>
      </c>
      <c r="C148" t="s">
        <v>32</v>
      </c>
      <c r="D148" t="s">
        <v>663</v>
      </c>
      <c r="E148">
        <v>193869</v>
      </c>
      <c r="F148" t="s">
        <v>664</v>
      </c>
      <c r="G148" t="s">
        <v>665</v>
      </c>
      <c r="H148" t="s">
        <v>666</v>
      </c>
      <c r="I148" t="s">
        <v>665</v>
      </c>
      <c r="L148" t="b">
        <v>0</v>
      </c>
      <c r="M148" t="s">
        <v>81</v>
      </c>
      <c r="N148" t="s">
        <v>129</v>
      </c>
      <c r="P148" t="s">
        <v>33</v>
      </c>
      <c r="Q148">
        <v>1</v>
      </c>
      <c r="R148">
        <v>3</v>
      </c>
      <c r="S148">
        <v>97.418462156700002</v>
      </c>
      <c r="T148">
        <v>16600000000</v>
      </c>
      <c r="U148">
        <v>16600000000</v>
      </c>
      <c r="V148">
        <v>1</v>
      </c>
      <c r="W148">
        <v>126701.18</v>
      </c>
      <c r="X148">
        <v>5129596.9399999985</v>
      </c>
      <c r="Y148">
        <v>5256298.1199999992</v>
      </c>
    </row>
    <row r="149" spans="1:25" x14ac:dyDescent="0.25">
      <c r="A149">
        <v>17</v>
      </c>
      <c r="B149" t="s">
        <v>124</v>
      </c>
      <c r="C149" t="s">
        <v>32</v>
      </c>
      <c r="D149" t="s">
        <v>667</v>
      </c>
      <c r="E149">
        <v>44428</v>
      </c>
      <c r="F149" t="s">
        <v>668</v>
      </c>
      <c r="G149" t="s">
        <v>669</v>
      </c>
      <c r="H149" t="s">
        <v>666</v>
      </c>
      <c r="I149" t="s">
        <v>669</v>
      </c>
      <c r="L149" t="b">
        <v>0</v>
      </c>
      <c r="M149" t="s">
        <v>81</v>
      </c>
      <c r="N149" t="s">
        <v>129</v>
      </c>
      <c r="P149" t="s">
        <v>33</v>
      </c>
      <c r="Q149">
        <v>1</v>
      </c>
      <c r="R149">
        <v>3</v>
      </c>
      <c r="S149">
        <v>81.804363962599993</v>
      </c>
      <c r="T149">
        <v>7000000000</v>
      </c>
      <c r="U149">
        <v>7000000000</v>
      </c>
      <c r="V149">
        <v>1</v>
      </c>
      <c r="W149">
        <v>54080.52</v>
      </c>
      <c r="X149">
        <v>1816387.05</v>
      </c>
      <c r="Y149">
        <v>1870467.57</v>
      </c>
    </row>
    <row r="150" spans="1:25" x14ac:dyDescent="0.25">
      <c r="A150">
        <v>17</v>
      </c>
      <c r="B150" t="s">
        <v>124</v>
      </c>
      <c r="C150" t="s">
        <v>32</v>
      </c>
      <c r="D150" t="s">
        <v>670</v>
      </c>
      <c r="E150">
        <v>44426</v>
      </c>
      <c r="F150" t="s">
        <v>671</v>
      </c>
      <c r="G150" t="s">
        <v>672</v>
      </c>
      <c r="H150" t="s">
        <v>666</v>
      </c>
      <c r="I150" t="s">
        <v>672</v>
      </c>
      <c r="L150" t="b">
        <v>0</v>
      </c>
      <c r="M150" t="s">
        <v>81</v>
      </c>
      <c r="N150" t="s">
        <v>129</v>
      </c>
      <c r="P150" t="s">
        <v>33</v>
      </c>
      <c r="Q150">
        <v>1</v>
      </c>
      <c r="R150">
        <v>3</v>
      </c>
      <c r="S150">
        <v>63.037074876699997</v>
      </c>
      <c r="T150">
        <v>265400000000</v>
      </c>
      <c r="U150">
        <v>265400000000</v>
      </c>
      <c r="V150">
        <v>1</v>
      </c>
      <c r="W150">
        <v>4648627.42</v>
      </c>
      <c r="X150">
        <v>53067772.020000003</v>
      </c>
      <c r="Y150">
        <v>57716399.439999998</v>
      </c>
    </row>
    <row r="151" spans="1:25" x14ac:dyDescent="0.25">
      <c r="A151">
        <v>17</v>
      </c>
      <c r="B151" t="s">
        <v>124</v>
      </c>
      <c r="C151" t="s">
        <v>32</v>
      </c>
      <c r="D151" t="s">
        <v>673</v>
      </c>
      <c r="E151">
        <v>44429</v>
      </c>
      <c r="F151" t="s">
        <v>674</v>
      </c>
      <c r="G151" t="s">
        <v>675</v>
      </c>
      <c r="H151" t="s">
        <v>666</v>
      </c>
      <c r="I151" t="s">
        <v>675</v>
      </c>
      <c r="L151" t="b">
        <v>0</v>
      </c>
      <c r="M151" t="s">
        <v>81</v>
      </c>
      <c r="N151" t="s">
        <v>129</v>
      </c>
      <c r="P151" t="s">
        <v>33</v>
      </c>
      <c r="Q151">
        <v>1</v>
      </c>
      <c r="R151">
        <v>3</v>
      </c>
      <c r="S151">
        <v>80.756350351500004</v>
      </c>
      <c r="T151">
        <v>15000000000</v>
      </c>
      <c r="U151">
        <v>15000000000</v>
      </c>
      <c r="V151">
        <v>1</v>
      </c>
      <c r="W151">
        <v>77170.98</v>
      </c>
      <c r="X151">
        <v>3842393.3900000011</v>
      </c>
      <c r="Y151">
        <v>3919564.370000001</v>
      </c>
    </row>
    <row r="152" spans="1:25" x14ac:dyDescent="0.25">
      <c r="A152">
        <v>17</v>
      </c>
      <c r="B152" t="s">
        <v>124</v>
      </c>
      <c r="C152" t="s">
        <v>32</v>
      </c>
      <c r="D152" t="s">
        <v>676</v>
      </c>
      <c r="E152">
        <v>165057</v>
      </c>
      <c r="F152" t="s">
        <v>677</v>
      </c>
      <c r="G152" t="s">
        <v>678</v>
      </c>
      <c r="H152" t="s">
        <v>679</v>
      </c>
      <c r="I152" t="s">
        <v>680</v>
      </c>
      <c r="L152" t="b">
        <v>1</v>
      </c>
      <c r="M152" t="s">
        <v>681</v>
      </c>
      <c r="N152" t="s">
        <v>682</v>
      </c>
      <c r="P152" t="s">
        <v>33</v>
      </c>
      <c r="Q152">
        <v>1</v>
      </c>
      <c r="R152">
        <v>3</v>
      </c>
      <c r="S152">
        <v>108.372625</v>
      </c>
      <c r="T152">
        <v>402000000</v>
      </c>
      <c r="U152">
        <v>402000000</v>
      </c>
      <c r="V152">
        <v>1</v>
      </c>
      <c r="W152">
        <v>269767</v>
      </c>
      <c r="X152">
        <v>7480262.2300000004</v>
      </c>
      <c r="Y152">
        <v>7750029.2300000004</v>
      </c>
    </row>
    <row r="153" spans="1:25" x14ac:dyDescent="0.25">
      <c r="A153">
        <v>17</v>
      </c>
      <c r="B153" t="s">
        <v>124</v>
      </c>
      <c r="C153" t="s">
        <v>32</v>
      </c>
      <c r="D153" t="s">
        <v>683</v>
      </c>
      <c r="E153">
        <v>53264</v>
      </c>
      <c r="F153" t="s">
        <v>684</v>
      </c>
      <c r="G153" t="s">
        <v>685</v>
      </c>
      <c r="H153" t="s">
        <v>686</v>
      </c>
      <c r="I153" t="s">
        <v>685</v>
      </c>
      <c r="L153" t="b">
        <v>0</v>
      </c>
      <c r="M153" t="s">
        <v>44</v>
      </c>
      <c r="N153" t="s">
        <v>180</v>
      </c>
      <c r="P153" t="s">
        <v>33</v>
      </c>
      <c r="Q153">
        <v>1</v>
      </c>
      <c r="R153">
        <v>3</v>
      </c>
      <c r="S153">
        <v>93.004804701300003</v>
      </c>
      <c r="T153">
        <v>2200000</v>
      </c>
      <c r="U153">
        <v>2200000</v>
      </c>
      <c r="V153">
        <v>1</v>
      </c>
      <c r="W153">
        <v>150640.62</v>
      </c>
      <c r="X153">
        <v>11798148.51</v>
      </c>
      <c r="Y153">
        <v>11948789.130000001</v>
      </c>
    </row>
    <row r="154" spans="1:25" x14ac:dyDescent="0.25">
      <c r="A154">
        <v>17</v>
      </c>
      <c r="B154" t="s">
        <v>124</v>
      </c>
      <c r="C154" t="s">
        <v>32</v>
      </c>
      <c r="D154" t="s">
        <v>687</v>
      </c>
      <c r="E154">
        <v>4001</v>
      </c>
      <c r="F154" t="s">
        <v>688</v>
      </c>
      <c r="G154" t="s">
        <v>689</v>
      </c>
      <c r="H154" t="s">
        <v>686</v>
      </c>
      <c r="I154" t="s">
        <v>689</v>
      </c>
      <c r="L154" t="b">
        <v>0</v>
      </c>
      <c r="M154" t="s">
        <v>44</v>
      </c>
      <c r="N154" t="s">
        <v>180</v>
      </c>
      <c r="P154" t="s">
        <v>33</v>
      </c>
      <c r="Q154">
        <v>1</v>
      </c>
      <c r="R154">
        <v>3</v>
      </c>
      <c r="S154">
        <v>97.213263182299997</v>
      </c>
      <c r="T154">
        <v>200000</v>
      </c>
      <c r="U154">
        <v>200000</v>
      </c>
      <c r="V154">
        <v>1</v>
      </c>
      <c r="W154">
        <v>14151.09</v>
      </c>
      <c r="X154">
        <v>1121092.1499999999</v>
      </c>
      <c r="Y154">
        <v>1135243.24</v>
      </c>
    </row>
    <row r="155" spans="1:25" x14ac:dyDescent="0.25">
      <c r="A155">
        <v>17</v>
      </c>
      <c r="B155" t="s">
        <v>124</v>
      </c>
      <c r="C155" t="s">
        <v>32</v>
      </c>
      <c r="D155" t="s">
        <v>690</v>
      </c>
      <c r="E155">
        <v>44430</v>
      </c>
      <c r="F155" t="s">
        <v>691</v>
      </c>
      <c r="G155" t="s">
        <v>692</v>
      </c>
      <c r="H155" t="s">
        <v>686</v>
      </c>
      <c r="I155" t="s">
        <v>692</v>
      </c>
      <c r="L155" t="b">
        <v>0</v>
      </c>
      <c r="M155" t="s">
        <v>44</v>
      </c>
      <c r="N155" t="s">
        <v>180</v>
      </c>
      <c r="P155" t="s">
        <v>33</v>
      </c>
      <c r="Q155">
        <v>1</v>
      </c>
      <c r="R155">
        <v>3</v>
      </c>
      <c r="S155">
        <v>92.322999999999993</v>
      </c>
      <c r="T155">
        <v>5950000</v>
      </c>
      <c r="U155">
        <v>5950000</v>
      </c>
      <c r="V155">
        <v>1</v>
      </c>
      <c r="W155">
        <v>420994.87</v>
      </c>
      <c r="X155">
        <v>31674711.41</v>
      </c>
      <c r="Y155">
        <v>32095706.280000001</v>
      </c>
    </row>
    <row r="156" spans="1:25" x14ac:dyDescent="0.25">
      <c r="A156">
        <v>17</v>
      </c>
      <c r="B156" t="s">
        <v>124</v>
      </c>
      <c r="C156" t="s">
        <v>32</v>
      </c>
      <c r="D156" t="s">
        <v>693</v>
      </c>
      <c r="E156">
        <v>179353</v>
      </c>
      <c r="F156" t="s">
        <v>694</v>
      </c>
      <c r="G156" t="s">
        <v>695</v>
      </c>
      <c r="H156" t="s">
        <v>686</v>
      </c>
      <c r="I156" t="s">
        <v>695</v>
      </c>
      <c r="L156" t="b">
        <v>0</v>
      </c>
      <c r="M156" t="s">
        <v>44</v>
      </c>
      <c r="N156" t="s">
        <v>180</v>
      </c>
      <c r="P156" t="s">
        <v>33</v>
      </c>
      <c r="Q156">
        <v>1</v>
      </c>
      <c r="R156">
        <v>3</v>
      </c>
      <c r="S156">
        <v>92.462000000000003</v>
      </c>
      <c r="T156">
        <v>1600000</v>
      </c>
      <c r="U156">
        <v>1600000</v>
      </c>
      <c r="V156">
        <v>1</v>
      </c>
      <c r="W156">
        <v>0</v>
      </c>
      <c r="X156">
        <v>8530393.3600000013</v>
      </c>
      <c r="Y156">
        <v>8530393.3600000013</v>
      </c>
    </row>
    <row r="157" spans="1:25" x14ac:dyDescent="0.25">
      <c r="A157">
        <v>17</v>
      </c>
      <c r="B157" t="s">
        <v>124</v>
      </c>
      <c r="C157" t="s">
        <v>32</v>
      </c>
      <c r="D157" t="s">
        <v>696</v>
      </c>
      <c r="E157">
        <v>44435</v>
      </c>
      <c r="F157" t="s">
        <v>697</v>
      </c>
      <c r="G157" t="s">
        <v>698</v>
      </c>
      <c r="H157" t="s">
        <v>686</v>
      </c>
      <c r="I157" t="s">
        <v>698</v>
      </c>
      <c r="L157" t="b">
        <v>0</v>
      </c>
      <c r="M157" t="s">
        <v>44</v>
      </c>
      <c r="N157" t="s">
        <v>180</v>
      </c>
      <c r="P157" t="s">
        <v>33</v>
      </c>
      <c r="Q157">
        <v>1</v>
      </c>
      <c r="R157">
        <v>3</v>
      </c>
      <c r="S157">
        <v>84.002795058999993</v>
      </c>
      <c r="T157">
        <v>2650000</v>
      </c>
      <c r="U157">
        <v>2650000</v>
      </c>
      <c r="V157">
        <v>1</v>
      </c>
      <c r="W157">
        <v>502551.83</v>
      </c>
      <c r="X157">
        <v>12835872.76</v>
      </c>
      <c r="Y157">
        <v>13338424.59</v>
      </c>
    </row>
    <row r="158" spans="1:25" x14ac:dyDescent="0.25">
      <c r="A158">
        <v>17</v>
      </c>
      <c r="B158" t="s">
        <v>124</v>
      </c>
      <c r="C158" t="s">
        <v>32</v>
      </c>
      <c r="D158" t="s">
        <v>699</v>
      </c>
      <c r="E158">
        <v>1630</v>
      </c>
      <c r="F158" t="s">
        <v>700</v>
      </c>
      <c r="G158" t="s">
        <v>701</v>
      </c>
      <c r="H158" t="s">
        <v>686</v>
      </c>
      <c r="I158" t="s">
        <v>701</v>
      </c>
      <c r="L158" t="b">
        <v>0</v>
      </c>
      <c r="M158" t="s">
        <v>44</v>
      </c>
      <c r="N158" t="s">
        <v>180</v>
      </c>
      <c r="P158" t="s">
        <v>33</v>
      </c>
      <c r="Q158">
        <v>1</v>
      </c>
      <c r="R158">
        <v>3</v>
      </c>
      <c r="S158">
        <v>84.9903057187</v>
      </c>
      <c r="T158">
        <v>19384000</v>
      </c>
      <c r="U158">
        <v>19384000</v>
      </c>
      <c r="V158">
        <v>1</v>
      </c>
      <c r="W158">
        <v>1415766.23</v>
      </c>
      <c r="X158">
        <v>94994527.179999933</v>
      </c>
      <c r="Y158">
        <v>96410293.409999937</v>
      </c>
    </row>
    <row r="159" spans="1:25" x14ac:dyDescent="0.25">
      <c r="A159">
        <v>17</v>
      </c>
      <c r="B159" t="s">
        <v>124</v>
      </c>
      <c r="C159" t="s">
        <v>32</v>
      </c>
      <c r="D159" t="s">
        <v>702</v>
      </c>
      <c r="E159">
        <v>189237</v>
      </c>
      <c r="F159" t="s">
        <v>703</v>
      </c>
      <c r="G159" t="s">
        <v>704</v>
      </c>
      <c r="H159" t="s">
        <v>705</v>
      </c>
      <c r="I159" t="s">
        <v>706</v>
      </c>
      <c r="L159" t="b">
        <v>1</v>
      </c>
      <c r="M159" t="s">
        <v>707</v>
      </c>
      <c r="N159" t="s">
        <v>708</v>
      </c>
      <c r="P159" t="s">
        <v>33</v>
      </c>
      <c r="Q159">
        <v>1</v>
      </c>
      <c r="R159">
        <v>3</v>
      </c>
      <c r="S159">
        <v>97.547499999999999</v>
      </c>
      <c r="T159">
        <v>45000000000</v>
      </c>
      <c r="U159">
        <v>45000000000</v>
      </c>
      <c r="V159">
        <v>1</v>
      </c>
      <c r="W159">
        <v>260145.9</v>
      </c>
      <c r="X159">
        <v>7361458.1700000009</v>
      </c>
      <c r="Y159">
        <v>7621604.0700000012</v>
      </c>
    </row>
    <row r="160" spans="1:25" x14ac:dyDescent="0.25">
      <c r="A160">
        <v>17</v>
      </c>
      <c r="B160" t="s">
        <v>124</v>
      </c>
      <c r="C160" t="s">
        <v>32</v>
      </c>
      <c r="D160" t="s">
        <v>709</v>
      </c>
      <c r="E160">
        <v>206753</v>
      </c>
      <c r="F160" t="s">
        <v>710</v>
      </c>
      <c r="G160" t="s">
        <v>711</v>
      </c>
      <c r="H160" t="s">
        <v>705</v>
      </c>
      <c r="I160" t="s">
        <v>712</v>
      </c>
      <c r="L160" t="b">
        <v>1</v>
      </c>
      <c r="M160" t="s">
        <v>707</v>
      </c>
      <c r="N160" t="s">
        <v>708</v>
      </c>
      <c r="P160" t="s">
        <v>33</v>
      </c>
      <c r="Q160">
        <v>1</v>
      </c>
      <c r="R160">
        <v>3</v>
      </c>
      <c r="S160">
        <v>96.394999999999996</v>
      </c>
      <c r="T160">
        <v>38000000000</v>
      </c>
      <c r="U160">
        <v>38000000000</v>
      </c>
      <c r="V160">
        <v>1</v>
      </c>
      <c r="W160">
        <v>219678.76</v>
      </c>
      <c r="X160">
        <v>6142897.8700000001</v>
      </c>
      <c r="Y160">
        <v>6362576.6299999999</v>
      </c>
    </row>
    <row r="161" spans="1:25" x14ac:dyDescent="0.25">
      <c r="A161">
        <v>17</v>
      </c>
      <c r="B161" t="s">
        <v>124</v>
      </c>
      <c r="C161" t="s">
        <v>32</v>
      </c>
      <c r="D161" t="s">
        <v>713</v>
      </c>
      <c r="E161">
        <v>961</v>
      </c>
      <c r="F161" t="s">
        <v>714</v>
      </c>
      <c r="G161" t="s">
        <v>715</v>
      </c>
      <c r="H161" t="s">
        <v>716</v>
      </c>
      <c r="I161" t="s">
        <v>717</v>
      </c>
      <c r="L161" t="b">
        <v>1</v>
      </c>
      <c r="M161" t="s">
        <v>61</v>
      </c>
      <c r="N161" t="s">
        <v>331</v>
      </c>
      <c r="P161" t="s">
        <v>33</v>
      </c>
      <c r="Q161">
        <v>1</v>
      </c>
      <c r="R161">
        <v>3</v>
      </c>
      <c r="S161">
        <v>102.51796664939999</v>
      </c>
      <c r="T161">
        <v>2000000</v>
      </c>
      <c r="U161">
        <v>2000000</v>
      </c>
      <c r="V161">
        <v>1</v>
      </c>
      <c r="W161">
        <v>18957.009999999998</v>
      </c>
      <c r="X161">
        <v>603313.0299999998</v>
      </c>
      <c r="Y161">
        <v>622270.0399999998</v>
      </c>
    </row>
    <row r="162" spans="1:25" x14ac:dyDescent="0.25">
      <c r="A162">
        <v>17</v>
      </c>
      <c r="B162" t="s">
        <v>124</v>
      </c>
      <c r="C162" t="s">
        <v>32</v>
      </c>
      <c r="D162" t="s">
        <v>718</v>
      </c>
      <c r="E162">
        <v>38622</v>
      </c>
      <c r="F162" t="s">
        <v>719</v>
      </c>
      <c r="G162" t="s">
        <v>720</v>
      </c>
      <c r="H162" t="s">
        <v>716</v>
      </c>
      <c r="I162" t="s">
        <v>720</v>
      </c>
      <c r="L162" t="b">
        <v>0</v>
      </c>
      <c r="M162" t="s">
        <v>61</v>
      </c>
      <c r="N162" t="s">
        <v>331</v>
      </c>
      <c r="P162" t="s">
        <v>33</v>
      </c>
      <c r="Q162">
        <v>1</v>
      </c>
      <c r="R162">
        <v>3</v>
      </c>
      <c r="S162">
        <v>102.9521371907</v>
      </c>
      <c r="T162">
        <v>6000000</v>
      </c>
      <c r="U162">
        <v>6000000</v>
      </c>
      <c r="V162">
        <v>1</v>
      </c>
      <c r="W162">
        <v>57186.99</v>
      </c>
      <c r="X162">
        <v>1817604.3</v>
      </c>
      <c r="Y162">
        <v>1874791.29</v>
      </c>
    </row>
    <row r="163" spans="1:25" x14ac:dyDescent="0.25">
      <c r="A163">
        <v>16</v>
      </c>
      <c r="B163" t="s">
        <v>578</v>
      </c>
      <c r="C163" t="s">
        <v>32</v>
      </c>
      <c r="D163" t="s">
        <v>242</v>
      </c>
      <c r="E163">
        <v>2054</v>
      </c>
      <c r="F163" t="s">
        <v>243</v>
      </c>
      <c r="G163" t="s">
        <v>244</v>
      </c>
      <c r="H163" t="s">
        <v>245</v>
      </c>
      <c r="I163" t="s">
        <v>246</v>
      </c>
      <c r="L163" t="b">
        <v>1</v>
      </c>
      <c r="M163" t="s">
        <v>44</v>
      </c>
      <c r="N163" t="s">
        <v>180</v>
      </c>
      <c r="P163" t="s">
        <v>579</v>
      </c>
      <c r="Q163">
        <v>1</v>
      </c>
      <c r="R163">
        <v>3</v>
      </c>
      <c r="S163">
        <v>87.533000000000001</v>
      </c>
      <c r="T163">
        <v>34809368</v>
      </c>
      <c r="U163">
        <v>39500000</v>
      </c>
      <c r="V163">
        <v>0.88119999999999998</v>
      </c>
      <c r="W163">
        <v>3178.01</v>
      </c>
      <c r="X163">
        <v>1756927.11</v>
      </c>
      <c r="Y163">
        <v>1760105.12</v>
      </c>
    </row>
    <row r="164" spans="1:25" x14ac:dyDescent="0.25">
      <c r="A164">
        <v>16</v>
      </c>
      <c r="B164" t="s">
        <v>578</v>
      </c>
      <c r="C164" t="s">
        <v>32</v>
      </c>
      <c r="D164" t="s">
        <v>721</v>
      </c>
      <c r="E164">
        <v>151394</v>
      </c>
      <c r="F164" t="s">
        <v>722</v>
      </c>
      <c r="G164" t="s">
        <v>723</v>
      </c>
      <c r="H164" t="s">
        <v>724</v>
      </c>
      <c r="I164" t="s">
        <v>725</v>
      </c>
      <c r="J164" t="s">
        <v>722</v>
      </c>
      <c r="K164" t="s">
        <v>726</v>
      </c>
      <c r="L164" t="b">
        <v>1</v>
      </c>
      <c r="M164" t="s">
        <v>81</v>
      </c>
      <c r="N164" t="s">
        <v>32</v>
      </c>
      <c r="P164" t="s">
        <v>579</v>
      </c>
      <c r="Q164">
        <v>1</v>
      </c>
      <c r="R164">
        <v>3</v>
      </c>
      <c r="S164">
        <v>98.404141666699999</v>
      </c>
      <c r="T164">
        <v>14235268</v>
      </c>
      <c r="U164">
        <v>14235268</v>
      </c>
      <c r="V164">
        <v>1</v>
      </c>
      <c r="W164">
        <v>177150</v>
      </c>
      <c r="X164">
        <v>14008093.300000001</v>
      </c>
      <c r="Y164">
        <v>14185243.300000001</v>
      </c>
    </row>
    <row r="165" spans="1:25" x14ac:dyDescent="0.25">
      <c r="A165">
        <v>16</v>
      </c>
      <c r="B165" t="s">
        <v>578</v>
      </c>
      <c r="C165" t="s">
        <v>32</v>
      </c>
      <c r="D165" t="s">
        <v>727</v>
      </c>
      <c r="E165">
        <v>440</v>
      </c>
      <c r="F165" t="s">
        <v>728</v>
      </c>
      <c r="G165" t="s">
        <v>729</v>
      </c>
      <c r="H165" t="s">
        <v>730</v>
      </c>
      <c r="I165" t="s">
        <v>731</v>
      </c>
      <c r="J165" t="s">
        <v>728</v>
      </c>
      <c r="K165" t="s">
        <v>732</v>
      </c>
      <c r="L165" t="b">
        <v>1</v>
      </c>
      <c r="M165" t="s">
        <v>39</v>
      </c>
      <c r="N165" t="s">
        <v>32</v>
      </c>
      <c r="P165" t="s">
        <v>579</v>
      </c>
      <c r="Q165">
        <v>1</v>
      </c>
      <c r="R165">
        <v>3</v>
      </c>
      <c r="S165">
        <v>100.129</v>
      </c>
      <c r="T165">
        <v>23027.4</v>
      </c>
      <c r="U165">
        <v>40000</v>
      </c>
      <c r="V165">
        <v>0.57569999999999999</v>
      </c>
      <c r="W165">
        <v>272.64999999999998</v>
      </c>
      <c r="X165">
        <v>23057.100000000009</v>
      </c>
      <c r="Y165">
        <v>23329.750000000011</v>
      </c>
    </row>
    <row r="166" spans="1:25" x14ac:dyDescent="0.25">
      <c r="A166">
        <v>16</v>
      </c>
      <c r="B166" t="s">
        <v>578</v>
      </c>
      <c r="C166" t="s">
        <v>32</v>
      </c>
      <c r="D166" t="s">
        <v>733</v>
      </c>
      <c r="E166">
        <v>3662</v>
      </c>
      <c r="F166" t="s">
        <v>732</v>
      </c>
      <c r="G166" t="s">
        <v>734</v>
      </c>
      <c r="H166" t="s">
        <v>730</v>
      </c>
      <c r="I166" t="s">
        <v>731</v>
      </c>
      <c r="J166" t="s">
        <v>728</v>
      </c>
      <c r="K166" t="s">
        <v>728</v>
      </c>
      <c r="L166" t="b">
        <v>1</v>
      </c>
      <c r="M166" t="s">
        <v>39</v>
      </c>
      <c r="N166" t="s">
        <v>32</v>
      </c>
      <c r="P166" t="s">
        <v>579</v>
      </c>
      <c r="Q166">
        <v>1</v>
      </c>
      <c r="R166">
        <v>3</v>
      </c>
      <c r="S166">
        <v>99.745000000000005</v>
      </c>
      <c r="T166">
        <v>63593</v>
      </c>
      <c r="U166">
        <v>100000</v>
      </c>
      <c r="V166">
        <v>0.63590000000000002</v>
      </c>
      <c r="W166">
        <v>752.96</v>
      </c>
      <c r="X166">
        <v>63430.84</v>
      </c>
      <c r="Y166">
        <v>64183.8</v>
      </c>
    </row>
    <row r="167" spans="1:25" x14ac:dyDescent="0.25">
      <c r="A167">
        <v>16</v>
      </c>
      <c r="B167" t="s">
        <v>578</v>
      </c>
      <c r="C167" t="s">
        <v>32</v>
      </c>
      <c r="D167" t="s">
        <v>735</v>
      </c>
      <c r="E167">
        <v>35524</v>
      </c>
      <c r="F167" t="s">
        <v>736</v>
      </c>
      <c r="G167" t="s">
        <v>737</v>
      </c>
      <c r="H167" t="s">
        <v>730</v>
      </c>
      <c r="I167" t="s">
        <v>738</v>
      </c>
      <c r="J167" t="s">
        <v>736</v>
      </c>
      <c r="K167" t="s">
        <v>739</v>
      </c>
      <c r="L167" t="b">
        <v>1</v>
      </c>
      <c r="M167" t="s">
        <v>39</v>
      </c>
      <c r="N167" t="s">
        <v>32</v>
      </c>
      <c r="P167" t="s">
        <v>579</v>
      </c>
      <c r="Q167">
        <v>1</v>
      </c>
      <c r="R167">
        <v>3</v>
      </c>
      <c r="S167">
        <v>101.610775</v>
      </c>
      <c r="T167">
        <v>25707118</v>
      </c>
      <c r="U167">
        <v>26865000</v>
      </c>
      <c r="V167">
        <v>0.95689999999999997</v>
      </c>
      <c r="W167">
        <v>304379.42999999988</v>
      </c>
      <c r="X167">
        <v>26121201.829999998</v>
      </c>
      <c r="Y167">
        <v>26425581.260000002</v>
      </c>
    </row>
    <row r="168" spans="1:25" x14ac:dyDescent="0.25">
      <c r="A168">
        <v>16</v>
      </c>
      <c r="B168" t="s">
        <v>578</v>
      </c>
      <c r="C168" t="s">
        <v>32</v>
      </c>
      <c r="D168" t="s">
        <v>740</v>
      </c>
      <c r="E168">
        <v>133021</v>
      </c>
      <c r="F168" t="s">
        <v>741</v>
      </c>
      <c r="G168" t="s">
        <v>742</v>
      </c>
      <c r="H168" t="s">
        <v>743</v>
      </c>
      <c r="I168" t="s">
        <v>744</v>
      </c>
      <c r="J168" t="s">
        <v>741</v>
      </c>
      <c r="K168" t="s">
        <v>745</v>
      </c>
      <c r="L168" t="b">
        <v>1</v>
      </c>
      <c r="M168" t="s">
        <v>31</v>
      </c>
      <c r="N168" t="s">
        <v>32</v>
      </c>
      <c r="P168" t="s">
        <v>579</v>
      </c>
      <c r="Q168">
        <v>1</v>
      </c>
      <c r="R168">
        <v>3</v>
      </c>
      <c r="S168">
        <v>102.6675416667</v>
      </c>
      <c r="T168">
        <v>310770</v>
      </c>
      <c r="U168">
        <v>387880</v>
      </c>
      <c r="V168">
        <v>0.80120000000000002</v>
      </c>
      <c r="W168">
        <v>1165.3900000000001</v>
      </c>
      <c r="X168">
        <v>319059.92</v>
      </c>
      <c r="Y168">
        <v>320225.31</v>
      </c>
    </row>
    <row r="169" spans="1:25" x14ac:dyDescent="0.25">
      <c r="A169">
        <v>16</v>
      </c>
      <c r="B169" t="s">
        <v>578</v>
      </c>
      <c r="C169" t="s">
        <v>32</v>
      </c>
      <c r="D169" t="s">
        <v>746</v>
      </c>
      <c r="E169">
        <v>36160</v>
      </c>
      <c r="F169" t="s">
        <v>745</v>
      </c>
      <c r="G169" t="s">
        <v>744</v>
      </c>
      <c r="H169" t="s">
        <v>743</v>
      </c>
      <c r="I169" t="s">
        <v>744</v>
      </c>
      <c r="J169" t="s">
        <v>741</v>
      </c>
      <c r="K169" t="s">
        <v>741</v>
      </c>
      <c r="L169" t="b">
        <v>0</v>
      </c>
      <c r="M169" t="s">
        <v>31</v>
      </c>
      <c r="N169" t="s">
        <v>32</v>
      </c>
      <c r="P169" t="s">
        <v>579</v>
      </c>
      <c r="Q169">
        <v>1</v>
      </c>
      <c r="R169">
        <v>3</v>
      </c>
      <c r="S169">
        <v>102.6675416667</v>
      </c>
      <c r="T169">
        <v>4174264</v>
      </c>
      <c r="U169">
        <v>5210000</v>
      </c>
      <c r="V169">
        <v>0.80120000000000002</v>
      </c>
      <c r="W169">
        <v>15653.48</v>
      </c>
      <c r="X169">
        <v>4285614.25</v>
      </c>
      <c r="Y169">
        <v>4301267.7300000004</v>
      </c>
    </row>
    <row r="170" spans="1:25" x14ac:dyDescent="0.25">
      <c r="A170">
        <v>16</v>
      </c>
      <c r="B170" t="s">
        <v>578</v>
      </c>
      <c r="C170" t="s">
        <v>32</v>
      </c>
      <c r="D170" t="s">
        <v>747</v>
      </c>
      <c r="E170">
        <v>106547</v>
      </c>
      <c r="F170" t="s">
        <v>748</v>
      </c>
      <c r="G170" t="s">
        <v>749</v>
      </c>
      <c r="H170" t="s">
        <v>750</v>
      </c>
      <c r="I170" t="s">
        <v>751</v>
      </c>
      <c r="L170" t="b">
        <v>1</v>
      </c>
      <c r="M170" t="s">
        <v>31</v>
      </c>
      <c r="N170" t="s">
        <v>32</v>
      </c>
      <c r="P170" t="s">
        <v>579</v>
      </c>
      <c r="Q170">
        <v>1</v>
      </c>
      <c r="R170">
        <v>3</v>
      </c>
      <c r="S170">
        <v>97.432493750000006</v>
      </c>
      <c r="T170">
        <v>3221000</v>
      </c>
      <c r="U170">
        <v>3221000</v>
      </c>
      <c r="V170">
        <v>1</v>
      </c>
      <c r="W170">
        <v>8857.75</v>
      </c>
      <c r="X170">
        <v>3138300.63</v>
      </c>
      <c r="Y170">
        <v>3147158.38</v>
      </c>
    </row>
    <row r="171" spans="1:25" x14ac:dyDescent="0.25">
      <c r="A171">
        <v>16</v>
      </c>
      <c r="B171" t="s">
        <v>578</v>
      </c>
      <c r="C171" t="s">
        <v>32</v>
      </c>
      <c r="D171" t="s">
        <v>752</v>
      </c>
      <c r="E171">
        <v>137445</v>
      </c>
      <c r="F171" t="s">
        <v>753</v>
      </c>
      <c r="G171" t="s">
        <v>754</v>
      </c>
      <c r="H171" t="s">
        <v>755</v>
      </c>
      <c r="I171" t="s">
        <v>756</v>
      </c>
      <c r="J171" t="s">
        <v>753</v>
      </c>
      <c r="K171" t="s">
        <v>757</v>
      </c>
      <c r="L171" t="b">
        <v>1</v>
      </c>
      <c r="M171" t="s">
        <v>681</v>
      </c>
      <c r="N171" t="s">
        <v>32</v>
      </c>
      <c r="P171" t="s">
        <v>579</v>
      </c>
      <c r="Q171">
        <v>1</v>
      </c>
      <c r="R171">
        <v>3</v>
      </c>
      <c r="S171">
        <v>102.914</v>
      </c>
      <c r="T171">
        <v>2290000</v>
      </c>
      <c r="U171">
        <v>2290000</v>
      </c>
      <c r="V171">
        <v>1</v>
      </c>
      <c r="W171">
        <v>13803.61</v>
      </c>
      <c r="X171">
        <v>2356730.6</v>
      </c>
      <c r="Y171">
        <v>2370534.21</v>
      </c>
    </row>
    <row r="172" spans="1:25" x14ac:dyDescent="0.25">
      <c r="A172">
        <v>16</v>
      </c>
      <c r="B172" t="s">
        <v>578</v>
      </c>
      <c r="C172" t="s">
        <v>32</v>
      </c>
      <c r="D172" t="s">
        <v>758</v>
      </c>
      <c r="E172">
        <v>444</v>
      </c>
      <c r="F172" t="s">
        <v>759</v>
      </c>
      <c r="G172" t="s">
        <v>760</v>
      </c>
      <c r="H172" t="s">
        <v>761</v>
      </c>
      <c r="I172" t="s">
        <v>762</v>
      </c>
      <c r="J172" t="s">
        <v>759</v>
      </c>
      <c r="K172" t="s">
        <v>763</v>
      </c>
      <c r="L172" t="b">
        <v>1</v>
      </c>
      <c r="M172" t="s">
        <v>112</v>
      </c>
      <c r="N172" t="s">
        <v>32</v>
      </c>
      <c r="P172" t="s">
        <v>579</v>
      </c>
      <c r="Q172">
        <v>1</v>
      </c>
      <c r="R172">
        <v>3</v>
      </c>
      <c r="S172">
        <v>99.95</v>
      </c>
      <c r="T172">
        <v>290156.25</v>
      </c>
      <c r="U172">
        <v>3095000</v>
      </c>
      <c r="V172">
        <v>9.3799999999999994E-2</v>
      </c>
      <c r="W172">
        <v>4987.0600000000004</v>
      </c>
      <c r="X172">
        <v>290011.17000000051</v>
      </c>
      <c r="Y172">
        <v>294998.23000000051</v>
      </c>
    </row>
    <row r="173" spans="1:25" x14ac:dyDescent="0.25">
      <c r="A173">
        <v>16</v>
      </c>
      <c r="B173" t="s">
        <v>578</v>
      </c>
      <c r="C173" t="s">
        <v>32</v>
      </c>
      <c r="D173" t="s">
        <v>764</v>
      </c>
      <c r="E173">
        <v>3902</v>
      </c>
      <c r="F173" t="s">
        <v>765</v>
      </c>
      <c r="G173" t="s">
        <v>766</v>
      </c>
      <c r="H173" t="s">
        <v>761</v>
      </c>
      <c r="I173" t="s">
        <v>762</v>
      </c>
      <c r="J173" t="s">
        <v>759</v>
      </c>
      <c r="K173" t="s">
        <v>767</v>
      </c>
      <c r="L173" t="b">
        <v>1</v>
      </c>
      <c r="M173" t="s">
        <v>112</v>
      </c>
      <c r="N173" t="s">
        <v>32</v>
      </c>
      <c r="P173" t="s">
        <v>579</v>
      </c>
      <c r="Q173">
        <v>1</v>
      </c>
      <c r="R173">
        <v>3</v>
      </c>
      <c r="S173">
        <v>99.95</v>
      </c>
      <c r="T173">
        <v>494681</v>
      </c>
      <c r="U173">
        <v>3959656</v>
      </c>
      <c r="V173">
        <v>0.1249</v>
      </c>
      <c r="W173">
        <v>8502.3200000000015</v>
      </c>
      <c r="X173">
        <v>494433.66</v>
      </c>
      <c r="Y173">
        <v>502935.98</v>
      </c>
    </row>
    <row r="174" spans="1:25" x14ac:dyDescent="0.25">
      <c r="A174">
        <v>16</v>
      </c>
      <c r="B174" t="s">
        <v>578</v>
      </c>
      <c r="C174" t="s">
        <v>32</v>
      </c>
      <c r="D174" t="s">
        <v>768</v>
      </c>
      <c r="E174">
        <v>35525</v>
      </c>
      <c r="F174" t="s">
        <v>769</v>
      </c>
      <c r="G174" t="s">
        <v>770</v>
      </c>
      <c r="H174" t="s">
        <v>761</v>
      </c>
      <c r="I174" t="s">
        <v>771</v>
      </c>
      <c r="L174" t="b">
        <v>1</v>
      </c>
      <c r="M174" t="s">
        <v>112</v>
      </c>
      <c r="N174" t="s">
        <v>32</v>
      </c>
      <c r="P174" t="s">
        <v>579</v>
      </c>
      <c r="Q174">
        <v>1</v>
      </c>
      <c r="R174">
        <v>3</v>
      </c>
      <c r="S174">
        <v>105.72812500000001</v>
      </c>
      <c r="T174">
        <v>2158979</v>
      </c>
      <c r="U174">
        <v>2192500</v>
      </c>
      <c r="V174">
        <v>0.98470000000000002</v>
      </c>
      <c r="W174">
        <v>45878.3</v>
      </c>
      <c r="X174">
        <v>2282648.02</v>
      </c>
      <c r="Y174">
        <v>2328526.3199999998</v>
      </c>
    </row>
    <row r="175" spans="1:25" x14ac:dyDescent="0.25">
      <c r="A175">
        <v>17</v>
      </c>
      <c r="B175" t="s">
        <v>124</v>
      </c>
      <c r="C175" t="s">
        <v>32</v>
      </c>
      <c r="D175" t="s">
        <v>772</v>
      </c>
      <c r="E175">
        <v>149070</v>
      </c>
      <c r="F175" t="s">
        <v>773</v>
      </c>
      <c r="G175" t="s">
        <v>774</v>
      </c>
      <c r="H175" t="s">
        <v>716</v>
      </c>
      <c r="I175" t="s">
        <v>774</v>
      </c>
      <c r="L175" t="b">
        <v>0</v>
      </c>
      <c r="M175" t="s">
        <v>61</v>
      </c>
      <c r="N175" t="s">
        <v>331</v>
      </c>
      <c r="P175" t="s">
        <v>33</v>
      </c>
      <c r="Q175">
        <v>1</v>
      </c>
      <c r="R175">
        <v>3</v>
      </c>
      <c r="S175">
        <v>107.28995253230001</v>
      </c>
      <c r="T175">
        <v>10000000</v>
      </c>
      <c r="U175">
        <v>10000000</v>
      </c>
      <c r="V175">
        <v>1</v>
      </c>
      <c r="W175">
        <v>104980.96</v>
      </c>
      <c r="X175">
        <v>3156979.62</v>
      </c>
      <c r="Y175">
        <v>3261960.58</v>
      </c>
    </row>
    <row r="176" spans="1:25" x14ac:dyDescent="0.25">
      <c r="A176">
        <v>17</v>
      </c>
      <c r="B176" t="s">
        <v>124</v>
      </c>
      <c r="C176" t="s">
        <v>32</v>
      </c>
      <c r="D176" t="s">
        <v>108</v>
      </c>
      <c r="E176">
        <v>3893</v>
      </c>
      <c r="F176" t="s">
        <v>109</v>
      </c>
      <c r="G176" t="s">
        <v>110</v>
      </c>
      <c r="H176" t="s">
        <v>111</v>
      </c>
      <c r="I176" t="s">
        <v>110</v>
      </c>
      <c r="L176" t="b">
        <v>0</v>
      </c>
      <c r="M176" t="s">
        <v>112</v>
      </c>
      <c r="N176" t="s">
        <v>32</v>
      </c>
      <c r="O176" t="s">
        <v>32</v>
      </c>
      <c r="P176" t="s">
        <v>33</v>
      </c>
      <c r="Q176">
        <v>1</v>
      </c>
      <c r="R176">
        <v>3</v>
      </c>
      <c r="S176">
        <v>75.590486111111005</v>
      </c>
      <c r="T176">
        <v>14806782</v>
      </c>
      <c r="U176">
        <v>23135597</v>
      </c>
      <c r="V176">
        <v>0.64</v>
      </c>
      <c r="W176">
        <v>0</v>
      </c>
      <c r="X176">
        <v>11192518.5</v>
      </c>
      <c r="Y176">
        <v>11192518.5</v>
      </c>
    </row>
    <row r="177" spans="1:25" x14ac:dyDescent="0.25">
      <c r="A177">
        <v>17</v>
      </c>
      <c r="B177" t="s">
        <v>124</v>
      </c>
      <c r="C177" t="s">
        <v>32</v>
      </c>
      <c r="D177" t="s">
        <v>113</v>
      </c>
      <c r="E177">
        <v>3817</v>
      </c>
      <c r="F177" t="s">
        <v>114</v>
      </c>
      <c r="G177" t="s">
        <v>115</v>
      </c>
      <c r="H177" t="s">
        <v>111</v>
      </c>
      <c r="I177" t="s">
        <v>115</v>
      </c>
      <c r="L177" t="b">
        <v>0</v>
      </c>
      <c r="M177" t="s">
        <v>112</v>
      </c>
      <c r="N177" t="s">
        <v>32</v>
      </c>
      <c r="O177" t="s">
        <v>32</v>
      </c>
      <c r="P177" t="s">
        <v>33</v>
      </c>
      <c r="Q177">
        <v>1</v>
      </c>
      <c r="R177">
        <v>3</v>
      </c>
      <c r="S177">
        <v>87.497564999999994</v>
      </c>
      <c r="T177">
        <v>2744807</v>
      </c>
      <c r="U177">
        <v>4288761</v>
      </c>
      <c r="V177">
        <v>0.64</v>
      </c>
      <c r="W177">
        <v>1200.8499999999999</v>
      </c>
      <c r="X177">
        <v>2401639.29</v>
      </c>
      <c r="Y177">
        <v>2402840.14</v>
      </c>
    </row>
    <row r="178" spans="1:25" x14ac:dyDescent="0.25">
      <c r="A178">
        <v>17</v>
      </c>
      <c r="B178" t="s">
        <v>124</v>
      </c>
      <c r="C178" t="s">
        <v>32</v>
      </c>
      <c r="D178" t="s">
        <v>775</v>
      </c>
      <c r="E178">
        <v>31369</v>
      </c>
      <c r="F178" t="s">
        <v>776</v>
      </c>
      <c r="G178" t="s">
        <v>777</v>
      </c>
      <c r="H178" t="s">
        <v>111</v>
      </c>
      <c r="I178" t="s">
        <v>777</v>
      </c>
      <c r="L178" t="b">
        <v>0</v>
      </c>
      <c r="M178" t="s">
        <v>112</v>
      </c>
      <c r="N178" t="s">
        <v>32</v>
      </c>
      <c r="O178" t="s">
        <v>32</v>
      </c>
      <c r="P178" t="s">
        <v>33</v>
      </c>
      <c r="Q178">
        <v>1</v>
      </c>
      <c r="R178">
        <v>3</v>
      </c>
      <c r="S178">
        <v>74.005566666700005</v>
      </c>
      <c r="T178">
        <v>7450000</v>
      </c>
      <c r="U178">
        <v>7450000</v>
      </c>
      <c r="V178">
        <v>1</v>
      </c>
      <c r="W178">
        <v>15210.42</v>
      </c>
      <c r="X178">
        <v>5513414.7200000007</v>
      </c>
      <c r="Y178">
        <v>5528625.1400000006</v>
      </c>
    </row>
    <row r="179" spans="1:25" x14ac:dyDescent="0.25">
      <c r="A179">
        <v>17</v>
      </c>
      <c r="B179" t="s">
        <v>124</v>
      </c>
      <c r="C179" t="s">
        <v>32</v>
      </c>
      <c r="D179" t="s">
        <v>778</v>
      </c>
      <c r="E179">
        <v>480</v>
      </c>
      <c r="F179" t="s">
        <v>779</v>
      </c>
      <c r="G179" t="s">
        <v>780</v>
      </c>
      <c r="H179" t="s">
        <v>111</v>
      </c>
      <c r="I179" t="s">
        <v>780</v>
      </c>
      <c r="L179" t="b">
        <v>0</v>
      </c>
      <c r="M179" t="s">
        <v>112</v>
      </c>
      <c r="N179" t="s">
        <v>32</v>
      </c>
      <c r="O179" t="s">
        <v>32</v>
      </c>
      <c r="P179" t="s">
        <v>33</v>
      </c>
      <c r="Q179">
        <v>1</v>
      </c>
      <c r="R179">
        <v>3</v>
      </c>
      <c r="S179">
        <v>2.8969999999999998</v>
      </c>
      <c r="T179">
        <v>9042611</v>
      </c>
      <c r="U179">
        <v>9042611</v>
      </c>
      <c r="V179">
        <v>1</v>
      </c>
      <c r="W179">
        <v>0</v>
      </c>
      <c r="X179">
        <v>261964.44</v>
      </c>
      <c r="Y179">
        <v>261964.44</v>
      </c>
    </row>
    <row r="180" spans="1:25" x14ac:dyDescent="0.25">
      <c r="A180">
        <v>17</v>
      </c>
      <c r="B180" t="s">
        <v>124</v>
      </c>
      <c r="C180" t="s">
        <v>32</v>
      </c>
      <c r="D180" t="s">
        <v>781</v>
      </c>
      <c r="E180">
        <v>228178</v>
      </c>
      <c r="F180" t="s">
        <v>782</v>
      </c>
      <c r="G180" t="s">
        <v>783</v>
      </c>
      <c r="H180" t="s">
        <v>111</v>
      </c>
      <c r="I180" t="s">
        <v>783</v>
      </c>
      <c r="L180" t="b">
        <v>0</v>
      </c>
      <c r="M180" t="s">
        <v>112</v>
      </c>
      <c r="N180" t="s">
        <v>32</v>
      </c>
      <c r="O180" t="s">
        <v>32</v>
      </c>
      <c r="P180" t="s">
        <v>33</v>
      </c>
      <c r="Q180">
        <v>1</v>
      </c>
      <c r="R180">
        <v>3</v>
      </c>
      <c r="S180">
        <v>90.81</v>
      </c>
      <c r="T180">
        <v>17000000</v>
      </c>
      <c r="U180">
        <v>17000000</v>
      </c>
      <c r="V180">
        <v>1</v>
      </c>
      <c r="W180">
        <v>0</v>
      </c>
      <c r="X180">
        <v>15437700</v>
      </c>
      <c r="Y180">
        <v>15437700</v>
      </c>
    </row>
    <row r="181" spans="1:25" x14ac:dyDescent="0.25">
      <c r="A181">
        <v>17</v>
      </c>
      <c r="B181" t="s">
        <v>124</v>
      </c>
      <c r="C181" t="s">
        <v>32</v>
      </c>
      <c r="D181" t="s">
        <v>119</v>
      </c>
      <c r="E181">
        <v>34397</v>
      </c>
      <c r="F181" t="s">
        <v>120</v>
      </c>
      <c r="G181" t="s">
        <v>121</v>
      </c>
      <c r="H181" t="s">
        <v>122</v>
      </c>
      <c r="I181" t="s">
        <v>123</v>
      </c>
      <c r="L181" t="b">
        <v>1</v>
      </c>
      <c r="M181" t="s">
        <v>112</v>
      </c>
      <c r="N181" t="s">
        <v>32</v>
      </c>
      <c r="O181" t="s">
        <v>32</v>
      </c>
      <c r="P181" t="s">
        <v>33</v>
      </c>
      <c r="Q181">
        <v>1</v>
      </c>
      <c r="R181">
        <v>3</v>
      </c>
      <c r="S181">
        <v>83.102837500000007</v>
      </c>
      <c r="T181">
        <v>15095710</v>
      </c>
      <c r="U181">
        <v>16972915</v>
      </c>
      <c r="V181">
        <v>0.88939999999999997</v>
      </c>
      <c r="W181">
        <v>413926.47</v>
      </c>
      <c r="X181">
        <v>12544963.35</v>
      </c>
      <c r="Y181">
        <v>12958889.82</v>
      </c>
    </row>
    <row r="182" spans="1:25" x14ac:dyDescent="0.25">
      <c r="A182">
        <v>17</v>
      </c>
      <c r="B182" t="s">
        <v>124</v>
      </c>
      <c r="C182" t="s">
        <v>32</v>
      </c>
      <c r="D182" t="s">
        <v>784</v>
      </c>
      <c r="E182">
        <v>29877</v>
      </c>
      <c r="F182" t="s">
        <v>785</v>
      </c>
      <c r="G182" t="s">
        <v>786</v>
      </c>
      <c r="H182" t="s">
        <v>787</v>
      </c>
      <c r="I182" t="s">
        <v>786</v>
      </c>
      <c r="L182" t="b">
        <v>0</v>
      </c>
      <c r="M182" t="s">
        <v>112</v>
      </c>
      <c r="N182" t="s">
        <v>32</v>
      </c>
      <c r="O182" t="s">
        <v>32</v>
      </c>
      <c r="P182" t="s">
        <v>33</v>
      </c>
      <c r="Q182">
        <v>1</v>
      </c>
      <c r="R182">
        <v>3</v>
      </c>
      <c r="S182">
        <v>99.1</v>
      </c>
      <c r="T182">
        <v>2043125</v>
      </c>
      <c r="U182">
        <v>5448334</v>
      </c>
      <c r="V182">
        <v>0.375</v>
      </c>
      <c r="W182">
        <v>48070.19</v>
      </c>
      <c r="X182">
        <v>2024736.88</v>
      </c>
      <c r="Y182">
        <v>2072807.07</v>
      </c>
    </row>
    <row r="183" spans="1:25" x14ac:dyDescent="0.25">
      <c r="A183">
        <v>17</v>
      </c>
      <c r="B183" t="s">
        <v>124</v>
      </c>
      <c r="C183" t="s">
        <v>32</v>
      </c>
      <c r="D183" t="s">
        <v>788</v>
      </c>
      <c r="E183">
        <v>3443</v>
      </c>
      <c r="F183" t="s">
        <v>789</v>
      </c>
      <c r="G183" t="s">
        <v>790</v>
      </c>
      <c r="H183" t="s">
        <v>791</v>
      </c>
      <c r="I183" t="s">
        <v>790</v>
      </c>
      <c r="L183" t="b">
        <v>0</v>
      </c>
      <c r="M183" t="s">
        <v>39</v>
      </c>
      <c r="N183" t="s">
        <v>610</v>
      </c>
      <c r="P183" t="s">
        <v>33</v>
      </c>
      <c r="Q183">
        <v>1</v>
      </c>
      <c r="R183">
        <v>3</v>
      </c>
      <c r="S183">
        <v>111.2914738147</v>
      </c>
      <c r="T183">
        <v>112058646</v>
      </c>
      <c r="U183">
        <v>78770000</v>
      </c>
      <c r="V183">
        <v>1.4226000000000001</v>
      </c>
      <c r="W183">
        <v>8387.74</v>
      </c>
      <c r="X183">
        <v>3097273.53</v>
      </c>
      <c r="Y183">
        <v>3105661.27</v>
      </c>
    </row>
    <row r="184" spans="1:25" x14ac:dyDescent="0.25">
      <c r="A184">
        <v>17</v>
      </c>
      <c r="B184" t="s">
        <v>124</v>
      </c>
      <c r="C184" t="s">
        <v>32</v>
      </c>
      <c r="D184" t="s">
        <v>792</v>
      </c>
      <c r="E184">
        <v>192396</v>
      </c>
      <c r="F184" t="s">
        <v>793</v>
      </c>
      <c r="G184" t="s">
        <v>794</v>
      </c>
      <c r="H184" t="s">
        <v>791</v>
      </c>
      <c r="I184" t="s">
        <v>794</v>
      </c>
      <c r="L184" t="b">
        <v>0</v>
      </c>
      <c r="M184" t="s">
        <v>39</v>
      </c>
      <c r="N184" t="s">
        <v>610</v>
      </c>
      <c r="P184" t="s">
        <v>33</v>
      </c>
      <c r="Q184">
        <v>1</v>
      </c>
      <c r="R184">
        <v>3</v>
      </c>
      <c r="S184">
        <v>101.907</v>
      </c>
      <c r="T184">
        <v>60000000</v>
      </c>
      <c r="U184">
        <v>60000000</v>
      </c>
      <c r="V184">
        <v>1</v>
      </c>
      <c r="W184">
        <v>30133.7</v>
      </c>
      <c r="X184">
        <v>1518544.64</v>
      </c>
      <c r="Y184">
        <v>1548678.34</v>
      </c>
    </row>
    <row r="185" spans="1:25" x14ac:dyDescent="0.25">
      <c r="A185">
        <v>17</v>
      </c>
      <c r="B185" t="s">
        <v>124</v>
      </c>
      <c r="C185" t="s">
        <v>32</v>
      </c>
      <c r="D185" t="s">
        <v>237</v>
      </c>
      <c r="E185">
        <v>143843</v>
      </c>
      <c r="F185" t="s">
        <v>238</v>
      </c>
      <c r="G185" t="s">
        <v>239</v>
      </c>
      <c r="H185" t="s">
        <v>240</v>
      </c>
      <c r="I185" t="s">
        <v>239</v>
      </c>
      <c r="L185" t="b">
        <v>0</v>
      </c>
      <c r="M185" t="s">
        <v>50</v>
      </c>
      <c r="N185" t="s">
        <v>241</v>
      </c>
      <c r="P185" t="s">
        <v>33</v>
      </c>
      <c r="Q185">
        <v>1</v>
      </c>
      <c r="R185">
        <v>2</v>
      </c>
      <c r="S185">
        <v>98.389799999999994</v>
      </c>
      <c r="T185">
        <v>371725.723</v>
      </c>
      <c r="U185">
        <v>373680.68</v>
      </c>
      <c r="V185">
        <v>0.99480000000000002</v>
      </c>
      <c r="W185">
        <v>180117.32</v>
      </c>
      <c r="X185">
        <v>16090327.720000001</v>
      </c>
      <c r="Y185">
        <v>16270445.039999999</v>
      </c>
    </row>
    <row r="186" spans="1:25" x14ac:dyDescent="0.25">
      <c r="A186">
        <v>17</v>
      </c>
      <c r="B186" t="s">
        <v>124</v>
      </c>
      <c r="C186" t="s">
        <v>32</v>
      </c>
      <c r="D186" t="s">
        <v>453</v>
      </c>
      <c r="E186">
        <v>166894</v>
      </c>
      <c r="F186" t="s">
        <v>454</v>
      </c>
      <c r="G186" t="s">
        <v>455</v>
      </c>
      <c r="H186" t="s">
        <v>456</v>
      </c>
      <c r="I186" t="s">
        <v>455</v>
      </c>
      <c r="L186" t="b">
        <v>0</v>
      </c>
      <c r="M186" t="s">
        <v>61</v>
      </c>
      <c r="N186" t="s">
        <v>331</v>
      </c>
      <c r="P186" t="s">
        <v>33</v>
      </c>
      <c r="Q186">
        <v>1</v>
      </c>
      <c r="R186">
        <v>3</v>
      </c>
      <c r="S186">
        <v>100.8417</v>
      </c>
      <c r="T186">
        <v>23750000</v>
      </c>
      <c r="U186">
        <v>25000000</v>
      </c>
      <c r="V186">
        <v>0.95</v>
      </c>
      <c r="W186">
        <v>213145.51</v>
      </c>
      <c r="X186">
        <v>7047198.4000000004</v>
      </c>
      <c r="Y186">
        <v>7260343.9100000001</v>
      </c>
    </row>
    <row r="187" spans="1:25" x14ac:dyDescent="0.25">
      <c r="A187">
        <v>16</v>
      </c>
      <c r="B187" t="s">
        <v>578</v>
      </c>
      <c r="C187" t="s">
        <v>32</v>
      </c>
      <c r="D187" t="s">
        <v>795</v>
      </c>
      <c r="E187">
        <v>35456</v>
      </c>
      <c r="F187" t="s">
        <v>796</v>
      </c>
      <c r="G187" t="s">
        <v>797</v>
      </c>
      <c r="H187" t="s">
        <v>761</v>
      </c>
      <c r="I187" t="s">
        <v>797</v>
      </c>
      <c r="L187" t="b">
        <v>0</v>
      </c>
      <c r="M187" t="s">
        <v>112</v>
      </c>
      <c r="N187" t="s">
        <v>32</v>
      </c>
      <c r="P187" t="s">
        <v>579</v>
      </c>
      <c r="Q187">
        <v>1</v>
      </c>
      <c r="R187">
        <v>3</v>
      </c>
      <c r="S187">
        <v>101.875</v>
      </c>
      <c r="T187">
        <v>1852522</v>
      </c>
      <c r="U187">
        <v>2525248</v>
      </c>
      <c r="V187">
        <v>0.73360000000000003</v>
      </c>
      <c r="W187">
        <v>43997.4</v>
      </c>
      <c r="X187">
        <v>1887256.79</v>
      </c>
      <c r="Y187">
        <v>1931254.19</v>
      </c>
    </row>
    <row r="188" spans="1:25" x14ac:dyDescent="0.25">
      <c r="A188">
        <v>16</v>
      </c>
      <c r="B188" t="s">
        <v>578</v>
      </c>
      <c r="C188" t="s">
        <v>32</v>
      </c>
      <c r="D188" t="s">
        <v>798</v>
      </c>
      <c r="E188">
        <v>152069</v>
      </c>
      <c r="F188" t="s">
        <v>799</v>
      </c>
      <c r="G188" t="s">
        <v>800</v>
      </c>
      <c r="H188" t="s">
        <v>362</v>
      </c>
      <c r="I188" t="s">
        <v>801</v>
      </c>
      <c r="J188" t="s">
        <v>799</v>
      </c>
      <c r="K188" t="s">
        <v>802</v>
      </c>
      <c r="L188" t="b">
        <v>1</v>
      </c>
      <c r="M188" t="s">
        <v>44</v>
      </c>
      <c r="N188" t="s">
        <v>32</v>
      </c>
      <c r="P188" t="s">
        <v>579</v>
      </c>
      <c r="Q188">
        <v>1</v>
      </c>
      <c r="R188">
        <v>3</v>
      </c>
      <c r="S188">
        <v>100.84</v>
      </c>
      <c r="T188">
        <v>9190000</v>
      </c>
      <c r="U188">
        <v>9190000</v>
      </c>
      <c r="V188">
        <v>1</v>
      </c>
      <c r="W188">
        <v>160059.16</v>
      </c>
      <c r="X188">
        <v>9267196</v>
      </c>
      <c r="Y188">
        <v>9427255.1600000001</v>
      </c>
    </row>
    <row r="189" spans="1:25" x14ac:dyDescent="0.25">
      <c r="A189">
        <v>16</v>
      </c>
      <c r="B189" t="s">
        <v>578</v>
      </c>
      <c r="C189" t="s">
        <v>32</v>
      </c>
      <c r="D189" t="s">
        <v>359</v>
      </c>
      <c r="E189">
        <v>152071</v>
      </c>
      <c r="F189" t="s">
        <v>360</v>
      </c>
      <c r="G189" t="s">
        <v>361</v>
      </c>
      <c r="H189" t="s">
        <v>362</v>
      </c>
      <c r="I189" t="s">
        <v>363</v>
      </c>
      <c r="J189" t="s">
        <v>360</v>
      </c>
      <c r="K189" t="s">
        <v>364</v>
      </c>
      <c r="L189" t="b">
        <v>1</v>
      </c>
      <c r="M189" t="s">
        <v>44</v>
      </c>
      <c r="N189" t="s">
        <v>32</v>
      </c>
      <c r="P189" t="s">
        <v>579</v>
      </c>
      <c r="Q189">
        <v>1</v>
      </c>
      <c r="R189">
        <v>3</v>
      </c>
      <c r="S189">
        <v>100.86005</v>
      </c>
      <c r="T189">
        <v>7480000</v>
      </c>
      <c r="U189">
        <v>7480000</v>
      </c>
      <c r="V189">
        <v>1</v>
      </c>
      <c r="W189">
        <v>136198.34</v>
      </c>
      <c r="X189">
        <v>7544331.7400000002</v>
      </c>
      <c r="Y189">
        <v>7680530.0800000001</v>
      </c>
    </row>
    <row r="190" spans="1:25" x14ac:dyDescent="0.25">
      <c r="A190">
        <v>16</v>
      </c>
      <c r="B190" t="s">
        <v>578</v>
      </c>
      <c r="C190" t="s">
        <v>32</v>
      </c>
      <c r="D190" t="s">
        <v>803</v>
      </c>
      <c r="E190">
        <v>31626</v>
      </c>
      <c r="F190" t="s">
        <v>804</v>
      </c>
      <c r="G190" t="s">
        <v>805</v>
      </c>
      <c r="H190" t="s">
        <v>806</v>
      </c>
      <c r="I190" t="s">
        <v>807</v>
      </c>
      <c r="L190" t="b">
        <v>1</v>
      </c>
      <c r="M190" t="s">
        <v>681</v>
      </c>
      <c r="N190" t="s">
        <v>32</v>
      </c>
      <c r="P190" t="s">
        <v>579</v>
      </c>
      <c r="Q190">
        <v>1</v>
      </c>
      <c r="R190">
        <v>3</v>
      </c>
      <c r="S190">
        <v>99.470933333299996</v>
      </c>
      <c r="T190">
        <v>2307000</v>
      </c>
      <c r="U190">
        <v>2307000</v>
      </c>
      <c r="V190">
        <v>1</v>
      </c>
      <c r="W190">
        <v>31778.93</v>
      </c>
      <c r="X190">
        <v>2294794.4300000002</v>
      </c>
      <c r="Y190">
        <v>2326573.36</v>
      </c>
    </row>
    <row r="191" spans="1:25" x14ac:dyDescent="0.25">
      <c r="A191">
        <v>16</v>
      </c>
      <c r="B191" t="s">
        <v>578</v>
      </c>
      <c r="C191" t="s">
        <v>32</v>
      </c>
      <c r="D191" t="s">
        <v>808</v>
      </c>
      <c r="E191">
        <v>227438</v>
      </c>
      <c r="F191" t="s">
        <v>809</v>
      </c>
      <c r="G191" t="s">
        <v>810</v>
      </c>
      <c r="H191" t="s">
        <v>806</v>
      </c>
      <c r="I191" t="s">
        <v>811</v>
      </c>
      <c r="J191" t="s">
        <v>809</v>
      </c>
      <c r="K191" t="s">
        <v>812</v>
      </c>
      <c r="L191" t="b">
        <v>1</v>
      </c>
      <c r="M191" t="s">
        <v>681</v>
      </c>
      <c r="N191" t="s">
        <v>32</v>
      </c>
      <c r="P191" t="s">
        <v>579</v>
      </c>
      <c r="Q191">
        <v>1</v>
      </c>
      <c r="R191">
        <v>3</v>
      </c>
      <c r="S191">
        <v>100.5069</v>
      </c>
      <c r="T191">
        <v>5200000</v>
      </c>
      <c r="U191">
        <v>5200000</v>
      </c>
      <c r="V191">
        <v>1</v>
      </c>
      <c r="W191">
        <v>0</v>
      </c>
      <c r="X191">
        <v>5226358.8</v>
      </c>
      <c r="Y191">
        <v>5226358.8</v>
      </c>
    </row>
    <row r="192" spans="1:25" x14ac:dyDescent="0.25">
      <c r="A192">
        <v>16</v>
      </c>
      <c r="B192" t="s">
        <v>578</v>
      </c>
      <c r="C192" t="s">
        <v>32</v>
      </c>
      <c r="D192" t="s">
        <v>813</v>
      </c>
      <c r="E192">
        <v>116573</v>
      </c>
      <c r="F192" t="s">
        <v>814</v>
      </c>
      <c r="G192" t="s">
        <v>815</v>
      </c>
      <c r="H192" t="s">
        <v>816</v>
      </c>
      <c r="I192" t="s">
        <v>817</v>
      </c>
      <c r="L192" t="b">
        <v>1</v>
      </c>
      <c r="M192" t="s">
        <v>112</v>
      </c>
      <c r="N192" t="s">
        <v>32</v>
      </c>
      <c r="P192" t="s">
        <v>579</v>
      </c>
      <c r="Q192">
        <v>1</v>
      </c>
      <c r="R192">
        <v>3</v>
      </c>
      <c r="S192">
        <v>100.760575</v>
      </c>
      <c r="T192">
        <v>1383750</v>
      </c>
      <c r="U192">
        <v>1845000</v>
      </c>
      <c r="V192">
        <v>0.75</v>
      </c>
      <c r="W192">
        <v>56234.06</v>
      </c>
      <c r="X192">
        <v>1394274.46</v>
      </c>
      <c r="Y192">
        <v>1450508.52</v>
      </c>
    </row>
    <row r="193" spans="1:25" x14ac:dyDescent="0.25">
      <c r="A193">
        <v>16</v>
      </c>
      <c r="B193" t="s">
        <v>578</v>
      </c>
      <c r="C193" t="s">
        <v>32</v>
      </c>
      <c r="D193" t="s">
        <v>818</v>
      </c>
      <c r="E193">
        <v>450</v>
      </c>
      <c r="F193" t="s">
        <v>819</v>
      </c>
      <c r="G193" t="s">
        <v>820</v>
      </c>
      <c r="H193" t="s">
        <v>821</v>
      </c>
      <c r="I193" t="s">
        <v>822</v>
      </c>
      <c r="L193" t="b">
        <v>1</v>
      </c>
      <c r="M193" t="s">
        <v>31</v>
      </c>
      <c r="N193" t="s">
        <v>32</v>
      </c>
      <c r="P193" t="s">
        <v>579</v>
      </c>
      <c r="Q193">
        <v>1</v>
      </c>
      <c r="R193">
        <v>3</v>
      </c>
      <c r="S193">
        <v>98.748137499999999</v>
      </c>
      <c r="T193">
        <v>900000</v>
      </c>
      <c r="U193">
        <v>900000</v>
      </c>
      <c r="V193">
        <v>1</v>
      </c>
      <c r="W193">
        <v>19500</v>
      </c>
      <c r="X193">
        <v>888733.24</v>
      </c>
      <c r="Y193">
        <v>908233.24</v>
      </c>
    </row>
    <row r="194" spans="1:25" x14ac:dyDescent="0.25">
      <c r="A194">
        <v>16</v>
      </c>
      <c r="B194" t="s">
        <v>578</v>
      </c>
      <c r="C194" t="s">
        <v>32</v>
      </c>
      <c r="D194" t="s">
        <v>823</v>
      </c>
      <c r="E194">
        <v>31690</v>
      </c>
      <c r="F194" t="s">
        <v>824</v>
      </c>
      <c r="G194" t="s">
        <v>825</v>
      </c>
      <c r="H194" t="s">
        <v>826</v>
      </c>
      <c r="I194" t="s">
        <v>827</v>
      </c>
      <c r="L194" t="b">
        <v>1</v>
      </c>
      <c r="M194" t="s">
        <v>81</v>
      </c>
      <c r="N194" t="s">
        <v>32</v>
      </c>
      <c r="P194" t="s">
        <v>579</v>
      </c>
      <c r="Q194">
        <v>1</v>
      </c>
      <c r="R194">
        <v>3</v>
      </c>
      <c r="S194">
        <v>92.479687499999997</v>
      </c>
      <c r="T194">
        <v>2435000</v>
      </c>
      <c r="U194">
        <v>2435000</v>
      </c>
      <c r="V194">
        <v>1</v>
      </c>
      <c r="W194">
        <v>17890.48</v>
      </c>
      <c r="X194">
        <v>2251880.39</v>
      </c>
      <c r="Y194">
        <v>2269770.87</v>
      </c>
    </row>
    <row r="195" spans="1:25" x14ac:dyDescent="0.25">
      <c r="A195">
        <v>16</v>
      </c>
      <c r="B195" t="s">
        <v>578</v>
      </c>
      <c r="C195" t="s">
        <v>32</v>
      </c>
      <c r="D195" t="s">
        <v>828</v>
      </c>
      <c r="E195">
        <v>452</v>
      </c>
      <c r="F195" t="s">
        <v>829</v>
      </c>
      <c r="G195" t="s">
        <v>830</v>
      </c>
      <c r="H195" t="s">
        <v>826</v>
      </c>
      <c r="I195" t="s">
        <v>831</v>
      </c>
      <c r="L195" t="b">
        <v>1</v>
      </c>
      <c r="M195" t="s">
        <v>81</v>
      </c>
      <c r="N195" t="s">
        <v>32</v>
      </c>
      <c r="P195" t="s">
        <v>579</v>
      </c>
      <c r="Q195">
        <v>1</v>
      </c>
      <c r="R195">
        <v>3</v>
      </c>
      <c r="S195">
        <v>101.99435</v>
      </c>
      <c r="T195">
        <v>3720000</v>
      </c>
      <c r="U195">
        <v>6975000</v>
      </c>
      <c r="V195">
        <v>0.5333</v>
      </c>
      <c r="W195">
        <v>35650</v>
      </c>
      <c r="X195">
        <v>3794189.82</v>
      </c>
      <c r="Y195">
        <v>3829839.82</v>
      </c>
    </row>
    <row r="196" spans="1:25" x14ac:dyDescent="0.25">
      <c r="A196">
        <v>16</v>
      </c>
      <c r="B196" t="s">
        <v>578</v>
      </c>
      <c r="C196" t="s">
        <v>32</v>
      </c>
      <c r="D196" t="s">
        <v>832</v>
      </c>
      <c r="E196">
        <v>88647</v>
      </c>
      <c r="F196" t="s">
        <v>833</v>
      </c>
      <c r="G196" t="s">
        <v>834</v>
      </c>
      <c r="H196" t="s">
        <v>835</v>
      </c>
      <c r="I196" t="s">
        <v>834</v>
      </c>
      <c r="L196" t="b">
        <v>0</v>
      </c>
      <c r="M196" t="s">
        <v>50</v>
      </c>
      <c r="N196" t="s">
        <v>32</v>
      </c>
      <c r="P196" t="s">
        <v>579</v>
      </c>
      <c r="Q196">
        <v>1</v>
      </c>
      <c r="R196">
        <v>3</v>
      </c>
      <c r="S196">
        <v>8</v>
      </c>
      <c r="T196">
        <v>2374374</v>
      </c>
      <c r="U196">
        <v>2374374</v>
      </c>
      <c r="V196">
        <v>1</v>
      </c>
      <c r="W196">
        <v>13982.42</v>
      </c>
      <c r="X196">
        <v>189949.92</v>
      </c>
      <c r="Y196">
        <v>203932.34</v>
      </c>
    </row>
    <row r="197" spans="1:25" x14ac:dyDescent="0.25">
      <c r="A197">
        <v>16</v>
      </c>
      <c r="B197" t="s">
        <v>578</v>
      </c>
      <c r="C197" t="s">
        <v>32</v>
      </c>
      <c r="D197" t="s">
        <v>836</v>
      </c>
      <c r="E197">
        <v>89366</v>
      </c>
      <c r="F197" t="s">
        <v>837</v>
      </c>
      <c r="G197" t="s">
        <v>838</v>
      </c>
      <c r="H197" t="s">
        <v>835</v>
      </c>
      <c r="I197" t="s">
        <v>838</v>
      </c>
      <c r="L197" t="b">
        <v>0</v>
      </c>
      <c r="M197" t="s">
        <v>50</v>
      </c>
      <c r="N197" t="s">
        <v>32</v>
      </c>
      <c r="P197" t="s">
        <v>579</v>
      </c>
      <c r="Q197">
        <v>1</v>
      </c>
      <c r="R197">
        <v>3</v>
      </c>
      <c r="S197">
        <v>57.273000000000003</v>
      </c>
      <c r="T197">
        <v>2756421</v>
      </c>
      <c r="U197">
        <v>2756421</v>
      </c>
      <c r="V197">
        <v>1</v>
      </c>
      <c r="W197">
        <v>4900.3099999999986</v>
      </c>
      <c r="X197">
        <v>1578685</v>
      </c>
      <c r="Y197">
        <v>1583585.31</v>
      </c>
    </row>
    <row r="198" spans="1:25" x14ac:dyDescent="0.25">
      <c r="A198">
        <v>16</v>
      </c>
      <c r="B198" t="s">
        <v>578</v>
      </c>
      <c r="C198" t="s">
        <v>32</v>
      </c>
      <c r="D198" t="s">
        <v>369</v>
      </c>
      <c r="E198">
        <v>160292</v>
      </c>
      <c r="F198" t="s">
        <v>370</v>
      </c>
      <c r="G198" t="s">
        <v>371</v>
      </c>
      <c r="H198" t="s">
        <v>372</v>
      </c>
      <c r="I198" t="s">
        <v>373</v>
      </c>
      <c r="J198" t="s">
        <v>370</v>
      </c>
      <c r="K198" t="s">
        <v>374</v>
      </c>
      <c r="L198" t="b">
        <v>1</v>
      </c>
      <c r="M198" t="s">
        <v>81</v>
      </c>
      <c r="N198" t="s">
        <v>32</v>
      </c>
      <c r="P198" t="s">
        <v>579</v>
      </c>
      <c r="Q198">
        <v>1</v>
      </c>
      <c r="R198">
        <v>3</v>
      </c>
      <c r="S198">
        <v>102.17795</v>
      </c>
      <c r="T198">
        <v>3330000</v>
      </c>
      <c r="U198">
        <v>3330000</v>
      </c>
      <c r="V198">
        <v>1</v>
      </c>
      <c r="W198">
        <v>129661.88</v>
      </c>
      <c r="X198">
        <v>3402525.74</v>
      </c>
      <c r="Y198">
        <v>3532187.62</v>
      </c>
    </row>
    <row r="199" spans="1:25" x14ac:dyDescent="0.25">
      <c r="A199">
        <v>16</v>
      </c>
      <c r="B199" t="s">
        <v>578</v>
      </c>
      <c r="C199" t="s">
        <v>32</v>
      </c>
      <c r="D199" t="s">
        <v>839</v>
      </c>
      <c r="E199">
        <v>116576</v>
      </c>
      <c r="F199" t="s">
        <v>840</v>
      </c>
      <c r="G199" t="s">
        <v>841</v>
      </c>
      <c r="H199" t="s">
        <v>378</v>
      </c>
      <c r="I199" t="s">
        <v>842</v>
      </c>
      <c r="L199" t="b">
        <v>1</v>
      </c>
      <c r="M199" t="s">
        <v>61</v>
      </c>
      <c r="N199" t="s">
        <v>32</v>
      </c>
      <c r="P199" t="s">
        <v>579</v>
      </c>
      <c r="Q199">
        <v>1</v>
      </c>
      <c r="R199">
        <v>3</v>
      </c>
      <c r="S199">
        <v>105.7434166667</v>
      </c>
      <c r="T199">
        <v>1321280</v>
      </c>
      <c r="U199">
        <v>1321280</v>
      </c>
      <c r="V199">
        <v>1</v>
      </c>
      <c r="W199">
        <v>16883.03</v>
      </c>
      <c r="X199">
        <v>1397166.62</v>
      </c>
      <c r="Y199">
        <v>1414049.65</v>
      </c>
    </row>
    <row r="200" spans="1:25" x14ac:dyDescent="0.25">
      <c r="A200">
        <v>16</v>
      </c>
      <c r="B200" t="s">
        <v>578</v>
      </c>
      <c r="C200" t="s">
        <v>32</v>
      </c>
      <c r="D200" t="s">
        <v>375</v>
      </c>
      <c r="E200">
        <v>193917</v>
      </c>
      <c r="F200" t="s">
        <v>376</v>
      </c>
      <c r="G200" t="s">
        <v>377</v>
      </c>
      <c r="H200" t="s">
        <v>378</v>
      </c>
      <c r="I200" t="s">
        <v>379</v>
      </c>
      <c r="J200" t="s">
        <v>376</v>
      </c>
      <c r="K200" t="s">
        <v>380</v>
      </c>
      <c r="L200" t="b">
        <v>1</v>
      </c>
      <c r="M200" t="s">
        <v>61</v>
      </c>
      <c r="N200" t="s">
        <v>32</v>
      </c>
      <c r="P200" t="s">
        <v>579</v>
      </c>
      <c r="Q200">
        <v>1</v>
      </c>
      <c r="R200">
        <v>3</v>
      </c>
      <c r="S200">
        <v>100.1086441667</v>
      </c>
      <c r="T200">
        <v>5250000</v>
      </c>
      <c r="U200">
        <v>5250000</v>
      </c>
      <c r="V200">
        <v>1</v>
      </c>
      <c r="W200">
        <v>108463.54</v>
      </c>
      <c r="X200">
        <v>5255703.82</v>
      </c>
      <c r="Y200">
        <v>5364167.3600000003</v>
      </c>
    </row>
    <row r="201" spans="1:25" x14ac:dyDescent="0.25">
      <c r="A201">
        <v>16</v>
      </c>
      <c r="B201" t="s">
        <v>578</v>
      </c>
      <c r="C201" t="s">
        <v>32</v>
      </c>
      <c r="D201" t="s">
        <v>843</v>
      </c>
      <c r="E201">
        <v>492</v>
      </c>
      <c r="F201" t="s">
        <v>844</v>
      </c>
      <c r="G201" t="s">
        <v>845</v>
      </c>
      <c r="H201" t="s">
        <v>846</v>
      </c>
      <c r="I201" t="s">
        <v>847</v>
      </c>
      <c r="L201" t="b">
        <v>1</v>
      </c>
      <c r="M201" t="s">
        <v>848</v>
      </c>
      <c r="N201" t="s">
        <v>32</v>
      </c>
      <c r="P201" t="s">
        <v>579</v>
      </c>
      <c r="Q201">
        <v>1</v>
      </c>
      <c r="R201">
        <v>3</v>
      </c>
      <c r="S201">
        <v>99.818116666700007</v>
      </c>
      <c r="T201">
        <v>2343285</v>
      </c>
      <c r="U201">
        <v>4333000</v>
      </c>
      <c r="V201">
        <v>0.54079999999999995</v>
      </c>
      <c r="W201">
        <v>14881.49</v>
      </c>
      <c r="X201">
        <v>2339022.9500000011</v>
      </c>
      <c r="Y201">
        <v>2353904.4400000009</v>
      </c>
    </row>
    <row r="202" spans="1:25" x14ac:dyDescent="0.25">
      <c r="A202">
        <v>16</v>
      </c>
      <c r="B202" t="s">
        <v>578</v>
      </c>
      <c r="C202" t="s">
        <v>32</v>
      </c>
      <c r="D202" t="s">
        <v>849</v>
      </c>
      <c r="E202">
        <v>4290</v>
      </c>
      <c r="F202" t="s">
        <v>850</v>
      </c>
      <c r="G202" t="s">
        <v>851</v>
      </c>
      <c r="H202" t="s">
        <v>852</v>
      </c>
      <c r="I202" t="s">
        <v>853</v>
      </c>
      <c r="L202" t="b">
        <v>1</v>
      </c>
      <c r="M202" t="s">
        <v>81</v>
      </c>
      <c r="N202" t="s">
        <v>32</v>
      </c>
      <c r="P202" t="s">
        <v>579</v>
      </c>
      <c r="Q202">
        <v>1</v>
      </c>
      <c r="R202">
        <v>3</v>
      </c>
      <c r="S202">
        <v>94.157535714299996</v>
      </c>
      <c r="T202">
        <v>3110000</v>
      </c>
      <c r="U202">
        <v>3110000</v>
      </c>
      <c r="V202">
        <v>1</v>
      </c>
      <c r="W202">
        <v>66897.400000000009</v>
      </c>
      <c r="X202">
        <v>2928299.36</v>
      </c>
      <c r="Y202">
        <v>2995196.76</v>
      </c>
    </row>
    <row r="203" spans="1:25" x14ac:dyDescent="0.25">
      <c r="A203">
        <v>16</v>
      </c>
      <c r="B203" t="s">
        <v>578</v>
      </c>
      <c r="C203" t="s">
        <v>32</v>
      </c>
      <c r="D203" t="s">
        <v>381</v>
      </c>
      <c r="E203">
        <v>223116</v>
      </c>
      <c r="F203" t="s">
        <v>382</v>
      </c>
      <c r="G203" t="s">
        <v>383</v>
      </c>
      <c r="H203" t="s">
        <v>384</v>
      </c>
      <c r="I203" t="s">
        <v>385</v>
      </c>
      <c r="J203" t="s">
        <v>382</v>
      </c>
      <c r="K203" t="s">
        <v>386</v>
      </c>
      <c r="L203" t="b">
        <v>1</v>
      </c>
      <c r="M203" t="s">
        <v>81</v>
      </c>
      <c r="N203" t="s">
        <v>32</v>
      </c>
      <c r="P203" t="s">
        <v>579</v>
      </c>
      <c r="Q203">
        <v>1</v>
      </c>
      <c r="R203">
        <v>3</v>
      </c>
      <c r="S203">
        <v>93.855900000000005</v>
      </c>
      <c r="T203">
        <v>8700000</v>
      </c>
      <c r="U203">
        <v>8700000</v>
      </c>
      <c r="V203">
        <v>1</v>
      </c>
      <c r="W203">
        <v>59450</v>
      </c>
      <c r="X203">
        <v>8165463.2999999998</v>
      </c>
      <c r="Y203">
        <v>8224913.2999999998</v>
      </c>
    </row>
    <row r="204" spans="1:25" x14ac:dyDescent="0.25">
      <c r="A204">
        <v>16</v>
      </c>
      <c r="B204" t="s">
        <v>578</v>
      </c>
      <c r="C204" t="s">
        <v>32</v>
      </c>
      <c r="D204" t="s">
        <v>387</v>
      </c>
      <c r="E204">
        <v>202700</v>
      </c>
      <c r="F204" t="s">
        <v>388</v>
      </c>
      <c r="G204" t="s">
        <v>389</v>
      </c>
      <c r="H204" t="s">
        <v>384</v>
      </c>
      <c r="I204" t="s">
        <v>390</v>
      </c>
      <c r="J204" t="s">
        <v>388</v>
      </c>
      <c r="K204" t="s">
        <v>391</v>
      </c>
      <c r="L204" t="b">
        <v>1</v>
      </c>
      <c r="M204" t="s">
        <v>81</v>
      </c>
      <c r="N204" t="s">
        <v>32</v>
      </c>
      <c r="P204" t="s">
        <v>579</v>
      </c>
      <c r="Q204">
        <v>1</v>
      </c>
      <c r="R204">
        <v>3</v>
      </c>
      <c r="S204">
        <v>93.774050000000003</v>
      </c>
      <c r="T204">
        <v>3900000</v>
      </c>
      <c r="U204">
        <v>3900000</v>
      </c>
      <c r="V204">
        <v>1</v>
      </c>
      <c r="W204">
        <v>3087.5</v>
      </c>
      <c r="X204">
        <v>3657187.95</v>
      </c>
      <c r="Y204">
        <v>3660275.45</v>
      </c>
    </row>
    <row r="205" spans="1:25" x14ac:dyDescent="0.25">
      <c r="A205">
        <v>16</v>
      </c>
      <c r="B205" t="s">
        <v>578</v>
      </c>
      <c r="C205" t="s">
        <v>32</v>
      </c>
      <c r="D205" t="s">
        <v>854</v>
      </c>
      <c r="E205">
        <v>160668</v>
      </c>
      <c r="F205" t="s">
        <v>855</v>
      </c>
      <c r="G205" t="s">
        <v>856</v>
      </c>
      <c r="H205" t="s">
        <v>384</v>
      </c>
      <c r="I205" t="s">
        <v>857</v>
      </c>
      <c r="J205" t="s">
        <v>855</v>
      </c>
      <c r="K205" t="s">
        <v>858</v>
      </c>
      <c r="L205" t="b">
        <v>1</v>
      </c>
      <c r="M205" t="s">
        <v>81</v>
      </c>
      <c r="N205" t="s">
        <v>32</v>
      </c>
      <c r="P205" t="s">
        <v>579</v>
      </c>
      <c r="Q205">
        <v>1</v>
      </c>
      <c r="R205">
        <v>3</v>
      </c>
      <c r="S205">
        <v>96.655000000000001</v>
      </c>
      <c r="T205">
        <v>710000</v>
      </c>
      <c r="U205">
        <v>710000</v>
      </c>
      <c r="V205">
        <v>1</v>
      </c>
      <c r="W205">
        <v>31701.01</v>
      </c>
      <c r="X205">
        <v>686250.5</v>
      </c>
      <c r="Y205">
        <v>717951.51</v>
      </c>
    </row>
    <row r="206" spans="1:25" x14ac:dyDescent="0.25">
      <c r="A206">
        <v>16</v>
      </c>
      <c r="B206" t="s">
        <v>578</v>
      </c>
      <c r="C206" t="s">
        <v>32</v>
      </c>
      <c r="D206" t="s">
        <v>859</v>
      </c>
      <c r="E206">
        <v>204148</v>
      </c>
      <c r="F206" t="s">
        <v>860</v>
      </c>
      <c r="G206" t="s">
        <v>861</v>
      </c>
      <c r="H206" t="s">
        <v>862</v>
      </c>
      <c r="I206" t="s">
        <v>863</v>
      </c>
      <c r="J206" t="s">
        <v>860</v>
      </c>
      <c r="K206" t="s">
        <v>864</v>
      </c>
      <c r="L206" t="b">
        <v>1</v>
      </c>
      <c r="M206" t="s">
        <v>31</v>
      </c>
      <c r="N206" t="s">
        <v>32</v>
      </c>
      <c r="P206" t="s">
        <v>579</v>
      </c>
      <c r="Q206">
        <v>1</v>
      </c>
      <c r="R206">
        <v>3</v>
      </c>
      <c r="S206">
        <v>92.459000000000003</v>
      </c>
      <c r="T206">
        <v>4000000</v>
      </c>
      <c r="U206">
        <v>4000000</v>
      </c>
      <c r="V206">
        <v>1</v>
      </c>
      <c r="W206">
        <v>192013.88</v>
      </c>
      <c r="X206">
        <v>3698360</v>
      </c>
      <c r="Y206">
        <v>3890373.88</v>
      </c>
    </row>
    <row r="207" spans="1:25" x14ac:dyDescent="0.25">
      <c r="A207">
        <v>16</v>
      </c>
      <c r="B207" t="s">
        <v>578</v>
      </c>
      <c r="C207" t="s">
        <v>32</v>
      </c>
      <c r="D207" t="s">
        <v>865</v>
      </c>
      <c r="E207">
        <v>34669</v>
      </c>
      <c r="F207" t="s">
        <v>866</v>
      </c>
      <c r="G207" t="s">
        <v>867</v>
      </c>
      <c r="H207" t="s">
        <v>868</v>
      </c>
      <c r="I207" t="s">
        <v>869</v>
      </c>
      <c r="L207" t="b">
        <v>1</v>
      </c>
      <c r="M207" t="s">
        <v>44</v>
      </c>
      <c r="N207" t="s">
        <v>32</v>
      </c>
      <c r="P207" t="s">
        <v>579</v>
      </c>
      <c r="Q207">
        <v>1</v>
      </c>
      <c r="R207">
        <v>3</v>
      </c>
      <c r="S207">
        <v>65.557583333300002</v>
      </c>
      <c r="T207">
        <v>5000000</v>
      </c>
      <c r="U207">
        <v>5000000</v>
      </c>
      <c r="V207">
        <v>1</v>
      </c>
      <c r="W207">
        <v>0</v>
      </c>
      <c r="X207">
        <v>3277879.16</v>
      </c>
      <c r="Y207">
        <v>3277879.16</v>
      </c>
    </row>
    <row r="208" spans="1:25" x14ac:dyDescent="0.25">
      <c r="A208">
        <v>16</v>
      </c>
      <c r="B208" t="s">
        <v>578</v>
      </c>
      <c r="C208" t="s">
        <v>32</v>
      </c>
      <c r="D208" t="s">
        <v>870</v>
      </c>
      <c r="E208">
        <v>1917</v>
      </c>
      <c r="F208" t="s">
        <v>871</v>
      </c>
      <c r="G208" t="s">
        <v>872</v>
      </c>
      <c r="H208" t="s">
        <v>868</v>
      </c>
      <c r="I208" t="s">
        <v>873</v>
      </c>
      <c r="L208" t="b">
        <v>1</v>
      </c>
      <c r="M208" t="s">
        <v>44</v>
      </c>
      <c r="N208" t="s">
        <v>32</v>
      </c>
      <c r="P208" t="s">
        <v>579</v>
      </c>
      <c r="Q208">
        <v>1</v>
      </c>
      <c r="R208">
        <v>3</v>
      </c>
      <c r="S208">
        <v>65.536000000000001</v>
      </c>
      <c r="T208">
        <v>4835000</v>
      </c>
      <c r="U208">
        <v>4835000</v>
      </c>
      <c r="V208">
        <v>1</v>
      </c>
      <c r="W208">
        <v>0</v>
      </c>
      <c r="X208">
        <v>3168665.6000000001</v>
      </c>
      <c r="Y208">
        <v>3168665.6000000001</v>
      </c>
    </row>
    <row r="209" spans="1:25" x14ac:dyDescent="0.25">
      <c r="A209">
        <v>16</v>
      </c>
      <c r="B209" t="s">
        <v>578</v>
      </c>
      <c r="C209" t="s">
        <v>32</v>
      </c>
      <c r="D209" t="s">
        <v>874</v>
      </c>
      <c r="E209">
        <v>225327</v>
      </c>
      <c r="F209" t="s">
        <v>875</v>
      </c>
      <c r="G209" t="s">
        <v>876</v>
      </c>
      <c r="H209" t="s">
        <v>877</v>
      </c>
      <c r="I209" t="s">
        <v>878</v>
      </c>
      <c r="L209" t="b">
        <v>1</v>
      </c>
      <c r="M209" t="s">
        <v>39</v>
      </c>
      <c r="N209" t="s">
        <v>32</v>
      </c>
      <c r="P209" t="s">
        <v>579</v>
      </c>
      <c r="Q209">
        <v>1</v>
      </c>
      <c r="R209">
        <v>3</v>
      </c>
      <c r="S209">
        <v>100.512</v>
      </c>
      <c r="T209">
        <v>8000000</v>
      </c>
      <c r="U209">
        <v>8000000</v>
      </c>
      <c r="V209">
        <v>1</v>
      </c>
      <c r="W209">
        <v>35777.78</v>
      </c>
      <c r="X209">
        <v>8040960</v>
      </c>
      <c r="Y209">
        <v>8076737.7800000003</v>
      </c>
    </row>
    <row r="210" spans="1:25" x14ac:dyDescent="0.25">
      <c r="A210">
        <v>16</v>
      </c>
      <c r="B210" t="s">
        <v>578</v>
      </c>
      <c r="C210" t="s">
        <v>32</v>
      </c>
      <c r="D210" t="s">
        <v>879</v>
      </c>
      <c r="E210">
        <v>88047</v>
      </c>
      <c r="F210" t="s">
        <v>880</v>
      </c>
      <c r="G210" t="s">
        <v>881</v>
      </c>
      <c r="H210" t="s">
        <v>882</v>
      </c>
      <c r="I210" t="s">
        <v>883</v>
      </c>
      <c r="L210" t="b">
        <v>1</v>
      </c>
      <c r="M210" t="s">
        <v>31</v>
      </c>
      <c r="N210" t="s">
        <v>32</v>
      </c>
      <c r="P210" t="s">
        <v>579</v>
      </c>
      <c r="Q210">
        <v>1</v>
      </c>
      <c r="R210">
        <v>3</v>
      </c>
      <c r="S210">
        <v>101.45180000000001</v>
      </c>
      <c r="T210">
        <v>2541000</v>
      </c>
      <c r="U210">
        <v>2541000</v>
      </c>
      <c r="V210">
        <v>1</v>
      </c>
      <c r="W210">
        <v>45438.02</v>
      </c>
      <c r="X210">
        <v>2577890.2400000002</v>
      </c>
      <c r="Y210">
        <v>2623328.2599999998</v>
      </c>
    </row>
    <row r="211" spans="1:25" x14ac:dyDescent="0.25">
      <c r="A211">
        <v>16</v>
      </c>
      <c r="B211" t="s">
        <v>578</v>
      </c>
      <c r="C211" t="s">
        <v>32</v>
      </c>
      <c r="D211" t="s">
        <v>884</v>
      </c>
      <c r="E211">
        <v>130577</v>
      </c>
      <c r="F211" t="s">
        <v>885</v>
      </c>
      <c r="G211" t="s">
        <v>886</v>
      </c>
      <c r="H211" t="s">
        <v>887</v>
      </c>
      <c r="I211" t="s">
        <v>888</v>
      </c>
      <c r="L211" t="b">
        <v>1</v>
      </c>
      <c r="M211" t="s">
        <v>50</v>
      </c>
      <c r="N211" t="s">
        <v>32</v>
      </c>
      <c r="P211" t="s">
        <v>579</v>
      </c>
      <c r="Q211">
        <v>1</v>
      </c>
      <c r="R211">
        <v>3</v>
      </c>
      <c r="S211">
        <v>104.812</v>
      </c>
      <c r="T211">
        <v>5155000</v>
      </c>
      <c r="U211">
        <v>5155000</v>
      </c>
      <c r="V211">
        <v>1</v>
      </c>
      <c r="W211">
        <v>99040.450000000012</v>
      </c>
      <c r="X211">
        <v>5403058.5999999996</v>
      </c>
      <c r="Y211">
        <v>5502099.0499999998</v>
      </c>
    </row>
    <row r="212" spans="1:25" x14ac:dyDescent="0.25">
      <c r="A212">
        <v>16</v>
      </c>
      <c r="B212" t="s">
        <v>578</v>
      </c>
      <c r="C212" t="s">
        <v>32</v>
      </c>
      <c r="D212" t="s">
        <v>889</v>
      </c>
      <c r="E212">
        <v>202363</v>
      </c>
      <c r="F212" t="s">
        <v>890</v>
      </c>
      <c r="G212" t="s">
        <v>891</v>
      </c>
      <c r="H212" t="s">
        <v>892</v>
      </c>
      <c r="I212" t="s">
        <v>893</v>
      </c>
      <c r="J212" t="s">
        <v>890</v>
      </c>
      <c r="K212" t="s">
        <v>894</v>
      </c>
      <c r="L212" t="b">
        <v>1</v>
      </c>
      <c r="M212" t="s">
        <v>895</v>
      </c>
      <c r="N212" t="s">
        <v>32</v>
      </c>
      <c r="P212" t="s">
        <v>579</v>
      </c>
      <c r="Q212">
        <v>1</v>
      </c>
      <c r="R212">
        <v>3</v>
      </c>
      <c r="S212">
        <v>100.6611</v>
      </c>
      <c r="T212">
        <v>2600000</v>
      </c>
      <c r="U212">
        <v>2600000</v>
      </c>
      <c r="V212">
        <v>1</v>
      </c>
      <c r="W212">
        <v>50143.89</v>
      </c>
      <c r="X212">
        <v>2617188.6</v>
      </c>
      <c r="Y212">
        <v>2667332.4900000002</v>
      </c>
    </row>
    <row r="213" spans="1:25" x14ac:dyDescent="0.25">
      <c r="A213">
        <v>16</v>
      </c>
      <c r="B213" t="s">
        <v>578</v>
      </c>
      <c r="C213" t="s">
        <v>32</v>
      </c>
      <c r="D213" t="s">
        <v>392</v>
      </c>
      <c r="E213">
        <v>215023</v>
      </c>
      <c r="F213" t="s">
        <v>393</v>
      </c>
      <c r="G213" t="s">
        <v>394</v>
      </c>
      <c r="H213" t="s">
        <v>300</v>
      </c>
      <c r="I213" t="s">
        <v>395</v>
      </c>
      <c r="J213" t="s">
        <v>393</v>
      </c>
      <c r="K213" t="s">
        <v>396</v>
      </c>
      <c r="L213" t="b">
        <v>1</v>
      </c>
      <c r="M213" t="s">
        <v>44</v>
      </c>
      <c r="N213" t="s">
        <v>32</v>
      </c>
      <c r="P213" t="s">
        <v>579</v>
      </c>
      <c r="Q213">
        <v>1</v>
      </c>
      <c r="R213">
        <v>3</v>
      </c>
      <c r="S213">
        <v>98.731250000000003</v>
      </c>
      <c r="T213">
        <v>4300000</v>
      </c>
      <c r="U213">
        <v>4300000</v>
      </c>
      <c r="V213">
        <v>1</v>
      </c>
      <c r="W213">
        <v>67193.23</v>
      </c>
      <c r="X213">
        <v>4245443.75</v>
      </c>
      <c r="Y213">
        <v>4312636.9800000004</v>
      </c>
    </row>
    <row r="214" spans="1:25" x14ac:dyDescent="0.25">
      <c r="A214">
        <v>16</v>
      </c>
      <c r="B214" t="s">
        <v>578</v>
      </c>
      <c r="C214" t="s">
        <v>32</v>
      </c>
      <c r="D214" t="s">
        <v>397</v>
      </c>
      <c r="E214">
        <v>131577</v>
      </c>
      <c r="F214" t="s">
        <v>398</v>
      </c>
      <c r="G214" t="s">
        <v>399</v>
      </c>
      <c r="H214" t="s">
        <v>400</v>
      </c>
      <c r="I214" t="s">
        <v>399</v>
      </c>
      <c r="L214" t="b">
        <v>0</v>
      </c>
      <c r="M214" t="s">
        <v>81</v>
      </c>
      <c r="N214" t="s">
        <v>32</v>
      </c>
      <c r="P214" t="s">
        <v>579</v>
      </c>
      <c r="Q214">
        <v>1</v>
      </c>
      <c r="R214">
        <v>3</v>
      </c>
      <c r="S214">
        <v>110.64100000000001</v>
      </c>
      <c r="T214">
        <v>3620000</v>
      </c>
      <c r="U214">
        <v>3620000</v>
      </c>
      <c r="V214">
        <v>1</v>
      </c>
      <c r="W214">
        <v>183715</v>
      </c>
      <c r="X214">
        <v>4005204.2</v>
      </c>
      <c r="Y214">
        <v>4188919.2</v>
      </c>
    </row>
    <row r="215" spans="1:25" x14ac:dyDescent="0.25">
      <c r="A215">
        <v>16</v>
      </c>
      <c r="B215" t="s">
        <v>578</v>
      </c>
      <c r="C215" t="s">
        <v>32</v>
      </c>
      <c r="D215" t="s">
        <v>401</v>
      </c>
      <c r="E215">
        <v>35570</v>
      </c>
      <c r="F215" t="s">
        <v>402</v>
      </c>
      <c r="G215" t="s">
        <v>403</v>
      </c>
      <c r="H215" t="s">
        <v>404</v>
      </c>
      <c r="I215" t="s">
        <v>405</v>
      </c>
      <c r="L215" t="b">
        <v>1</v>
      </c>
      <c r="M215" t="s">
        <v>44</v>
      </c>
      <c r="N215" t="s">
        <v>32</v>
      </c>
      <c r="P215" t="s">
        <v>579</v>
      </c>
      <c r="Q215">
        <v>1</v>
      </c>
      <c r="R215">
        <v>3</v>
      </c>
      <c r="S215">
        <v>95.114757142900004</v>
      </c>
      <c r="T215">
        <v>1792000</v>
      </c>
      <c r="U215">
        <v>1792000</v>
      </c>
      <c r="V215">
        <v>1</v>
      </c>
      <c r="W215">
        <v>2308.4499999999998</v>
      </c>
      <c r="X215">
        <v>1704456.45</v>
      </c>
      <c r="Y215">
        <v>1706764.9</v>
      </c>
    </row>
    <row r="216" spans="1:25" x14ac:dyDescent="0.25">
      <c r="A216">
        <v>16</v>
      </c>
      <c r="B216" t="s">
        <v>578</v>
      </c>
      <c r="C216" t="s">
        <v>32</v>
      </c>
      <c r="D216" t="s">
        <v>406</v>
      </c>
      <c r="E216">
        <v>523</v>
      </c>
      <c r="F216" t="s">
        <v>407</v>
      </c>
      <c r="G216" t="s">
        <v>408</v>
      </c>
      <c r="H216" t="s">
        <v>404</v>
      </c>
      <c r="I216" t="s">
        <v>409</v>
      </c>
      <c r="L216" t="b">
        <v>1</v>
      </c>
      <c r="M216" t="s">
        <v>44</v>
      </c>
      <c r="N216" t="s">
        <v>32</v>
      </c>
      <c r="P216" t="s">
        <v>579</v>
      </c>
      <c r="Q216">
        <v>1</v>
      </c>
      <c r="R216">
        <v>3</v>
      </c>
      <c r="S216">
        <v>99.684357142899998</v>
      </c>
      <c r="T216">
        <v>1800000</v>
      </c>
      <c r="U216">
        <v>1800000</v>
      </c>
      <c r="V216">
        <v>1</v>
      </c>
      <c r="W216">
        <v>12750</v>
      </c>
      <c r="X216">
        <v>1794318.43</v>
      </c>
      <c r="Y216">
        <v>1807068.43</v>
      </c>
    </row>
    <row r="217" spans="1:25" x14ac:dyDescent="0.25">
      <c r="A217">
        <v>16</v>
      </c>
      <c r="B217" t="s">
        <v>578</v>
      </c>
      <c r="C217" t="s">
        <v>32</v>
      </c>
      <c r="D217" t="s">
        <v>414</v>
      </c>
      <c r="E217">
        <v>222125</v>
      </c>
      <c r="F217" t="s">
        <v>415</v>
      </c>
      <c r="G217" t="s">
        <v>416</v>
      </c>
      <c r="H217" t="s">
        <v>404</v>
      </c>
      <c r="I217" t="s">
        <v>417</v>
      </c>
      <c r="J217" t="s">
        <v>415</v>
      </c>
      <c r="K217" t="s">
        <v>418</v>
      </c>
      <c r="L217" t="b">
        <v>1</v>
      </c>
      <c r="M217" t="s">
        <v>44</v>
      </c>
      <c r="N217" t="s">
        <v>32</v>
      </c>
      <c r="P217" t="s">
        <v>579</v>
      </c>
      <c r="Q217">
        <v>1</v>
      </c>
      <c r="R217">
        <v>3</v>
      </c>
      <c r="S217">
        <v>99.855112500000004</v>
      </c>
      <c r="T217">
        <v>1900000</v>
      </c>
      <c r="U217">
        <v>1900000</v>
      </c>
      <c r="V217">
        <v>1</v>
      </c>
      <c r="W217">
        <v>15622.22</v>
      </c>
      <c r="X217">
        <v>1897247.14</v>
      </c>
      <c r="Y217">
        <v>1912869.36</v>
      </c>
    </row>
    <row r="218" spans="1:25" x14ac:dyDescent="0.25">
      <c r="A218">
        <v>16</v>
      </c>
      <c r="B218" t="s">
        <v>578</v>
      </c>
      <c r="C218" t="s">
        <v>32</v>
      </c>
      <c r="D218" t="s">
        <v>896</v>
      </c>
      <c r="E218">
        <v>31384</v>
      </c>
      <c r="F218" t="s">
        <v>897</v>
      </c>
      <c r="G218" t="s">
        <v>898</v>
      </c>
      <c r="H218" t="s">
        <v>404</v>
      </c>
      <c r="I218" t="s">
        <v>899</v>
      </c>
      <c r="J218" t="s">
        <v>897</v>
      </c>
      <c r="K218" t="s">
        <v>900</v>
      </c>
      <c r="L218" t="b">
        <v>1</v>
      </c>
      <c r="M218" t="s">
        <v>44</v>
      </c>
      <c r="N218" t="s">
        <v>32</v>
      </c>
      <c r="P218" t="s">
        <v>579</v>
      </c>
      <c r="Q218">
        <v>1</v>
      </c>
      <c r="R218">
        <v>3</v>
      </c>
      <c r="S218">
        <v>103.08515</v>
      </c>
      <c r="T218">
        <v>5255000</v>
      </c>
      <c r="U218">
        <v>5255000</v>
      </c>
      <c r="V218">
        <v>1</v>
      </c>
      <c r="W218">
        <v>20782.79</v>
      </c>
      <c r="X218">
        <v>5417124.6399999997</v>
      </c>
      <c r="Y218">
        <v>5437907.4299999997</v>
      </c>
    </row>
    <row r="219" spans="1:25" x14ac:dyDescent="0.25">
      <c r="A219">
        <v>16</v>
      </c>
      <c r="B219" t="s">
        <v>578</v>
      </c>
      <c r="C219" t="s">
        <v>32</v>
      </c>
      <c r="D219" t="s">
        <v>428</v>
      </c>
      <c r="E219">
        <v>161093</v>
      </c>
      <c r="F219" t="s">
        <v>429</v>
      </c>
      <c r="G219" t="s">
        <v>430</v>
      </c>
      <c r="H219" t="s">
        <v>422</v>
      </c>
      <c r="I219" t="s">
        <v>431</v>
      </c>
      <c r="J219" t="s">
        <v>429</v>
      </c>
      <c r="K219" t="s">
        <v>432</v>
      </c>
      <c r="L219" t="b">
        <v>1</v>
      </c>
      <c r="M219" t="s">
        <v>44</v>
      </c>
      <c r="N219" t="s">
        <v>32</v>
      </c>
      <c r="P219" t="s">
        <v>579</v>
      </c>
      <c r="Q219">
        <v>1</v>
      </c>
      <c r="R219">
        <v>3</v>
      </c>
      <c r="S219">
        <v>102.45139</v>
      </c>
      <c r="T219">
        <v>1820000</v>
      </c>
      <c r="U219">
        <v>1820000</v>
      </c>
      <c r="V219">
        <v>1</v>
      </c>
      <c r="W219">
        <v>65532.63</v>
      </c>
      <c r="X219">
        <v>1864615.3</v>
      </c>
      <c r="Y219">
        <v>1930147.93</v>
      </c>
    </row>
    <row r="220" spans="1:25" x14ac:dyDescent="0.25">
      <c r="A220">
        <v>16</v>
      </c>
      <c r="B220" t="s">
        <v>578</v>
      </c>
      <c r="C220" t="s">
        <v>32</v>
      </c>
      <c r="D220" t="s">
        <v>433</v>
      </c>
      <c r="E220">
        <v>118335</v>
      </c>
      <c r="F220" t="s">
        <v>434</v>
      </c>
      <c r="G220" t="s">
        <v>435</v>
      </c>
      <c r="H220" t="s">
        <v>422</v>
      </c>
      <c r="I220" t="s">
        <v>436</v>
      </c>
      <c r="L220" t="b">
        <v>1</v>
      </c>
      <c r="M220" t="s">
        <v>44</v>
      </c>
      <c r="N220" t="s">
        <v>32</v>
      </c>
      <c r="P220" t="s">
        <v>579</v>
      </c>
      <c r="Q220">
        <v>1</v>
      </c>
      <c r="R220">
        <v>3</v>
      </c>
      <c r="S220">
        <v>105.57365</v>
      </c>
      <c r="T220">
        <v>5390000</v>
      </c>
      <c r="U220">
        <v>5390000</v>
      </c>
      <c r="V220">
        <v>1</v>
      </c>
      <c r="W220">
        <v>27979.34</v>
      </c>
      <c r="X220">
        <v>5690419.7399999993</v>
      </c>
      <c r="Y220">
        <v>5718399.0799999991</v>
      </c>
    </row>
    <row r="221" spans="1:25" x14ac:dyDescent="0.25">
      <c r="A221">
        <v>16</v>
      </c>
      <c r="B221" t="s">
        <v>578</v>
      </c>
      <c r="C221" t="s">
        <v>32</v>
      </c>
      <c r="D221" t="s">
        <v>437</v>
      </c>
      <c r="E221">
        <v>96458</v>
      </c>
      <c r="F221" t="s">
        <v>438</v>
      </c>
      <c r="G221" t="s">
        <v>439</v>
      </c>
      <c r="H221" t="s">
        <v>422</v>
      </c>
      <c r="I221" t="s">
        <v>440</v>
      </c>
      <c r="L221" t="b">
        <v>1</v>
      </c>
      <c r="M221" t="s">
        <v>44</v>
      </c>
      <c r="N221" t="s">
        <v>32</v>
      </c>
      <c r="P221" t="s">
        <v>579</v>
      </c>
      <c r="Q221">
        <v>1</v>
      </c>
      <c r="R221">
        <v>3</v>
      </c>
      <c r="S221">
        <v>107.2377666667</v>
      </c>
      <c r="T221">
        <v>7040000</v>
      </c>
      <c r="U221">
        <v>7040000</v>
      </c>
      <c r="V221">
        <v>1</v>
      </c>
      <c r="W221">
        <v>52878.21</v>
      </c>
      <c r="X221">
        <v>7549538.7699999996</v>
      </c>
      <c r="Y221">
        <v>7602416.9800000004</v>
      </c>
    </row>
    <row r="222" spans="1:25" x14ac:dyDescent="0.25">
      <c r="A222">
        <v>16</v>
      </c>
      <c r="B222" t="s">
        <v>578</v>
      </c>
      <c r="C222" t="s">
        <v>32</v>
      </c>
      <c r="D222" t="s">
        <v>901</v>
      </c>
      <c r="E222">
        <v>146583</v>
      </c>
      <c r="F222" t="s">
        <v>902</v>
      </c>
      <c r="G222" t="s">
        <v>903</v>
      </c>
      <c r="H222" t="s">
        <v>444</v>
      </c>
      <c r="I222" t="s">
        <v>904</v>
      </c>
      <c r="J222" t="s">
        <v>902</v>
      </c>
      <c r="K222" t="s">
        <v>905</v>
      </c>
      <c r="L222" t="b">
        <v>1</v>
      </c>
      <c r="M222" t="s">
        <v>50</v>
      </c>
      <c r="N222" t="s">
        <v>32</v>
      </c>
      <c r="P222" t="s">
        <v>579</v>
      </c>
      <c r="Q222">
        <v>1</v>
      </c>
      <c r="R222">
        <v>3</v>
      </c>
      <c r="S222">
        <v>104.57</v>
      </c>
      <c r="T222">
        <v>600000</v>
      </c>
      <c r="U222">
        <v>600000</v>
      </c>
      <c r="V222">
        <v>1</v>
      </c>
      <c r="W222">
        <v>17375</v>
      </c>
      <c r="X222">
        <v>627420</v>
      </c>
      <c r="Y222">
        <v>644795</v>
      </c>
    </row>
    <row r="223" spans="1:25" x14ac:dyDescent="0.25">
      <c r="A223">
        <v>16</v>
      </c>
      <c r="B223" t="s">
        <v>578</v>
      </c>
      <c r="C223" t="s">
        <v>32</v>
      </c>
      <c r="D223" t="s">
        <v>906</v>
      </c>
      <c r="E223">
        <v>146582</v>
      </c>
      <c r="F223" t="s">
        <v>905</v>
      </c>
      <c r="G223" t="s">
        <v>907</v>
      </c>
      <c r="H223" t="s">
        <v>444</v>
      </c>
      <c r="I223" t="s">
        <v>904</v>
      </c>
      <c r="J223" t="s">
        <v>902</v>
      </c>
      <c r="K223" t="s">
        <v>902</v>
      </c>
      <c r="L223" t="b">
        <v>1</v>
      </c>
      <c r="M223" t="s">
        <v>50</v>
      </c>
      <c r="N223" t="s">
        <v>32</v>
      </c>
      <c r="P223" t="s">
        <v>579</v>
      </c>
      <c r="Q223">
        <v>1</v>
      </c>
      <c r="R223">
        <v>3</v>
      </c>
      <c r="S223">
        <v>104.55631</v>
      </c>
      <c r="T223">
        <v>5000000</v>
      </c>
      <c r="U223">
        <v>5000000</v>
      </c>
      <c r="V223">
        <v>1</v>
      </c>
      <c r="W223">
        <v>144791.65</v>
      </c>
      <c r="X223">
        <v>5227815.5</v>
      </c>
      <c r="Y223">
        <v>5372607.1500000004</v>
      </c>
    </row>
    <row r="224" spans="1:25" x14ac:dyDescent="0.25">
      <c r="A224">
        <v>16</v>
      </c>
      <c r="B224" t="s">
        <v>578</v>
      </c>
      <c r="C224" t="s">
        <v>32</v>
      </c>
      <c r="D224" t="s">
        <v>441</v>
      </c>
      <c r="E224">
        <v>121311</v>
      </c>
      <c r="F224" t="s">
        <v>442</v>
      </c>
      <c r="G224" t="s">
        <v>443</v>
      </c>
      <c r="H224" t="s">
        <v>444</v>
      </c>
      <c r="I224" t="s">
        <v>445</v>
      </c>
      <c r="L224" t="b">
        <v>1</v>
      </c>
      <c r="M224" t="s">
        <v>50</v>
      </c>
      <c r="N224" t="s">
        <v>32</v>
      </c>
      <c r="P224" t="s">
        <v>579</v>
      </c>
      <c r="Q224">
        <v>1</v>
      </c>
      <c r="R224">
        <v>3</v>
      </c>
      <c r="S224">
        <v>105.70869999999999</v>
      </c>
      <c r="T224">
        <v>1600000</v>
      </c>
      <c r="U224">
        <v>1600000</v>
      </c>
      <c r="V224">
        <v>1</v>
      </c>
      <c r="W224">
        <v>66888.89</v>
      </c>
      <c r="X224">
        <v>1691339.2</v>
      </c>
      <c r="Y224">
        <v>1758228.09</v>
      </c>
    </row>
    <row r="225" spans="1:25" x14ac:dyDescent="0.25">
      <c r="A225">
        <v>16</v>
      </c>
      <c r="B225" t="s">
        <v>578</v>
      </c>
      <c r="C225" t="s">
        <v>32</v>
      </c>
      <c r="D225" t="s">
        <v>908</v>
      </c>
      <c r="E225">
        <v>135501</v>
      </c>
      <c r="F225" t="s">
        <v>909</v>
      </c>
      <c r="G225" t="s">
        <v>910</v>
      </c>
      <c r="H225" t="s">
        <v>911</v>
      </c>
      <c r="I225" t="s">
        <v>910</v>
      </c>
      <c r="L225" t="b">
        <v>0</v>
      </c>
      <c r="M225" t="s">
        <v>81</v>
      </c>
      <c r="N225" t="s">
        <v>32</v>
      </c>
      <c r="P225" t="s">
        <v>579</v>
      </c>
      <c r="Q225">
        <v>1</v>
      </c>
      <c r="R225">
        <v>3</v>
      </c>
      <c r="S225">
        <v>106.53100000000001</v>
      </c>
      <c r="T225">
        <v>10210000</v>
      </c>
      <c r="U225">
        <v>10210000</v>
      </c>
      <c r="V225">
        <v>1</v>
      </c>
      <c r="W225">
        <v>90507.400000000009</v>
      </c>
      <c r="X225">
        <v>10876815.1</v>
      </c>
      <c r="Y225">
        <v>10967322.5</v>
      </c>
    </row>
    <row r="226" spans="1:25" x14ac:dyDescent="0.25">
      <c r="A226">
        <v>16</v>
      </c>
      <c r="B226" t="s">
        <v>578</v>
      </c>
      <c r="C226" t="s">
        <v>32</v>
      </c>
      <c r="D226" t="s">
        <v>912</v>
      </c>
      <c r="E226">
        <v>160288</v>
      </c>
      <c r="F226" t="s">
        <v>913</v>
      </c>
      <c r="G226" t="s">
        <v>914</v>
      </c>
      <c r="H226" t="s">
        <v>915</v>
      </c>
      <c r="I226" t="s">
        <v>916</v>
      </c>
      <c r="L226" t="b">
        <v>1</v>
      </c>
      <c r="M226" t="s">
        <v>61</v>
      </c>
      <c r="N226" t="s">
        <v>32</v>
      </c>
      <c r="P226" t="s">
        <v>579</v>
      </c>
      <c r="Q226">
        <v>1</v>
      </c>
      <c r="R226">
        <v>3</v>
      </c>
      <c r="S226">
        <v>101.59446</v>
      </c>
      <c r="T226">
        <v>5150000</v>
      </c>
      <c r="U226">
        <v>5150000</v>
      </c>
      <c r="V226">
        <v>1</v>
      </c>
      <c r="W226">
        <v>83276.510000000009</v>
      </c>
      <c r="X226">
        <v>5232114.6900000004</v>
      </c>
      <c r="Y226">
        <v>5315391.2</v>
      </c>
    </row>
    <row r="227" spans="1:25" x14ac:dyDescent="0.25">
      <c r="A227">
        <v>16</v>
      </c>
      <c r="B227" t="s">
        <v>578</v>
      </c>
      <c r="C227" t="s">
        <v>32</v>
      </c>
      <c r="D227" t="s">
        <v>446</v>
      </c>
      <c r="E227">
        <v>187610</v>
      </c>
      <c r="F227" t="s">
        <v>447</v>
      </c>
      <c r="G227" t="s">
        <v>448</v>
      </c>
      <c r="H227" t="s">
        <v>449</v>
      </c>
      <c r="I227" t="s">
        <v>450</v>
      </c>
      <c r="J227" t="s">
        <v>447</v>
      </c>
      <c r="K227" t="s">
        <v>451</v>
      </c>
      <c r="L227" t="b">
        <v>1</v>
      </c>
      <c r="M227" t="s">
        <v>452</v>
      </c>
      <c r="N227" t="s">
        <v>32</v>
      </c>
      <c r="P227" t="s">
        <v>579</v>
      </c>
      <c r="Q227">
        <v>1</v>
      </c>
      <c r="R227">
        <v>3</v>
      </c>
      <c r="S227">
        <v>103.69499999999999</v>
      </c>
      <c r="T227">
        <v>7650000</v>
      </c>
      <c r="U227">
        <v>7650000</v>
      </c>
      <c r="V227">
        <v>1</v>
      </c>
      <c r="W227">
        <v>211968.75</v>
      </c>
      <c r="X227">
        <v>7932667.5</v>
      </c>
      <c r="Y227">
        <v>8144636.25</v>
      </c>
    </row>
    <row r="228" spans="1:25" x14ac:dyDescent="0.25">
      <c r="A228">
        <v>16</v>
      </c>
      <c r="B228" t="s">
        <v>578</v>
      </c>
      <c r="C228" t="s">
        <v>32</v>
      </c>
      <c r="D228" t="s">
        <v>917</v>
      </c>
      <c r="E228">
        <v>203109</v>
      </c>
      <c r="F228" t="s">
        <v>918</v>
      </c>
      <c r="G228" t="s">
        <v>919</v>
      </c>
      <c r="H228" t="s">
        <v>920</v>
      </c>
      <c r="I228" t="s">
        <v>921</v>
      </c>
      <c r="J228" t="s">
        <v>918</v>
      </c>
      <c r="K228" t="s">
        <v>922</v>
      </c>
      <c r="L228" t="b">
        <v>1</v>
      </c>
      <c r="M228" t="s">
        <v>112</v>
      </c>
      <c r="N228" t="s">
        <v>32</v>
      </c>
      <c r="P228" t="s">
        <v>579</v>
      </c>
      <c r="Q228">
        <v>1</v>
      </c>
      <c r="R228">
        <v>3</v>
      </c>
      <c r="S228">
        <v>103.65197499999999</v>
      </c>
      <c r="T228">
        <v>5600000</v>
      </c>
      <c r="U228">
        <v>5600000</v>
      </c>
      <c r="V228">
        <v>1</v>
      </c>
      <c r="W228">
        <v>3733.33</v>
      </c>
      <c r="X228">
        <v>5804510.5999999996</v>
      </c>
      <c r="Y228">
        <v>5808243.9299999997</v>
      </c>
    </row>
    <row r="229" spans="1:25" x14ac:dyDescent="0.25">
      <c r="A229">
        <v>16</v>
      </c>
      <c r="B229" t="s">
        <v>578</v>
      </c>
      <c r="C229" t="s">
        <v>32</v>
      </c>
      <c r="D229" t="s">
        <v>923</v>
      </c>
      <c r="E229">
        <v>175398</v>
      </c>
      <c r="F229" t="s">
        <v>924</v>
      </c>
      <c r="G229" t="s">
        <v>925</v>
      </c>
      <c r="H229" t="s">
        <v>920</v>
      </c>
      <c r="I229" t="s">
        <v>926</v>
      </c>
      <c r="J229" t="s">
        <v>924</v>
      </c>
      <c r="K229" t="s">
        <v>927</v>
      </c>
      <c r="L229" t="b">
        <v>1</v>
      </c>
      <c r="M229" t="s">
        <v>112</v>
      </c>
      <c r="N229" t="s">
        <v>32</v>
      </c>
      <c r="P229" t="s">
        <v>579</v>
      </c>
      <c r="Q229">
        <v>1</v>
      </c>
      <c r="R229">
        <v>3</v>
      </c>
      <c r="S229">
        <v>102.7586392857</v>
      </c>
      <c r="T229">
        <v>6900000</v>
      </c>
      <c r="U229">
        <v>6900000</v>
      </c>
      <c r="V229">
        <v>1</v>
      </c>
      <c r="W229">
        <v>58266.66</v>
      </c>
      <c r="X229">
        <v>7090346.0999999996</v>
      </c>
      <c r="Y229">
        <v>7148612.7599999998</v>
      </c>
    </row>
    <row r="230" spans="1:25" x14ac:dyDescent="0.25">
      <c r="A230">
        <v>16</v>
      </c>
      <c r="B230" t="s">
        <v>578</v>
      </c>
      <c r="C230" t="s">
        <v>32</v>
      </c>
      <c r="D230" t="s">
        <v>460</v>
      </c>
      <c r="E230">
        <v>32264</v>
      </c>
      <c r="F230" t="s">
        <v>461</v>
      </c>
      <c r="G230" t="s">
        <v>462</v>
      </c>
      <c r="H230" t="s">
        <v>463</v>
      </c>
      <c r="I230" t="s">
        <v>464</v>
      </c>
      <c r="L230" t="b">
        <v>1</v>
      </c>
      <c r="M230" t="s">
        <v>44</v>
      </c>
      <c r="N230" t="s">
        <v>32</v>
      </c>
      <c r="P230" t="s">
        <v>579</v>
      </c>
      <c r="Q230">
        <v>1</v>
      </c>
      <c r="R230">
        <v>3</v>
      </c>
      <c r="S230">
        <v>99.778667857100004</v>
      </c>
      <c r="T230">
        <v>3653000</v>
      </c>
      <c r="U230">
        <v>3653000</v>
      </c>
      <c r="V230">
        <v>1</v>
      </c>
      <c r="W230">
        <v>46920.75</v>
      </c>
      <c r="X230">
        <v>3644914.74</v>
      </c>
      <c r="Y230">
        <v>3691835.49</v>
      </c>
    </row>
    <row r="231" spans="1:25" x14ac:dyDescent="0.25">
      <c r="A231">
        <v>16</v>
      </c>
      <c r="B231" t="s">
        <v>578</v>
      </c>
      <c r="C231" t="s">
        <v>32</v>
      </c>
      <c r="D231" t="s">
        <v>465</v>
      </c>
      <c r="E231">
        <v>216347</v>
      </c>
      <c r="F231" t="s">
        <v>466</v>
      </c>
      <c r="G231" t="s">
        <v>467</v>
      </c>
      <c r="H231" t="s">
        <v>463</v>
      </c>
      <c r="I231" t="s">
        <v>468</v>
      </c>
      <c r="J231" t="s">
        <v>466</v>
      </c>
      <c r="K231" t="s">
        <v>469</v>
      </c>
      <c r="L231" t="b">
        <v>1</v>
      </c>
      <c r="M231" t="s">
        <v>44</v>
      </c>
      <c r="N231" t="s">
        <v>32</v>
      </c>
      <c r="P231" t="s">
        <v>579</v>
      </c>
      <c r="Q231">
        <v>1</v>
      </c>
      <c r="R231">
        <v>3</v>
      </c>
      <c r="S231">
        <v>98.451099999999997</v>
      </c>
      <c r="T231">
        <v>2650000</v>
      </c>
      <c r="U231">
        <v>2650000</v>
      </c>
      <c r="V231">
        <v>1</v>
      </c>
      <c r="W231">
        <v>34008.33</v>
      </c>
      <c r="X231">
        <v>2608954.15</v>
      </c>
      <c r="Y231">
        <v>2642962.48</v>
      </c>
    </row>
    <row r="232" spans="1:25" x14ac:dyDescent="0.25">
      <c r="A232">
        <v>16</v>
      </c>
      <c r="B232" t="s">
        <v>578</v>
      </c>
      <c r="C232" t="s">
        <v>32</v>
      </c>
      <c r="D232" t="s">
        <v>928</v>
      </c>
      <c r="E232">
        <v>219587</v>
      </c>
      <c r="F232" t="s">
        <v>929</v>
      </c>
      <c r="G232" t="s">
        <v>930</v>
      </c>
      <c r="H232" t="s">
        <v>931</v>
      </c>
      <c r="I232" t="s">
        <v>932</v>
      </c>
      <c r="J232" t="s">
        <v>929</v>
      </c>
      <c r="K232" t="s">
        <v>933</v>
      </c>
      <c r="L232" t="b">
        <v>1</v>
      </c>
      <c r="M232" t="s">
        <v>44</v>
      </c>
      <c r="N232" t="s">
        <v>32</v>
      </c>
      <c r="P232" t="s">
        <v>579</v>
      </c>
      <c r="Q232">
        <v>1</v>
      </c>
      <c r="R232">
        <v>3</v>
      </c>
      <c r="S232">
        <v>97.855000000000004</v>
      </c>
      <c r="T232">
        <v>4050000</v>
      </c>
      <c r="U232">
        <v>4050000</v>
      </c>
      <c r="V232">
        <v>1</v>
      </c>
      <c r="W232">
        <v>50203.13</v>
      </c>
      <c r="X232">
        <v>3963127.5</v>
      </c>
      <c r="Y232">
        <v>4013330.63</v>
      </c>
    </row>
    <row r="233" spans="1:25" x14ac:dyDescent="0.25">
      <c r="A233">
        <v>16</v>
      </c>
      <c r="B233" t="s">
        <v>578</v>
      </c>
      <c r="C233" t="s">
        <v>32</v>
      </c>
      <c r="D233" t="s">
        <v>934</v>
      </c>
      <c r="E233">
        <v>219586</v>
      </c>
      <c r="F233" t="s">
        <v>935</v>
      </c>
      <c r="G233" t="s">
        <v>936</v>
      </c>
      <c r="H233" t="s">
        <v>931</v>
      </c>
      <c r="I233" t="s">
        <v>937</v>
      </c>
      <c r="J233" t="s">
        <v>935</v>
      </c>
      <c r="K233" t="s">
        <v>938</v>
      </c>
      <c r="L233" t="b">
        <v>1</v>
      </c>
      <c r="M233" t="s">
        <v>44</v>
      </c>
      <c r="N233" t="s">
        <v>32</v>
      </c>
      <c r="P233" t="s">
        <v>579</v>
      </c>
      <c r="Q233">
        <v>1</v>
      </c>
      <c r="R233">
        <v>3</v>
      </c>
      <c r="S233">
        <v>97.7087875</v>
      </c>
      <c r="T233">
        <v>4050000</v>
      </c>
      <c r="U233">
        <v>4050000</v>
      </c>
      <c r="V233">
        <v>1</v>
      </c>
      <c r="W233">
        <v>51637.5</v>
      </c>
      <c r="X233">
        <v>3957205.9</v>
      </c>
      <c r="Y233">
        <v>4008843.4</v>
      </c>
    </row>
    <row r="234" spans="1:25" x14ac:dyDescent="0.25">
      <c r="A234">
        <v>16</v>
      </c>
      <c r="B234" t="s">
        <v>578</v>
      </c>
      <c r="C234" t="s">
        <v>32</v>
      </c>
      <c r="D234" t="s">
        <v>939</v>
      </c>
      <c r="E234">
        <v>159635</v>
      </c>
      <c r="F234" t="s">
        <v>940</v>
      </c>
      <c r="G234" t="s">
        <v>941</v>
      </c>
      <c r="H234" t="s">
        <v>942</v>
      </c>
      <c r="I234" t="s">
        <v>943</v>
      </c>
      <c r="L234" t="b">
        <v>1</v>
      </c>
      <c r="M234" t="s">
        <v>31</v>
      </c>
      <c r="N234" t="s">
        <v>32</v>
      </c>
      <c r="P234" t="s">
        <v>579</v>
      </c>
      <c r="Q234">
        <v>1</v>
      </c>
      <c r="R234">
        <v>3</v>
      </c>
      <c r="S234">
        <v>102.15931</v>
      </c>
      <c r="T234">
        <v>3400000</v>
      </c>
      <c r="U234">
        <v>3400000</v>
      </c>
      <c r="V234">
        <v>1</v>
      </c>
      <c r="W234">
        <v>5525</v>
      </c>
      <c r="X234">
        <v>3473416.55</v>
      </c>
      <c r="Y234">
        <v>3478941.55</v>
      </c>
    </row>
    <row r="235" spans="1:25" x14ac:dyDescent="0.25">
      <c r="A235">
        <v>16</v>
      </c>
      <c r="B235" t="s">
        <v>578</v>
      </c>
      <c r="C235" t="s">
        <v>32</v>
      </c>
      <c r="D235" t="s">
        <v>944</v>
      </c>
      <c r="E235">
        <v>647</v>
      </c>
      <c r="F235" t="s">
        <v>945</v>
      </c>
      <c r="G235" t="s">
        <v>946</v>
      </c>
      <c r="H235" t="s">
        <v>478</v>
      </c>
      <c r="I235" t="s">
        <v>947</v>
      </c>
      <c r="L235" t="b">
        <v>1</v>
      </c>
      <c r="M235" t="s">
        <v>31</v>
      </c>
      <c r="N235" t="s">
        <v>32</v>
      </c>
      <c r="P235" t="s">
        <v>579</v>
      </c>
      <c r="Q235">
        <v>1</v>
      </c>
      <c r="R235">
        <v>3</v>
      </c>
      <c r="S235">
        <v>56.159166666700003</v>
      </c>
      <c r="T235">
        <v>340000</v>
      </c>
      <c r="U235">
        <v>340000</v>
      </c>
      <c r="V235">
        <v>1</v>
      </c>
      <c r="W235">
        <v>0</v>
      </c>
      <c r="X235">
        <v>190941.17</v>
      </c>
      <c r="Y235">
        <v>190941.17</v>
      </c>
    </row>
    <row r="236" spans="1:25" x14ac:dyDescent="0.25">
      <c r="A236">
        <v>16</v>
      </c>
      <c r="B236" t="s">
        <v>578</v>
      </c>
      <c r="C236" t="s">
        <v>32</v>
      </c>
      <c r="D236" t="s">
        <v>475</v>
      </c>
      <c r="E236">
        <v>53985</v>
      </c>
      <c r="F236" t="s">
        <v>476</v>
      </c>
      <c r="G236" t="s">
        <v>477</v>
      </c>
      <c r="H236" t="s">
        <v>478</v>
      </c>
      <c r="I236" t="s">
        <v>479</v>
      </c>
      <c r="L236" t="b">
        <v>1</v>
      </c>
      <c r="M236" t="s">
        <v>31</v>
      </c>
      <c r="N236" t="s">
        <v>32</v>
      </c>
      <c r="P236" t="s">
        <v>579</v>
      </c>
      <c r="Q236">
        <v>1</v>
      </c>
      <c r="R236">
        <v>3</v>
      </c>
      <c r="S236">
        <v>54.376249999999999</v>
      </c>
      <c r="T236">
        <v>19300000</v>
      </c>
      <c r="U236">
        <v>19300000</v>
      </c>
      <c r="V236">
        <v>1</v>
      </c>
      <c r="W236">
        <v>0</v>
      </c>
      <c r="X236">
        <v>10494616.25</v>
      </c>
      <c r="Y236">
        <v>10494616.25</v>
      </c>
    </row>
    <row r="237" spans="1:25" x14ac:dyDescent="0.25">
      <c r="A237">
        <v>16</v>
      </c>
      <c r="B237" t="s">
        <v>578</v>
      </c>
      <c r="C237" t="s">
        <v>32</v>
      </c>
      <c r="D237" t="s">
        <v>948</v>
      </c>
      <c r="E237">
        <v>149418</v>
      </c>
      <c r="F237" t="s">
        <v>949</v>
      </c>
      <c r="G237" t="s">
        <v>950</v>
      </c>
      <c r="H237" t="s">
        <v>478</v>
      </c>
      <c r="I237" t="s">
        <v>951</v>
      </c>
      <c r="J237" t="s">
        <v>949</v>
      </c>
      <c r="K237" t="s">
        <v>952</v>
      </c>
      <c r="L237" t="b">
        <v>1</v>
      </c>
      <c r="M237" t="s">
        <v>31</v>
      </c>
      <c r="N237" t="s">
        <v>32</v>
      </c>
      <c r="P237" t="s">
        <v>579</v>
      </c>
      <c r="Q237">
        <v>1</v>
      </c>
      <c r="R237">
        <v>3</v>
      </c>
      <c r="S237">
        <v>54.569444444399998</v>
      </c>
      <c r="T237">
        <v>2960000</v>
      </c>
      <c r="U237">
        <v>2960000</v>
      </c>
      <c r="V237">
        <v>1</v>
      </c>
      <c r="W237">
        <v>0</v>
      </c>
      <c r="X237">
        <v>1615255.56</v>
      </c>
      <c r="Y237">
        <v>1615255.56</v>
      </c>
    </row>
    <row r="238" spans="1:25" x14ac:dyDescent="0.25">
      <c r="A238">
        <v>16</v>
      </c>
      <c r="B238" t="s">
        <v>578</v>
      </c>
      <c r="C238" t="s">
        <v>32</v>
      </c>
      <c r="D238" t="s">
        <v>953</v>
      </c>
      <c r="E238">
        <v>3575</v>
      </c>
      <c r="F238" t="s">
        <v>954</v>
      </c>
      <c r="G238" t="s">
        <v>955</v>
      </c>
      <c r="H238" t="s">
        <v>478</v>
      </c>
      <c r="I238" t="s">
        <v>956</v>
      </c>
      <c r="L238" t="b">
        <v>1</v>
      </c>
      <c r="M238" t="s">
        <v>31</v>
      </c>
      <c r="N238" t="s">
        <v>32</v>
      </c>
      <c r="P238" t="s">
        <v>579</v>
      </c>
      <c r="Q238">
        <v>1</v>
      </c>
      <c r="R238">
        <v>3</v>
      </c>
      <c r="S238">
        <v>29.375</v>
      </c>
      <c r="T238">
        <v>11011000</v>
      </c>
      <c r="U238">
        <v>11011000</v>
      </c>
      <c r="V238">
        <v>1</v>
      </c>
      <c r="W238">
        <v>0</v>
      </c>
      <c r="X238">
        <v>3234481.25</v>
      </c>
      <c r="Y238">
        <v>3234481.25</v>
      </c>
    </row>
    <row r="239" spans="1:25" x14ac:dyDescent="0.25">
      <c r="A239">
        <v>16</v>
      </c>
      <c r="B239" t="s">
        <v>578</v>
      </c>
      <c r="C239" t="s">
        <v>32</v>
      </c>
      <c r="D239" t="s">
        <v>957</v>
      </c>
      <c r="E239">
        <v>1539</v>
      </c>
      <c r="F239" t="s">
        <v>958</v>
      </c>
      <c r="G239" t="s">
        <v>959</v>
      </c>
      <c r="H239" t="s">
        <v>960</v>
      </c>
      <c r="I239" t="s">
        <v>961</v>
      </c>
      <c r="L239" t="b">
        <v>1</v>
      </c>
      <c r="M239" t="s">
        <v>31</v>
      </c>
      <c r="N239" t="s">
        <v>32</v>
      </c>
      <c r="P239" t="s">
        <v>579</v>
      </c>
      <c r="Q239">
        <v>1</v>
      </c>
      <c r="R239">
        <v>3</v>
      </c>
      <c r="S239">
        <v>94.152169999999998</v>
      </c>
      <c r="T239">
        <v>2290000</v>
      </c>
      <c r="U239">
        <v>2290000</v>
      </c>
      <c r="V239">
        <v>1</v>
      </c>
      <c r="W239">
        <v>2170.73</v>
      </c>
      <c r="X239">
        <v>2156084.7000000002</v>
      </c>
      <c r="Y239">
        <v>2158255.4300000002</v>
      </c>
    </row>
    <row r="240" spans="1:25" x14ac:dyDescent="0.25">
      <c r="A240">
        <v>16</v>
      </c>
      <c r="B240" t="s">
        <v>578</v>
      </c>
      <c r="C240" t="s">
        <v>32</v>
      </c>
      <c r="D240" t="s">
        <v>480</v>
      </c>
      <c r="E240">
        <v>160598</v>
      </c>
      <c r="F240" t="s">
        <v>481</v>
      </c>
      <c r="G240" t="s">
        <v>482</v>
      </c>
      <c r="H240" t="s">
        <v>483</v>
      </c>
      <c r="I240" t="s">
        <v>484</v>
      </c>
      <c r="J240" t="s">
        <v>481</v>
      </c>
      <c r="K240" t="s">
        <v>485</v>
      </c>
      <c r="L240" t="b">
        <v>1</v>
      </c>
      <c r="M240" t="s">
        <v>61</v>
      </c>
      <c r="N240" t="s">
        <v>32</v>
      </c>
      <c r="P240" t="s">
        <v>579</v>
      </c>
      <c r="Q240">
        <v>1</v>
      </c>
      <c r="R240">
        <v>3</v>
      </c>
      <c r="S240">
        <v>102.02641363639999</v>
      </c>
      <c r="T240">
        <v>6445000</v>
      </c>
      <c r="U240">
        <v>6445000</v>
      </c>
      <c r="V240">
        <v>1</v>
      </c>
      <c r="W240">
        <v>215477.83</v>
      </c>
      <c r="X240">
        <v>6575602.3500000006</v>
      </c>
      <c r="Y240">
        <v>6791080.1800000006</v>
      </c>
    </row>
    <row r="241" spans="1:25" x14ac:dyDescent="0.25">
      <c r="A241">
        <v>16</v>
      </c>
      <c r="B241" t="s">
        <v>578</v>
      </c>
      <c r="C241" t="s">
        <v>32</v>
      </c>
      <c r="D241" t="s">
        <v>962</v>
      </c>
      <c r="E241">
        <v>177952</v>
      </c>
      <c r="F241" t="s">
        <v>963</v>
      </c>
      <c r="G241" t="s">
        <v>964</v>
      </c>
      <c r="H241" t="s">
        <v>965</v>
      </c>
      <c r="I241" t="s">
        <v>966</v>
      </c>
      <c r="J241" t="s">
        <v>963</v>
      </c>
      <c r="K241" t="s">
        <v>967</v>
      </c>
      <c r="L241" t="b">
        <v>1</v>
      </c>
      <c r="M241" t="s">
        <v>968</v>
      </c>
      <c r="N241" t="s">
        <v>32</v>
      </c>
      <c r="P241" t="s">
        <v>579</v>
      </c>
      <c r="Q241">
        <v>1</v>
      </c>
      <c r="R241">
        <v>3</v>
      </c>
      <c r="S241">
        <v>106.910875</v>
      </c>
      <c r="T241">
        <v>1100000</v>
      </c>
      <c r="U241">
        <v>1100000</v>
      </c>
      <c r="V241">
        <v>1</v>
      </c>
      <c r="W241">
        <v>1850.14</v>
      </c>
      <c r="X241">
        <v>1176019.6299999999</v>
      </c>
      <c r="Y241">
        <v>1177869.77</v>
      </c>
    </row>
    <row r="242" spans="1:25" x14ac:dyDescent="0.25">
      <c r="A242">
        <v>16</v>
      </c>
      <c r="B242" t="s">
        <v>578</v>
      </c>
      <c r="C242" t="s">
        <v>32</v>
      </c>
      <c r="D242" t="s">
        <v>969</v>
      </c>
      <c r="E242">
        <v>174399</v>
      </c>
      <c r="F242" t="s">
        <v>970</v>
      </c>
      <c r="G242" t="s">
        <v>971</v>
      </c>
      <c r="H242" t="s">
        <v>210</v>
      </c>
      <c r="I242" t="s">
        <v>972</v>
      </c>
      <c r="J242" t="s">
        <v>970</v>
      </c>
      <c r="K242" t="s">
        <v>973</v>
      </c>
      <c r="L242" t="b">
        <v>1</v>
      </c>
      <c r="M242" t="s">
        <v>44</v>
      </c>
      <c r="N242" t="s">
        <v>32</v>
      </c>
      <c r="P242" t="s">
        <v>579</v>
      </c>
      <c r="Q242">
        <v>1</v>
      </c>
      <c r="R242">
        <v>3</v>
      </c>
      <c r="S242">
        <v>103.43198750000001</v>
      </c>
      <c r="T242">
        <v>3800000</v>
      </c>
      <c r="U242">
        <v>3800000</v>
      </c>
      <c r="V242">
        <v>1</v>
      </c>
      <c r="W242">
        <v>107160</v>
      </c>
      <c r="X242">
        <v>3930415.53</v>
      </c>
      <c r="Y242">
        <v>4037575.53</v>
      </c>
    </row>
    <row r="243" spans="1:25" x14ac:dyDescent="0.25">
      <c r="A243">
        <v>16</v>
      </c>
      <c r="B243" t="s">
        <v>578</v>
      </c>
      <c r="C243" t="s">
        <v>32</v>
      </c>
      <c r="D243" t="s">
        <v>974</v>
      </c>
      <c r="E243">
        <v>731</v>
      </c>
      <c r="F243" t="s">
        <v>975</v>
      </c>
      <c r="G243" t="s">
        <v>976</v>
      </c>
      <c r="H243" t="s">
        <v>977</v>
      </c>
      <c r="I243" t="s">
        <v>978</v>
      </c>
      <c r="L243" t="b">
        <v>1</v>
      </c>
      <c r="M243" t="s">
        <v>44</v>
      </c>
      <c r="N243" t="s">
        <v>32</v>
      </c>
      <c r="P243" t="s">
        <v>579</v>
      </c>
      <c r="Q243">
        <v>1</v>
      </c>
      <c r="R243">
        <v>3</v>
      </c>
      <c r="S243">
        <v>96.21875</v>
      </c>
      <c r="T243">
        <v>282070.2</v>
      </c>
      <c r="U243">
        <v>545000</v>
      </c>
      <c r="V243">
        <v>0.51759999999999995</v>
      </c>
      <c r="W243">
        <v>1760.98</v>
      </c>
      <c r="X243">
        <v>271404.42</v>
      </c>
      <c r="Y243">
        <v>273165.40000000002</v>
      </c>
    </row>
    <row r="244" spans="1:25" x14ac:dyDescent="0.25">
      <c r="A244">
        <v>16</v>
      </c>
      <c r="B244" t="s">
        <v>578</v>
      </c>
      <c r="C244" t="s">
        <v>32</v>
      </c>
      <c r="D244" t="s">
        <v>979</v>
      </c>
      <c r="E244">
        <v>196178</v>
      </c>
      <c r="F244" t="s">
        <v>980</v>
      </c>
      <c r="G244" t="s">
        <v>981</v>
      </c>
      <c r="H244" t="s">
        <v>494</v>
      </c>
      <c r="I244" t="s">
        <v>982</v>
      </c>
      <c r="J244" t="s">
        <v>980</v>
      </c>
      <c r="K244" t="s">
        <v>983</v>
      </c>
      <c r="L244" t="b">
        <v>1</v>
      </c>
      <c r="M244" t="s">
        <v>112</v>
      </c>
      <c r="N244" t="s">
        <v>32</v>
      </c>
      <c r="P244" t="s">
        <v>579</v>
      </c>
      <c r="Q244">
        <v>1</v>
      </c>
      <c r="R244">
        <v>3</v>
      </c>
      <c r="S244">
        <v>102.1771875</v>
      </c>
      <c r="T244">
        <v>5150000</v>
      </c>
      <c r="U244">
        <v>5150000</v>
      </c>
      <c r="V244">
        <v>1</v>
      </c>
      <c r="W244">
        <v>107023.44</v>
      </c>
      <c r="X244">
        <v>5262125.1499999994</v>
      </c>
      <c r="Y244">
        <v>5369148.5899999999</v>
      </c>
    </row>
    <row r="245" spans="1:25" x14ac:dyDescent="0.25">
      <c r="A245">
        <v>16</v>
      </c>
      <c r="B245" t="s">
        <v>578</v>
      </c>
      <c r="C245" t="s">
        <v>32</v>
      </c>
      <c r="D245" t="s">
        <v>984</v>
      </c>
      <c r="E245">
        <v>177297</v>
      </c>
      <c r="F245" t="s">
        <v>985</v>
      </c>
      <c r="G245" t="s">
        <v>986</v>
      </c>
      <c r="H245" t="s">
        <v>987</v>
      </c>
      <c r="I245" t="s">
        <v>986</v>
      </c>
      <c r="L245" t="b">
        <v>0</v>
      </c>
      <c r="M245" t="s">
        <v>112</v>
      </c>
      <c r="N245" t="s">
        <v>32</v>
      </c>
      <c r="P245" t="s">
        <v>579</v>
      </c>
      <c r="Q245">
        <v>1</v>
      </c>
      <c r="R245">
        <v>3</v>
      </c>
      <c r="S245">
        <v>100</v>
      </c>
      <c r="T245">
        <v>22098000</v>
      </c>
      <c r="U245">
        <v>22098000</v>
      </c>
      <c r="V245">
        <v>1</v>
      </c>
      <c r="W245">
        <v>131835.87</v>
      </c>
      <c r="X245">
        <v>22098000</v>
      </c>
      <c r="Y245">
        <v>22229835.870000001</v>
      </c>
    </row>
    <row r="246" spans="1:25" x14ac:dyDescent="0.25">
      <c r="A246">
        <v>16</v>
      </c>
      <c r="B246" t="s">
        <v>578</v>
      </c>
      <c r="C246" t="s">
        <v>32</v>
      </c>
      <c r="D246" t="s">
        <v>988</v>
      </c>
      <c r="E246">
        <v>31569</v>
      </c>
      <c r="F246" t="s">
        <v>989</v>
      </c>
      <c r="G246" t="s">
        <v>990</v>
      </c>
      <c r="H246" t="s">
        <v>991</v>
      </c>
      <c r="I246" t="s">
        <v>992</v>
      </c>
      <c r="L246" t="b">
        <v>1</v>
      </c>
      <c r="M246" t="s">
        <v>895</v>
      </c>
      <c r="N246" t="s">
        <v>32</v>
      </c>
      <c r="P246" t="s">
        <v>579</v>
      </c>
      <c r="Q246">
        <v>1</v>
      </c>
      <c r="R246">
        <v>3</v>
      </c>
      <c r="S246">
        <v>98.252989999999997</v>
      </c>
      <c r="T246">
        <v>1000000</v>
      </c>
      <c r="U246">
        <v>1000000</v>
      </c>
      <c r="V246">
        <v>1</v>
      </c>
      <c r="W246">
        <v>16493.05</v>
      </c>
      <c r="X246">
        <v>982529.9</v>
      </c>
      <c r="Y246">
        <v>999022.95000000007</v>
      </c>
    </row>
    <row r="247" spans="1:25" x14ac:dyDescent="0.25">
      <c r="A247">
        <v>16</v>
      </c>
      <c r="B247" t="s">
        <v>578</v>
      </c>
      <c r="C247" t="s">
        <v>32</v>
      </c>
      <c r="D247" t="s">
        <v>993</v>
      </c>
      <c r="E247">
        <v>187071</v>
      </c>
      <c r="F247" t="s">
        <v>994</v>
      </c>
      <c r="G247" t="s">
        <v>995</v>
      </c>
      <c r="H247" t="s">
        <v>218</v>
      </c>
      <c r="I247" t="s">
        <v>996</v>
      </c>
      <c r="J247" t="s">
        <v>994</v>
      </c>
      <c r="K247" t="s">
        <v>997</v>
      </c>
      <c r="L247" t="b">
        <v>1</v>
      </c>
      <c r="M247" t="s">
        <v>50</v>
      </c>
      <c r="N247" t="s">
        <v>32</v>
      </c>
      <c r="P247" t="s">
        <v>579</v>
      </c>
      <c r="Q247">
        <v>1</v>
      </c>
      <c r="R247">
        <v>3</v>
      </c>
      <c r="S247">
        <v>97.275191428599996</v>
      </c>
      <c r="T247">
        <v>2600000</v>
      </c>
      <c r="U247">
        <v>2600000</v>
      </c>
      <c r="V247">
        <v>1</v>
      </c>
      <c r="W247">
        <v>25162.22</v>
      </c>
      <c r="X247">
        <v>2529154.98</v>
      </c>
      <c r="Y247">
        <v>2554317.2000000002</v>
      </c>
    </row>
    <row r="248" spans="1:25" x14ac:dyDescent="0.25">
      <c r="A248">
        <v>16</v>
      </c>
      <c r="B248" t="s">
        <v>578</v>
      </c>
      <c r="C248" t="s">
        <v>32</v>
      </c>
      <c r="D248" t="s">
        <v>998</v>
      </c>
      <c r="E248">
        <v>36210</v>
      </c>
      <c r="F248" t="s">
        <v>999</v>
      </c>
      <c r="G248" t="s">
        <v>1000</v>
      </c>
      <c r="H248" t="s">
        <v>1001</v>
      </c>
      <c r="I248" t="s">
        <v>1002</v>
      </c>
      <c r="L248" t="b">
        <v>1</v>
      </c>
      <c r="M248" t="s">
        <v>895</v>
      </c>
      <c r="N248" t="s">
        <v>32</v>
      </c>
      <c r="P248" t="s">
        <v>579</v>
      </c>
      <c r="Q248">
        <v>1</v>
      </c>
      <c r="R248">
        <v>3</v>
      </c>
      <c r="S248">
        <v>93.783333333300007</v>
      </c>
      <c r="T248">
        <v>2000000</v>
      </c>
      <c r="U248">
        <v>2000000</v>
      </c>
      <c r="V248">
        <v>1</v>
      </c>
      <c r="W248">
        <v>50680.56</v>
      </c>
      <c r="X248">
        <v>1875666.67</v>
      </c>
      <c r="Y248">
        <v>1926347.23</v>
      </c>
    </row>
    <row r="249" spans="1:25" x14ac:dyDescent="0.25">
      <c r="A249">
        <v>16</v>
      </c>
      <c r="B249" t="s">
        <v>578</v>
      </c>
      <c r="C249" t="s">
        <v>32</v>
      </c>
      <c r="D249" t="s">
        <v>1003</v>
      </c>
      <c r="E249">
        <v>157995</v>
      </c>
      <c r="F249" t="s">
        <v>1004</v>
      </c>
      <c r="G249" t="s">
        <v>1005</v>
      </c>
      <c r="H249" t="s">
        <v>502</v>
      </c>
      <c r="I249" t="s">
        <v>1006</v>
      </c>
      <c r="J249" t="s">
        <v>1004</v>
      </c>
      <c r="K249" t="s">
        <v>1007</v>
      </c>
      <c r="L249" t="b">
        <v>1</v>
      </c>
      <c r="M249" t="s">
        <v>31</v>
      </c>
      <c r="N249" t="s">
        <v>32</v>
      </c>
      <c r="P249" t="s">
        <v>579</v>
      </c>
      <c r="Q249">
        <v>1</v>
      </c>
      <c r="R249">
        <v>3</v>
      </c>
      <c r="S249">
        <v>124.95099999999999</v>
      </c>
      <c r="T249">
        <v>27393104</v>
      </c>
      <c r="U249">
        <v>27393104</v>
      </c>
      <c r="V249">
        <v>1</v>
      </c>
      <c r="W249">
        <v>433495.86999999988</v>
      </c>
      <c r="X249">
        <v>34227957.380000003</v>
      </c>
      <c r="Y249">
        <v>34661453.249999993</v>
      </c>
    </row>
    <row r="250" spans="1:25" x14ac:dyDescent="0.25">
      <c r="A250">
        <v>16</v>
      </c>
      <c r="B250" t="s">
        <v>578</v>
      </c>
      <c r="C250" t="s">
        <v>32</v>
      </c>
      <c r="D250" t="s">
        <v>499</v>
      </c>
      <c r="E250">
        <v>226889</v>
      </c>
      <c r="F250" t="s">
        <v>500</v>
      </c>
      <c r="G250" t="s">
        <v>501</v>
      </c>
      <c r="H250" t="s">
        <v>502</v>
      </c>
      <c r="I250" t="s">
        <v>503</v>
      </c>
      <c r="J250" t="s">
        <v>500</v>
      </c>
      <c r="K250" t="s">
        <v>504</v>
      </c>
      <c r="L250" t="b">
        <v>1</v>
      </c>
      <c r="M250" t="s">
        <v>31</v>
      </c>
      <c r="N250" t="s">
        <v>32</v>
      </c>
      <c r="P250" t="s">
        <v>579</v>
      </c>
      <c r="Q250">
        <v>1</v>
      </c>
      <c r="R250">
        <v>3</v>
      </c>
      <c r="S250">
        <v>100.6296875</v>
      </c>
      <c r="T250">
        <v>14200000</v>
      </c>
      <c r="U250">
        <v>14200000</v>
      </c>
      <c r="V250">
        <v>1</v>
      </c>
      <c r="W250">
        <v>0</v>
      </c>
      <c r="X250">
        <v>14289415.630000001</v>
      </c>
      <c r="Y250">
        <v>14289415.630000001</v>
      </c>
    </row>
    <row r="251" spans="1:25" x14ac:dyDescent="0.25">
      <c r="A251">
        <v>16</v>
      </c>
      <c r="B251" t="s">
        <v>578</v>
      </c>
      <c r="C251" t="s">
        <v>32</v>
      </c>
      <c r="D251" t="s">
        <v>505</v>
      </c>
      <c r="E251">
        <v>151819</v>
      </c>
      <c r="F251" t="s">
        <v>506</v>
      </c>
      <c r="G251" t="s">
        <v>507</v>
      </c>
      <c r="H251" t="s">
        <v>502</v>
      </c>
      <c r="I251" t="s">
        <v>508</v>
      </c>
      <c r="J251" t="s">
        <v>506</v>
      </c>
      <c r="K251" t="s">
        <v>509</v>
      </c>
      <c r="L251" t="b">
        <v>1</v>
      </c>
      <c r="M251" t="s">
        <v>31</v>
      </c>
      <c r="N251" t="s">
        <v>32</v>
      </c>
      <c r="P251" t="s">
        <v>579</v>
      </c>
      <c r="Q251">
        <v>1</v>
      </c>
      <c r="R251">
        <v>3</v>
      </c>
      <c r="S251">
        <v>105.80857</v>
      </c>
      <c r="T251">
        <v>2088000</v>
      </c>
      <c r="U251">
        <v>2088000</v>
      </c>
      <c r="V251">
        <v>1</v>
      </c>
      <c r="W251">
        <v>45675</v>
      </c>
      <c r="X251">
        <v>2209282.94</v>
      </c>
      <c r="Y251">
        <v>2254957.94</v>
      </c>
    </row>
    <row r="252" spans="1:25" x14ac:dyDescent="0.25">
      <c r="A252">
        <v>16</v>
      </c>
      <c r="B252" t="s">
        <v>578</v>
      </c>
      <c r="C252" t="s">
        <v>32</v>
      </c>
      <c r="D252" t="s">
        <v>510</v>
      </c>
      <c r="E252">
        <v>758</v>
      </c>
      <c r="F252" t="s">
        <v>511</v>
      </c>
      <c r="G252" t="s">
        <v>512</v>
      </c>
      <c r="H252" t="s">
        <v>149</v>
      </c>
      <c r="I252" t="s">
        <v>513</v>
      </c>
      <c r="L252" t="b">
        <v>1</v>
      </c>
      <c r="M252" t="s">
        <v>81</v>
      </c>
      <c r="N252" t="s">
        <v>32</v>
      </c>
      <c r="P252" t="s">
        <v>579</v>
      </c>
      <c r="Q252">
        <v>1</v>
      </c>
      <c r="R252">
        <v>3</v>
      </c>
      <c r="S252">
        <v>96.838433333300003</v>
      </c>
      <c r="T252">
        <v>899872.65</v>
      </c>
      <c r="U252">
        <v>1285000</v>
      </c>
      <c r="V252">
        <v>0.70030000000000003</v>
      </c>
      <c r="W252">
        <v>2699.61</v>
      </c>
      <c r="X252">
        <v>871422.57</v>
      </c>
      <c r="Y252">
        <v>874122.17999999993</v>
      </c>
    </row>
    <row r="253" spans="1:25" x14ac:dyDescent="0.25">
      <c r="A253">
        <v>16</v>
      </c>
      <c r="B253" t="s">
        <v>578</v>
      </c>
      <c r="C253" t="s">
        <v>32</v>
      </c>
      <c r="D253" t="s">
        <v>514</v>
      </c>
      <c r="E253">
        <v>213327</v>
      </c>
      <c r="F253" t="s">
        <v>515</v>
      </c>
      <c r="G253" t="s">
        <v>516</v>
      </c>
      <c r="H253" t="s">
        <v>517</v>
      </c>
      <c r="I253" t="s">
        <v>516</v>
      </c>
      <c r="L253" t="b">
        <v>0</v>
      </c>
      <c r="M253" t="s">
        <v>31</v>
      </c>
      <c r="N253" t="s">
        <v>32</v>
      </c>
      <c r="P253" t="s">
        <v>579</v>
      </c>
      <c r="Q253">
        <v>1</v>
      </c>
      <c r="R253">
        <v>3</v>
      </c>
      <c r="S253">
        <v>100</v>
      </c>
      <c r="T253">
        <v>17000000</v>
      </c>
      <c r="U253">
        <v>17000000</v>
      </c>
      <c r="V253">
        <v>1</v>
      </c>
      <c r="W253">
        <v>576997.84</v>
      </c>
      <c r="X253">
        <v>17000000</v>
      </c>
      <c r="Y253">
        <v>17576997.84</v>
      </c>
    </row>
    <row r="254" spans="1:25" x14ac:dyDescent="0.25">
      <c r="A254">
        <v>16</v>
      </c>
      <c r="B254" t="s">
        <v>578</v>
      </c>
      <c r="C254" t="s">
        <v>32</v>
      </c>
      <c r="D254" t="s">
        <v>1008</v>
      </c>
      <c r="E254">
        <v>31968</v>
      </c>
      <c r="F254" t="s">
        <v>1009</v>
      </c>
      <c r="G254" t="s">
        <v>1010</v>
      </c>
      <c r="H254" t="s">
        <v>517</v>
      </c>
      <c r="I254" t="s">
        <v>1011</v>
      </c>
      <c r="L254" t="b">
        <v>1</v>
      </c>
      <c r="M254" t="s">
        <v>31</v>
      </c>
      <c r="N254" t="s">
        <v>32</v>
      </c>
      <c r="P254" t="s">
        <v>579</v>
      </c>
      <c r="Q254">
        <v>1</v>
      </c>
      <c r="R254">
        <v>3</v>
      </c>
      <c r="S254">
        <v>61.457767857100002</v>
      </c>
      <c r="T254">
        <v>8050000</v>
      </c>
      <c r="U254">
        <v>8050000</v>
      </c>
      <c r="V254">
        <v>1</v>
      </c>
      <c r="W254">
        <v>52744.27</v>
      </c>
      <c r="X254">
        <v>4947350.33</v>
      </c>
      <c r="Y254">
        <v>5000094.5999999996</v>
      </c>
    </row>
    <row r="255" spans="1:25" x14ac:dyDescent="0.25">
      <c r="A255">
        <v>16</v>
      </c>
      <c r="B255" t="s">
        <v>578</v>
      </c>
      <c r="C255" t="s">
        <v>32</v>
      </c>
      <c r="D255" t="s">
        <v>1012</v>
      </c>
      <c r="E255">
        <v>36293</v>
      </c>
      <c r="F255" t="s">
        <v>1013</v>
      </c>
      <c r="G255" t="s">
        <v>1014</v>
      </c>
      <c r="H255" t="s">
        <v>517</v>
      </c>
      <c r="I255" t="s">
        <v>1015</v>
      </c>
      <c r="L255" t="b">
        <v>1</v>
      </c>
      <c r="M255" t="s">
        <v>31</v>
      </c>
      <c r="N255" t="s">
        <v>32</v>
      </c>
      <c r="P255" t="s">
        <v>579</v>
      </c>
      <c r="Q255">
        <v>1</v>
      </c>
      <c r="R255">
        <v>3</v>
      </c>
      <c r="S255">
        <v>61.838999999999999</v>
      </c>
      <c r="T255">
        <v>4902000</v>
      </c>
      <c r="U255">
        <v>4902000</v>
      </c>
      <c r="V255">
        <v>1</v>
      </c>
      <c r="W255">
        <v>90397.64</v>
      </c>
      <c r="X255">
        <v>3031347.78</v>
      </c>
      <c r="Y255">
        <v>3121745.42</v>
      </c>
    </row>
    <row r="256" spans="1:25" x14ac:dyDescent="0.25">
      <c r="A256">
        <v>16</v>
      </c>
      <c r="B256" t="s">
        <v>578</v>
      </c>
      <c r="C256" t="s">
        <v>32</v>
      </c>
      <c r="D256" t="s">
        <v>1016</v>
      </c>
      <c r="E256">
        <v>4244</v>
      </c>
      <c r="F256" t="s">
        <v>1017</v>
      </c>
      <c r="G256" t="s">
        <v>1018</v>
      </c>
      <c r="H256" t="s">
        <v>517</v>
      </c>
      <c r="I256" t="s">
        <v>1019</v>
      </c>
      <c r="L256" t="b">
        <v>1</v>
      </c>
      <c r="M256" t="s">
        <v>31</v>
      </c>
      <c r="N256" t="s">
        <v>32</v>
      </c>
      <c r="P256" t="s">
        <v>579</v>
      </c>
      <c r="Q256">
        <v>1</v>
      </c>
      <c r="R256">
        <v>3</v>
      </c>
      <c r="S256">
        <v>83.863932142899998</v>
      </c>
      <c r="T256">
        <v>12860000</v>
      </c>
      <c r="U256">
        <v>12860000</v>
      </c>
      <c r="V256">
        <v>1</v>
      </c>
      <c r="W256">
        <v>7233.76</v>
      </c>
      <c r="X256">
        <v>10784901.66</v>
      </c>
      <c r="Y256">
        <v>10792135.42</v>
      </c>
    </row>
    <row r="257" spans="1:25" x14ac:dyDescent="0.25">
      <c r="A257">
        <v>16</v>
      </c>
      <c r="B257" t="s">
        <v>578</v>
      </c>
      <c r="C257" t="s">
        <v>32</v>
      </c>
      <c r="D257" t="s">
        <v>518</v>
      </c>
      <c r="E257">
        <v>114779</v>
      </c>
      <c r="F257" t="s">
        <v>519</v>
      </c>
      <c r="G257" t="s">
        <v>520</v>
      </c>
      <c r="H257" t="s">
        <v>517</v>
      </c>
      <c r="I257" t="s">
        <v>521</v>
      </c>
      <c r="J257" t="s">
        <v>519</v>
      </c>
      <c r="K257" t="s">
        <v>522</v>
      </c>
      <c r="L257" t="b">
        <v>1</v>
      </c>
      <c r="M257" t="s">
        <v>31</v>
      </c>
      <c r="N257" t="s">
        <v>32</v>
      </c>
      <c r="P257" t="s">
        <v>579</v>
      </c>
      <c r="Q257">
        <v>1</v>
      </c>
      <c r="R257">
        <v>3</v>
      </c>
      <c r="S257">
        <v>71.069000000000003</v>
      </c>
      <c r="T257">
        <v>3600000</v>
      </c>
      <c r="U257">
        <v>3600000</v>
      </c>
      <c r="V257">
        <v>1</v>
      </c>
      <c r="W257">
        <v>49700</v>
      </c>
      <c r="X257">
        <v>2558484</v>
      </c>
      <c r="Y257">
        <v>2608184</v>
      </c>
    </row>
    <row r="258" spans="1:25" x14ac:dyDescent="0.25">
      <c r="A258">
        <v>16</v>
      </c>
      <c r="B258" t="s">
        <v>578</v>
      </c>
      <c r="C258" t="s">
        <v>32</v>
      </c>
      <c r="D258" t="s">
        <v>1020</v>
      </c>
      <c r="E258">
        <v>31570</v>
      </c>
      <c r="F258" t="s">
        <v>1021</v>
      </c>
      <c r="G258" t="s">
        <v>1022</v>
      </c>
      <c r="H258" t="s">
        <v>526</v>
      </c>
      <c r="I258" t="s">
        <v>1023</v>
      </c>
      <c r="L258" t="b">
        <v>1</v>
      </c>
      <c r="M258" t="s">
        <v>81</v>
      </c>
      <c r="N258" t="s">
        <v>32</v>
      </c>
      <c r="P258" t="s">
        <v>579</v>
      </c>
      <c r="Q258">
        <v>1</v>
      </c>
      <c r="R258">
        <v>3</v>
      </c>
      <c r="S258">
        <v>93.09581</v>
      </c>
      <c r="T258">
        <v>4723000</v>
      </c>
      <c r="U258">
        <v>4723000</v>
      </c>
      <c r="V258">
        <v>1</v>
      </c>
      <c r="W258">
        <v>86371.86</v>
      </c>
      <c r="X258">
        <v>4396915.1100000003</v>
      </c>
      <c r="Y258">
        <v>4483286.9700000007</v>
      </c>
    </row>
    <row r="259" spans="1:25" x14ac:dyDescent="0.25">
      <c r="A259">
        <v>16</v>
      </c>
      <c r="B259" t="s">
        <v>578</v>
      </c>
      <c r="C259" t="s">
        <v>32</v>
      </c>
      <c r="D259" t="s">
        <v>1024</v>
      </c>
      <c r="E259">
        <v>179279</v>
      </c>
      <c r="F259" t="s">
        <v>1025</v>
      </c>
      <c r="G259" t="s">
        <v>1026</v>
      </c>
      <c r="H259" t="s">
        <v>1027</v>
      </c>
      <c r="I259" t="s">
        <v>1028</v>
      </c>
      <c r="J259" t="s">
        <v>1025</v>
      </c>
      <c r="K259" t="s">
        <v>1029</v>
      </c>
      <c r="L259" t="b">
        <v>1</v>
      </c>
      <c r="M259" t="s">
        <v>1030</v>
      </c>
      <c r="N259" t="s">
        <v>32</v>
      </c>
      <c r="P259" t="s">
        <v>579</v>
      </c>
      <c r="Q259">
        <v>1</v>
      </c>
      <c r="R259">
        <v>3</v>
      </c>
      <c r="S259">
        <v>103.293215</v>
      </c>
      <c r="T259">
        <v>2400000</v>
      </c>
      <c r="U259">
        <v>2400000</v>
      </c>
      <c r="V259">
        <v>1</v>
      </c>
      <c r="W259">
        <v>103500</v>
      </c>
      <c r="X259">
        <v>2479037.16</v>
      </c>
      <c r="Y259">
        <v>2582537.16</v>
      </c>
    </row>
    <row r="260" spans="1:25" x14ac:dyDescent="0.25">
      <c r="A260">
        <v>16</v>
      </c>
      <c r="B260" t="s">
        <v>578</v>
      </c>
      <c r="C260" t="s">
        <v>32</v>
      </c>
      <c r="D260" t="s">
        <v>1031</v>
      </c>
      <c r="E260">
        <v>168617</v>
      </c>
      <c r="F260" t="s">
        <v>1032</v>
      </c>
      <c r="G260" t="s">
        <v>1033</v>
      </c>
      <c r="H260" t="s">
        <v>1034</v>
      </c>
      <c r="I260" t="s">
        <v>1035</v>
      </c>
      <c r="J260" t="s">
        <v>1032</v>
      </c>
      <c r="K260" t="s">
        <v>1036</v>
      </c>
      <c r="L260" t="b">
        <v>1</v>
      </c>
      <c r="M260" t="s">
        <v>44</v>
      </c>
      <c r="N260" t="s">
        <v>32</v>
      </c>
      <c r="P260" t="s">
        <v>579</v>
      </c>
      <c r="Q260">
        <v>1</v>
      </c>
      <c r="R260">
        <v>3</v>
      </c>
      <c r="S260">
        <v>0.44500000000000001</v>
      </c>
      <c r="T260">
        <v>300000</v>
      </c>
      <c r="U260">
        <v>300000</v>
      </c>
      <c r="V260">
        <v>1</v>
      </c>
      <c r="W260">
        <v>0</v>
      </c>
      <c r="X260">
        <v>1335</v>
      </c>
      <c r="Y260">
        <v>1335</v>
      </c>
    </row>
    <row r="261" spans="1:25" x14ac:dyDescent="0.25">
      <c r="A261">
        <v>16</v>
      </c>
      <c r="B261" t="s">
        <v>578</v>
      </c>
      <c r="C261" t="s">
        <v>32</v>
      </c>
      <c r="D261" t="s">
        <v>1037</v>
      </c>
      <c r="E261">
        <v>4304</v>
      </c>
      <c r="F261" t="s">
        <v>1036</v>
      </c>
      <c r="G261" t="s">
        <v>1038</v>
      </c>
      <c r="H261" t="s">
        <v>1034</v>
      </c>
      <c r="I261" t="s">
        <v>1035</v>
      </c>
      <c r="J261" t="s">
        <v>1032</v>
      </c>
      <c r="K261" t="s">
        <v>1032</v>
      </c>
      <c r="L261" t="b">
        <v>1</v>
      </c>
      <c r="M261" t="s">
        <v>44</v>
      </c>
      <c r="N261" t="s">
        <v>32</v>
      </c>
      <c r="P261" t="s">
        <v>579</v>
      </c>
      <c r="Q261">
        <v>1</v>
      </c>
      <c r="R261">
        <v>3</v>
      </c>
      <c r="S261">
        <v>0.46250000000000002</v>
      </c>
      <c r="T261">
        <v>11861000</v>
      </c>
      <c r="U261">
        <v>11861000</v>
      </c>
      <c r="V261">
        <v>1</v>
      </c>
      <c r="W261">
        <v>0</v>
      </c>
      <c r="X261">
        <v>54857.139999999898</v>
      </c>
      <c r="Y261">
        <v>54857.139999999898</v>
      </c>
    </row>
    <row r="262" spans="1:25" x14ac:dyDescent="0.25">
      <c r="A262">
        <v>16</v>
      </c>
      <c r="B262" t="s">
        <v>578</v>
      </c>
      <c r="C262" t="s">
        <v>32</v>
      </c>
      <c r="D262" t="s">
        <v>528</v>
      </c>
      <c r="E262">
        <v>35708</v>
      </c>
      <c r="F262" t="s">
        <v>529</v>
      </c>
      <c r="G262" t="s">
        <v>530</v>
      </c>
      <c r="H262" t="s">
        <v>531</v>
      </c>
      <c r="I262" t="s">
        <v>530</v>
      </c>
      <c r="L262" t="b">
        <v>0</v>
      </c>
      <c r="M262" t="s">
        <v>81</v>
      </c>
      <c r="N262" t="s">
        <v>32</v>
      </c>
      <c r="P262" t="s">
        <v>579</v>
      </c>
      <c r="Q262">
        <v>1</v>
      </c>
      <c r="R262">
        <v>3</v>
      </c>
      <c r="S262">
        <v>91.088650000000001</v>
      </c>
      <c r="T262">
        <v>7388000</v>
      </c>
      <c r="U262">
        <v>7388000</v>
      </c>
      <c r="V262">
        <v>1</v>
      </c>
      <c r="W262">
        <v>84474.6</v>
      </c>
      <c r="X262">
        <v>6729629.4600000009</v>
      </c>
      <c r="Y262">
        <v>6814104.0600000015</v>
      </c>
    </row>
    <row r="263" spans="1:25" x14ac:dyDescent="0.25">
      <c r="A263">
        <v>16</v>
      </c>
      <c r="B263" t="s">
        <v>578</v>
      </c>
      <c r="C263" t="s">
        <v>32</v>
      </c>
      <c r="D263" t="s">
        <v>1039</v>
      </c>
      <c r="E263">
        <v>30502</v>
      </c>
      <c r="F263" t="s">
        <v>1040</v>
      </c>
      <c r="G263" t="s">
        <v>1041</v>
      </c>
      <c r="H263" t="s">
        <v>531</v>
      </c>
      <c r="I263" t="s">
        <v>1041</v>
      </c>
      <c r="L263" t="b">
        <v>0</v>
      </c>
      <c r="M263" t="s">
        <v>81</v>
      </c>
      <c r="N263" t="s">
        <v>32</v>
      </c>
      <c r="P263" t="s">
        <v>579</v>
      </c>
      <c r="Q263">
        <v>1</v>
      </c>
      <c r="R263">
        <v>3</v>
      </c>
      <c r="S263">
        <v>79.339966666699993</v>
      </c>
      <c r="T263">
        <v>18945000</v>
      </c>
      <c r="U263">
        <v>18945000</v>
      </c>
      <c r="V263">
        <v>1</v>
      </c>
      <c r="W263">
        <v>194778.31</v>
      </c>
      <c r="X263">
        <v>15030956.689999999</v>
      </c>
      <c r="Y263">
        <v>15225735</v>
      </c>
    </row>
    <row r="264" spans="1:25" x14ac:dyDescent="0.25">
      <c r="A264">
        <v>16</v>
      </c>
      <c r="B264" t="s">
        <v>578</v>
      </c>
      <c r="C264" t="s">
        <v>32</v>
      </c>
      <c r="D264" t="s">
        <v>1042</v>
      </c>
      <c r="E264">
        <v>35709</v>
      </c>
      <c r="F264" t="s">
        <v>1043</v>
      </c>
      <c r="G264" t="s">
        <v>1044</v>
      </c>
      <c r="H264" t="s">
        <v>531</v>
      </c>
      <c r="I264" t="s">
        <v>1044</v>
      </c>
      <c r="L264" t="b">
        <v>0</v>
      </c>
      <c r="M264" t="s">
        <v>81</v>
      </c>
      <c r="N264" t="s">
        <v>32</v>
      </c>
      <c r="P264" t="s">
        <v>579</v>
      </c>
      <c r="Q264">
        <v>1</v>
      </c>
      <c r="R264">
        <v>3</v>
      </c>
      <c r="S264">
        <v>77.241249999999994</v>
      </c>
      <c r="T264">
        <v>4294000</v>
      </c>
      <c r="U264">
        <v>4294000</v>
      </c>
      <c r="V264">
        <v>1</v>
      </c>
      <c r="W264">
        <v>62367.380000000012</v>
      </c>
      <c r="X264">
        <v>3316739.29</v>
      </c>
      <c r="Y264">
        <v>3379106.67</v>
      </c>
    </row>
    <row r="265" spans="1:25" x14ac:dyDescent="0.25">
      <c r="A265">
        <v>16</v>
      </c>
      <c r="B265" t="s">
        <v>578</v>
      </c>
      <c r="C265" t="s">
        <v>32</v>
      </c>
      <c r="D265" t="s">
        <v>1045</v>
      </c>
      <c r="E265">
        <v>2754</v>
      </c>
      <c r="F265" t="s">
        <v>1046</v>
      </c>
      <c r="G265" t="s">
        <v>1047</v>
      </c>
      <c r="H265" t="s">
        <v>531</v>
      </c>
      <c r="I265" t="s">
        <v>1047</v>
      </c>
      <c r="L265" t="b">
        <v>0</v>
      </c>
      <c r="M265" t="s">
        <v>81</v>
      </c>
      <c r="N265" t="s">
        <v>32</v>
      </c>
      <c r="P265" t="s">
        <v>579</v>
      </c>
      <c r="Q265">
        <v>1</v>
      </c>
      <c r="R265">
        <v>3</v>
      </c>
      <c r="S265">
        <v>101.408625</v>
      </c>
      <c r="T265">
        <v>4073000</v>
      </c>
      <c r="U265">
        <v>4073000</v>
      </c>
      <c r="V265">
        <v>1</v>
      </c>
      <c r="W265">
        <v>71560.350000000006</v>
      </c>
      <c r="X265">
        <v>4130373.31</v>
      </c>
      <c r="Y265">
        <v>4201933.66</v>
      </c>
    </row>
    <row r="266" spans="1:25" x14ac:dyDescent="0.25">
      <c r="A266">
        <v>16</v>
      </c>
      <c r="B266" t="s">
        <v>578</v>
      </c>
      <c r="C266" t="s">
        <v>32</v>
      </c>
      <c r="D266" t="s">
        <v>1048</v>
      </c>
      <c r="E266">
        <v>30501</v>
      </c>
      <c r="F266" t="s">
        <v>1049</v>
      </c>
      <c r="G266" t="s">
        <v>1050</v>
      </c>
      <c r="H266" t="s">
        <v>531</v>
      </c>
      <c r="I266" t="s">
        <v>1050</v>
      </c>
      <c r="L266" t="b">
        <v>0</v>
      </c>
      <c r="M266" t="s">
        <v>81</v>
      </c>
      <c r="N266" t="s">
        <v>32</v>
      </c>
      <c r="P266" t="s">
        <v>579</v>
      </c>
      <c r="Q266">
        <v>1</v>
      </c>
      <c r="R266">
        <v>3</v>
      </c>
      <c r="S266">
        <v>96.229416666700004</v>
      </c>
      <c r="T266">
        <v>2596000</v>
      </c>
      <c r="U266">
        <v>2596000</v>
      </c>
      <c r="V266">
        <v>1</v>
      </c>
      <c r="W266">
        <v>70731.989999999991</v>
      </c>
      <c r="X266">
        <v>2498115.66</v>
      </c>
      <c r="Y266">
        <v>2568847.65</v>
      </c>
    </row>
    <row r="267" spans="1:25" x14ac:dyDescent="0.25">
      <c r="A267">
        <v>16</v>
      </c>
      <c r="B267" t="s">
        <v>578</v>
      </c>
      <c r="C267" t="s">
        <v>32</v>
      </c>
      <c r="D267" t="s">
        <v>532</v>
      </c>
      <c r="E267">
        <v>149965</v>
      </c>
      <c r="F267" t="s">
        <v>533</v>
      </c>
      <c r="G267" t="s">
        <v>534</v>
      </c>
      <c r="H267" t="s">
        <v>531</v>
      </c>
      <c r="I267" t="s">
        <v>534</v>
      </c>
      <c r="L267" t="b">
        <v>0</v>
      </c>
      <c r="M267" t="s">
        <v>81</v>
      </c>
      <c r="N267" t="s">
        <v>32</v>
      </c>
      <c r="P267" t="s">
        <v>579</v>
      </c>
      <c r="Q267">
        <v>1</v>
      </c>
      <c r="R267">
        <v>3</v>
      </c>
      <c r="S267">
        <v>103.2316571429</v>
      </c>
      <c r="T267">
        <v>6310000</v>
      </c>
      <c r="U267">
        <v>6310000</v>
      </c>
      <c r="V267">
        <v>1</v>
      </c>
      <c r="W267">
        <v>244512.5</v>
      </c>
      <c r="X267">
        <v>6513917.5599999996</v>
      </c>
      <c r="Y267">
        <v>6758430.0599999996</v>
      </c>
    </row>
    <row r="268" spans="1:25" x14ac:dyDescent="0.25">
      <c r="A268">
        <v>16</v>
      </c>
      <c r="B268" t="s">
        <v>578</v>
      </c>
      <c r="C268" t="s">
        <v>32</v>
      </c>
      <c r="D268" t="s">
        <v>1051</v>
      </c>
      <c r="E268">
        <v>120782</v>
      </c>
      <c r="F268" t="s">
        <v>1052</v>
      </c>
      <c r="G268" t="s">
        <v>1053</v>
      </c>
      <c r="H268" t="s">
        <v>531</v>
      </c>
      <c r="I268" t="s">
        <v>1053</v>
      </c>
      <c r="L268" t="b">
        <v>0</v>
      </c>
      <c r="M268" t="s">
        <v>81</v>
      </c>
      <c r="N268" t="s">
        <v>32</v>
      </c>
      <c r="P268" t="s">
        <v>579</v>
      </c>
      <c r="Q268">
        <v>1</v>
      </c>
      <c r="R268">
        <v>3</v>
      </c>
      <c r="S268">
        <v>105.7239055556</v>
      </c>
      <c r="T268">
        <v>370000</v>
      </c>
      <c r="U268">
        <v>370000</v>
      </c>
      <c r="V268">
        <v>1</v>
      </c>
      <c r="W268">
        <v>1032.92</v>
      </c>
      <c r="X268">
        <v>391178.45000000013</v>
      </c>
      <c r="Y268">
        <v>392211.37000000011</v>
      </c>
    </row>
    <row r="269" spans="1:25" x14ac:dyDescent="0.25">
      <c r="A269">
        <v>16</v>
      </c>
      <c r="B269" t="s">
        <v>578</v>
      </c>
      <c r="C269" t="s">
        <v>32</v>
      </c>
      <c r="D269" t="s">
        <v>535</v>
      </c>
      <c r="E269">
        <v>53259</v>
      </c>
      <c r="F269" t="s">
        <v>536</v>
      </c>
      <c r="G269" t="s">
        <v>537</v>
      </c>
      <c r="H269" t="s">
        <v>531</v>
      </c>
      <c r="I269" t="s">
        <v>537</v>
      </c>
      <c r="L269" t="b">
        <v>0</v>
      </c>
      <c r="M269" t="s">
        <v>81</v>
      </c>
      <c r="N269" t="s">
        <v>32</v>
      </c>
      <c r="P269" t="s">
        <v>579</v>
      </c>
      <c r="Q269">
        <v>1</v>
      </c>
      <c r="R269">
        <v>3</v>
      </c>
      <c r="S269">
        <v>107.995665625</v>
      </c>
      <c r="T269">
        <v>10333000</v>
      </c>
      <c r="U269">
        <v>10333000</v>
      </c>
      <c r="V269">
        <v>1</v>
      </c>
      <c r="W269">
        <v>45852.69</v>
      </c>
      <c r="X269">
        <v>11159192.130000001</v>
      </c>
      <c r="Y269">
        <v>11205044.82</v>
      </c>
    </row>
    <row r="270" spans="1:25" x14ac:dyDescent="0.25">
      <c r="A270">
        <v>16</v>
      </c>
      <c r="B270" t="s">
        <v>578</v>
      </c>
      <c r="C270" t="s">
        <v>32</v>
      </c>
      <c r="D270" t="s">
        <v>1054</v>
      </c>
      <c r="E270">
        <v>187871</v>
      </c>
      <c r="F270" t="s">
        <v>1055</v>
      </c>
      <c r="G270" t="s">
        <v>1056</v>
      </c>
      <c r="H270" t="s">
        <v>1057</v>
      </c>
      <c r="I270" t="s">
        <v>1058</v>
      </c>
      <c r="J270" t="s">
        <v>1055</v>
      </c>
      <c r="K270" t="s">
        <v>1059</v>
      </c>
      <c r="L270" t="b">
        <v>1</v>
      </c>
      <c r="M270" t="s">
        <v>895</v>
      </c>
      <c r="N270" t="s">
        <v>32</v>
      </c>
      <c r="P270" t="s">
        <v>579</v>
      </c>
      <c r="Q270">
        <v>1</v>
      </c>
      <c r="R270">
        <v>3</v>
      </c>
      <c r="S270">
        <v>98.104981666699999</v>
      </c>
      <c r="T270">
        <v>2750000</v>
      </c>
      <c r="U270">
        <v>2750000</v>
      </c>
      <c r="V270">
        <v>1</v>
      </c>
      <c r="W270">
        <v>61118.75</v>
      </c>
      <c r="X270">
        <v>2697887</v>
      </c>
      <c r="Y270">
        <v>2759005.75</v>
      </c>
    </row>
    <row r="271" spans="1:25" x14ac:dyDescent="0.25">
      <c r="A271">
        <v>16</v>
      </c>
      <c r="B271" t="s">
        <v>578</v>
      </c>
      <c r="C271" t="s">
        <v>32</v>
      </c>
      <c r="D271" t="s">
        <v>1060</v>
      </c>
      <c r="E271">
        <v>221753</v>
      </c>
      <c r="F271" t="s">
        <v>1061</v>
      </c>
      <c r="G271" t="s">
        <v>1062</v>
      </c>
      <c r="H271" t="s">
        <v>1063</v>
      </c>
      <c r="I271" t="s">
        <v>1062</v>
      </c>
      <c r="L271" t="b">
        <v>0</v>
      </c>
      <c r="M271" t="s">
        <v>31</v>
      </c>
      <c r="N271" t="s">
        <v>32</v>
      </c>
      <c r="P271" t="s">
        <v>579</v>
      </c>
      <c r="Q271">
        <v>1</v>
      </c>
      <c r="R271">
        <v>3</v>
      </c>
      <c r="S271">
        <v>100.03743</v>
      </c>
      <c r="T271">
        <v>9500000</v>
      </c>
      <c r="U271">
        <v>9500000</v>
      </c>
      <c r="V271">
        <v>1</v>
      </c>
      <c r="W271">
        <v>89095.49</v>
      </c>
      <c r="X271">
        <v>9503555.8499999996</v>
      </c>
      <c r="Y271">
        <v>9592651.3399999999</v>
      </c>
    </row>
    <row r="272" spans="1:25" x14ac:dyDescent="0.25">
      <c r="A272">
        <v>16</v>
      </c>
      <c r="B272" t="s">
        <v>578</v>
      </c>
      <c r="C272" t="s">
        <v>32</v>
      </c>
      <c r="D272" t="s">
        <v>1064</v>
      </c>
      <c r="E272">
        <v>2182</v>
      </c>
      <c r="F272" t="s">
        <v>1065</v>
      </c>
      <c r="G272" t="s">
        <v>1066</v>
      </c>
      <c r="H272" t="s">
        <v>1067</v>
      </c>
      <c r="I272" t="s">
        <v>1068</v>
      </c>
      <c r="L272" t="b">
        <v>1</v>
      </c>
      <c r="M272" t="s">
        <v>31</v>
      </c>
      <c r="N272" t="s">
        <v>32</v>
      </c>
      <c r="P272" t="s">
        <v>579</v>
      </c>
      <c r="Q272">
        <v>1</v>
      </c>
      <c r="R272">
        <v>3</v>
      </c>
      <c r="S272">
        <v>96.050124999999994</v>
      </c>
      <c r="T272">
        <v>1400000</v>
      </c>
      <c r="U272">
        <v>1400000</v>
      </c>
      <c r="V272">
        <v>1</v>
      </c>
      <c r="W272">
        <v>31835.42</v>
      </c>
      <c r="X272">
        <v>1344701.75</v>
      </c>
      <c r="Y272">
        <v>1376537.17</v>
      </c>
    </row>
    <row r="273" spans="1:25" x14ac:dyDescent="0.25">
      <c r="A273">
        <v>16</v>
      </c>
      <c r="B273" t="s">
        <v>578</v>
      </c>
      <c r="C273" t="s">
        <v>32</v>
      </c>
      <c r="D273" t="s">
        <v>1069</v>
      </c>
      <c r="E273">
        <v>146647</v>
      </c>
      <c r="F273" t="s">
        <v>1070</v>
      </c>
      <c r="G273" t="s">
        <v>1071</v>
      </c>
      <c r="H273" t="s">
        <v>1067</v>
      </c>
      <c r="I273" t="s">
        <v>1072</v>
      </c>
      <c r="L273" t="b">
        <v>1</v>
      </c>
      <c r="M273" t="s">
        <v>31</v>
      </c>
      <c r="N273" t="s">
        <v>32</v>
      </c>
      <c r="P273" t="s">
        <v>579</v>
      </c>
      <c r="Q273">
        <v>1</v>
      </c>
      <c r="R273">
        <v>3</v>
      </c>
      <c r="S273">
        <v>99.032499999999999</v>
      </c>
      <c r="T273">
        <v>1830000</v>
      </c>
      <c r="U273">
        <v>1830000</v>
      </c>
      <c r="V273">
        <v>1</v>
      </c>
      <c r="W273">
        <v>6608.34</v>
      </c>
      <c r="X273">
        <v>1812294.75</v>
      </c>
      <c r="Y273">
        <v>1818903.09</v>
      </c>
    </row>
    <row r="274" spans="1:25" x14ac:dyDescent="0.25">
      <c r="A274">
        <v>16</v>
      </c>
      <c r="B274" t="s">
        <v>578</v>
      </c>
      <c r="C274" t="s">
        <v>32</v>
      </c>
      <c r="D274" t="s">
        <v>1073</v>
      </c>
      <c r="E274">
        <v>35386</v>
      </c>
      <c r="F274" t="s">
        <v>1074</v>
      </c>
      <c r="G274" t="s">
        <v>1075</v>
      </c>
      <c r="H274" t="s">
        <v>1076</v>
      </c>
      <c r="I274" t="s">
        <v>1075</v>
      </c>
      <c r="L274" t="b">
        <v>0</v>
      </c>
      <c r="M274" t="s">
        <v>50</v>
      </c>
      <c r="N274" t="s">
        <v>32</v>
      </c>
      <c r="P274" t="s">
        <v>579</v>
      </c>
      <c r="Q274">
        <v>1</v>
      </c>
      <c r="R274">
        <v>3</v>
      </c>
      <c r="S274">
        <v>69.509</v>
      </c>
      <c r="T274">
        <v>80338</v>
      </c>
      <c r="U274">
        <v>80338</v>
      </c>
      <c r="V274">
        <v>1</v>
      </c>
      <c r="W274">
        <v>1460.59</v>
      </c>
      <c r="X274">
        <v>55842.139999999992</v>
      </c>
      <c r="Y274">
        <v>57302.73</v>
      </c>
    </row>
    <row r="275" spans="1:25" x14ac:dyDescent="0.25">
      <c r="A275">
        <v>16</v>
      </c>
      <c r="B275" t="s">
        <v>578</v>
      </c>
      <c r="C275" t="s">
        <v>32</v>
      </c>
      <c r="D275" t="s">
        <v>1077</v>
      </c>
      <c r="E275">
        <v>187873</v>
      </c>
      <c r="F275" t="s">
        <v>1078</v>
      </c>
      <c r="G275" t="s">
        <v>1079</v>
      </c>
      <c r="H275" t="s">
        <v>1080</v>
      </c>
      <c r="I275" t="s">
        <v>1081</v>
      </c>
      <c r="J275" t="s">
        <v>1078</v>
      </c>
      <c r="K275" t="s">
        <v>1082</v>
      </c>
      <c r="L275" t="b">
        <v>1</v>
      </c>
      <c r="M275" t="s">
        <v>44</v>
      </c>
      <c r="N275" t="s">
        <v>32</v>
      </c>
      <c r="P275" t="s">
        <v>579</v>
      </c>
      <c r="Q275">
        <v>1</v>
      </c>
      <c r="R275">
        <v>3</v>
      </c>
      <c r="S275">
        <v>96.221486999999996</v>
      </c>
      <c r="T275">
        <v>1360028</v>
      </c>
      <c r="U275">
        <v>1400000</v>
      </c>
      <c r="V275">
        <v>0.97140000000000004</v>
      </c>
      <c r="W275">
        <v>8434.06</v>
      </c>
      <c r="X275">
        <v>1308639.17</v>
      </c>
      <c r="Y275">
        <v>1317073.23</v>
      </c>
    </row>
    <row r="276" spans="1:25" x14ac:dyDescent="0.25">
      <c r="A276">
        <v>16</v>
      </c>
      <c r="B276" t="s">
        <v>578</v>
      </c>
      <c r="C276" t="s">
        <v>32</v>
      </c>
      <c r="D276" t="s">
        <v>1083</v>
      </c>
      <c r="E276">
        <v>31865</v>
      </c>
      <c r="F276" t="s">
        <v>1084</v>
      </c>
      <c r="G276" t="s">
        <v>1085</v>
      </c>
      <c r="H276" t="s">
        <v>1086</v>
      </c>
      <c r="I276" t="s">
        <v>1087</v>
      </c>
      <c r="J276" t="s">
        <v>1084</v>
      </c>
      <c r="K276" t="s">
        <v>1088</v>
      </c>
      <c r="L276" t="b">
        <v>1</v>
      </c>
      <c r="M276" t="s">
        <v>81</v>
      </c>
      <c r="N276" t="s">
        <v>32</v>
      </c>
      <c r="P276" t="s">
        <v>579</v>
      </c>
      <c r="Q276">
        <v>1</v>
      </c>
      <c r="R276">
        <v>3</v>
      </c>
      <c r="S276">
        <v>99.9516916667</v>
      </c>
      <c r="T276">
        <v>2690000</v>
      </c>
      <c r="U276">
        <v>2690000</v>
      </c>
      <c r="V276">
        <v>1</v>
      </c>
      <c r="W276">
        <v>23537.5</v>
      </c>
      <c r="X276">
        <v>2688700.52</v>
      </c>
      <c r="Y276">
        <v>2712238.02</v>
      </c>
    </row>
    <row r="277" spans="1:25" x14ac:dyDescent="0.25">
      <c r="A277">
        <v>16</v>
      </c>
      <c r="B277" t="s">
        <v>578</v>
      </c>
      <c r="C277" t="s">
        <v>32</v>
      </c>
      <c r="D277" t="s">
        <v>538</v>
      </c>
      <c r="E277">
        <v>147064</v>
      </c>
      <c r="F277" t="s">
        <v>539</v>
      </c>
      <c r="G277" t="s">
        <v>540</v>
      </c>
      <c r="H277" t="s">
        <v>541</v>
      </c>
      <c r="I277" t="s">
        <v>542</v>
      </c>
      <c r="J277" t="s">
        <v>539</v>
      </c>
      <c r="K277" t="s">
        <v>543</v>
      </c>
      <c r="L277" t="b">
        <v>1</v>
      </c>
      <c r="M277" t="s">
        <v>44</v>
      </c>
      <c r="N277" t="s">
        <v>32</v>
      </c>
      <c r="P277" t="s">
        <v>579</v>
      </c>
      <c r="Q277">
        <v>1</v>
      </c>
      <c r="R277">
        <v>3</v>
      </c>
      <c r="S277">
        <v>99.308571428600004</v>
      </c>
      <c r="T277">
        <v>1070909</v>
      </c>
      <c r="U277">
        <v>1090000</v>
      </c>
      <c r="V277">
        <v>0.98250000000000004</v>
      </c>
      <c r="W277">
        <v>215.66999999999831</v>
      </c>
      <c r="X277">
        <v>1063504.43</v>
      </c>
      <c r="Y277">
        <v>1063720.1000000001</v>
      </c>
    </row>
    <row r="278" spans="1:25" x14ac:dyDescent="0.25">
      <c r="A278">
        <v>16</v>
      </c>
      <c r="B278" t="s">
        <v>578</v>
      </c>
      <c r="C278" t="s">
        <v>32</v>
      </c>
      <c r="D278" t="s">
        <v>544</v>
      </c>
      <c r="E278">
        <v>32196</v>
      </c>
      <c r="F278" t="s">
        <v>545</v>
      </c>
      <c r="G278" t="s">
        <v>546</v>
      </c>
      <c r="H278" t="s">
        <v>547</v>
      </c>
      <c r="I278" t="s">
        <v>548</v>
      </c>
      <c r="L278" t="b">
        <v>1</v>
      </c>
      <c r="M278" t="s">
        <v>44</v>
      </c>
      <c r="N278" t="s">
        <v>32</v>
      </c>
      <c r="P278" t="s">
        <v>579</v>
      </c>
      <c r="Q278">
        <v>1</v>
      </c>
      <c r="R278">
        <v>3</v>
      </c>
      <c r="S278">
        <v>90.492671428600005</v>
      </c>
      <c r="T278">
        <v>4220000</v>
      </c>
      <c r="U278">
        <v>4220000</v>
      </c>
      <c r="V278">
        <v>1</v>
      </c>
      <c r="W278">
        <v>4615.63</v>
      </c>
      <c r="X278">
        <v>3818790.74</v>
      </c>
      <c r="Y278">
        <v>3823406.37</v>
      </c>
    </row>
    <row r="279" spans="1:25" x14ac:dyDescent="0.25">
      <c r="A279">
        <v>16</v>
      </c>
      <c r="B279" t="s">
        <v>578</v>
      </c>
      <c r="C279" t="s">
        <v>32</v>
      </c>
      <c r="D279" t="s">
        <v>549</v>
      </c>
      <c r="E279">
        <v>218888</v>
      </c>
      <c r="F279" t="s">
        <v>550</v>
      </c>
      <c r="G279" t="s">
        <v>551</v>
      </c>
      <c r="H279" t="s">
        <v>547</v>
      </c>
      <c r="I279" t="s">
        <v>552</v>
      </c>
      <c r="J279" t="s">
        <v>550</v>
      </c>
      <c r="K279" t="s">
        <v>553</v>
      </c>
      <c r="L279" t="b">
        <v>1</v>
      </c>
      <c r="M279" t="s">
        <v>44</v>
      </c>
      <c r="N279" t="s">
        <v>32</v>
      </c>
      <c r="P279" t="s">
        <v>579</v>
      </c>
      <c r="Q279">
        <v>1</v>
      </c>
      <c r="R279">
        <v>3</v>
      </c>
      <c r="S279">
        <v>98.338999999999999</v>
      </c>
      <c r="T279">
        <v>3000000</v>
      </c>
      <c r="U279">
        <v>3000000</v>
      </c>
      <c r="V279">
        <v>1</v>
      </c>
      <c r="W279">
        <v>37406.25</v>
      </c>
      <c r="X279">
        <v>2950170</v>
      </c>
      <c r="Y279">
        <v>2987576.25</v>
      </c>
    </row>
    <row r="280" spans="1:25" x14ac:dyDescent="0.25">
      <c r="A280">
        <v>13</v>
      </c>
      <c r="B280" t="s">
        <v>1089</v>
      </c>
      <c r="C280" t="s">
        <v>32</v>
      </c>
      <c r="D280" t="s">
        <v>1090</v>
      </c>
      <c r="E280">
        <v>774</v>
      </c>
      <c r="F280" t="s">
        <v>1091</v>
      </c>
      <c r="G280" t="s">
        <v>1092</v>
      </c>
      <c r="H280" t="s">
        <v>1093</v>
      </c>
      <c r="I280" t="s">
        <v>1094</v>
      </c>
      <c r="J280" t="s">
        <v>1095</v>
      </c>
      <c r="K280" t="s">
        <v>1095</v>
      </c>
      <c r="L280" t="b">
        <v>1</v>
      </c>
      <c r="M280" t="s">
        <v>31</v>
      </c>
      <c r="N280" t="s">
        <v>32</v>
      </c>
      <c r="P280" t="s">
        <v>579</v>
      </c>
      <c r="Q280">
        <v>1</v>
      </c>
      <c r="R280">
        <v>3</v>
      </c>
      <c r="S280">
        <v>0</v>
      </c>
      <c r="T280">
        <v>250000</v>
      </c>
      <c r="U280">
        <v>250000</v>
      </c>
      <c r="V280">
        <v>1</v>
      </c>
      <c r="W280">
        <v>0</v>
      </c>
      <c r="X280">
        <v>0</v>
      </c>
      <c r="Y280">
        <v>0</v>
      </c>
    </row>
    <row r="281" spans="1:25" x14ac:dyDescent="0.25">
      <c r="A281">
        <v>13</v>
      </c>
      <c r="B281" t="s">
        <v>1089</v>
      </c>
      <c r="C281" t="s">
        <v>32</v>
      </c>
      <c r="D281" t="s">
        <v>1096</v>
      </c>
      <c r="E281">
        <v>776</v>
      </c>
      <c r="F281" t="s">
        <v>1097</v>
      </c>
      <c r="G281" t="s">
        <v>1098</v>
      </c>
      <c r="H281" t="s">
        <v>1093</v>
      </c>
      <c r="I281" t="s">
        <v>1099</v>
      </c>
      <c r="J281" t="s">
        <v>1100</v>
      </c>
      <c r="K281" t="s">
        <v>1100</v>
      </c>
      <c r="L281" t="b">
        <v>1</v>
      </c>
      <c r="M281" t="s">
        <v>31</v>
      </c>
      <c r="N281" t="s">
        <v>32</v>
      </c>
      <c r="P281" t="s">
        <v>579</v>
      </c>
      <c r="Q281">
        <v>1</v>
      </c>
      <c r="R281">
        <v>3</v>
      </c>
      <c r="S281">
        <v>0</v>
      </c>
      <c r="T281">
        <v>4000000</v>
      </c>
      <c r="U281">
        <v>4000000</v>
      </c>
      <c r="V281">
        <v>1</v>
      </c>
      <c r="W281">
        <v>0</v>
      </c>
      <c r="X281">
        <v>0</v>
      </c>
      <c r="Y281">
        <v>0</v>
      </c>
    </row>
    <row r="282" spans="1:25" x14ac:dyDescent="0.25">
      <c r="A282">
        <v>13</v>
      </c>
      <c r="B282" t="s">
        <v>1089</v>
      </c>
      <c r="C282" t="s">
        <v>32</v>
      </c>
      <c r="D282" t="s">
        <v>1101</v>
      </c>
      <c r="E282">
        <v>95961</v>
      </c>
      <c r="F282" t="s">
        <v>1102</v>
      </c>
      <c r="G282" t="s">
        <v>1103</v>
      </c>
      <c r="H282" t="s">
        <v>557</v>
      </c>
      <c r="I282" t="s">
        <v>1104</v>
      </c>
      <c r="L282" t="b">
        <v>1</v>
      </c>
      <c r="M282" t="s">
        <v>31</v>
      </c>
      <c r="N282" t="s">
        <v>32</v>
      </c>
      <c r="P282" t="s">
        <v>579</v>
      </c>
      <c r="Q282">
        <v>1</v>
      </c>
      <c r="R282">
        <v>3</v>
      </c>
      <c r="S282">
        <v>97.35</v>
      </c>
      <c r="T282">
        <v>57783</v>
      </c>
      <c r="U282">
        <v>57783</v>
      </c>
      <c r="V282">
        <v>1</v>
      </c>
      <c r="W282">
        <v>44.94</v>
      </c>
      <c r="X282">
        <v>56251.75</v>
      </c>
      <c r="Y282">
        <v>56296.69</v>
      </c>
    </row>
    <row r="283" spans="1:25" x14ac:dyDescent="0.25">
      <c r="A283">
        <v>13</v>
      </c>
      <c r="B283" t="s">
        <v>1089</v>
      </c>
      <c r="C283" t="s">
        <v>32</v>
      </c>
      <c r="D283" t="s">
        <v>1105</v>
      </c>
      <c r="E283">
        <v>187236</v>
      </c>
      <c r="F283" t="s">
        <v>1106</v>
      </c>
      <c r="G283" t="s">
        <v>1107</v>
      </c>
      <c r="H283" t="s">
        <v>1108</v>
      </c>
      <c r="I283" t="s">
        <v>1109</v>
      </c>
      <c r="L283" t="b">
        <v>1</v>
      </c>
      <c r="M283" t="s">
        <v>50</v>
      </c>
      <c r="N283" t="s">
        <v>32</v>
      </c>
      <c r="P283" t="s">
        <v>579</v>
      </c>
      <c r="Q283">
        <v>1</v>
      </c>
      <c r="R283">
        <v>3</v>
      </c>
      <c r="S283">
        <v>100.396</v>
      </c>
      <c r="T283">
        <v>4911691</v>
      </c>
      <c r="U283">
        <v>4911691</v>
      </c>
      <c r="V283">
        <v>1</v>
      </c>
      <c r="W283">
        <v>29470.15</v>
      </c>
      <c r="X283">
        <v>4931141.3</v>
      </c>
      <c r="Y283">
        <v>4960611.45</v>
      </c>
    </row>
    <row r="284" spans="1:25" x14ac:dyDescent="0.25">
      <c r="A284">
        <v>13</v>
      </c>
      <c r="B284" t="s">
        <v>1089</v>
      </c>
      <c r="C284" t="s">
        <v>32</v>
      </c>
      <c r="D284" t="s">
        <v>1110</v>
      </c>
      <c r="E284">
        <v>86445</v>
      </c>
      <c r="F284" t="s">
        <v>1111</v>
      </c>
      <c r="G284" t="s">
        <v>1112</v>
      </c>
      <c r="H284" t="s">
        <v>43</v>
      </c>
      <c r="I284" t="s">
        <v>1112</v>
      </c>
      <c r="L284" t="b">
        <v>0</v>
      </c>
      <c r="M284" t="s">
        <v>44</v>
      </c>
      <c r="N284" t="s">
        <v>32</v>
      </c>
      <c r="P284" t="s">
        <v>579</v>
      </c>
      <c r="Q284">
        <v>1</v>
      </c>
      <c r="R284">
        <v>3</v>
      </c>
      <c r="S284">
        <v>98</v>
      </c>
      <c r="T284">
        <v>11972599</v>
      </c>
      <c r="U284">
        <v>11972599</v>
      </c>
      <c r="V284">
        <v>1</v>
      </c>
      <c r="W284">
        <v>59863.029999999992</v>
      </c>
      <c r="X284">
        <v>11733147.02</v>
      </c>
      <c r="Y284">
        <v>11793010.050000001</v>
      </c>
    </row>
    <row r="285" spans="1:25" x14ac:dyDescent="0.25">
      <c r="A285">
        <v>13</v>
      </c>
      <c r="B285" t="s">
        <v>1089</v>
      </c>
      <c r="C285" t="s">
        <v>32</v>
      </c>
      <c r="D285" t="s">
        <v>40</v>
      </c>
      <c r="E285">
        <v>87301</v>
      </c>
      <c r="F285" t="s">
        <v>41</v>
      </c>
      <c r="G285" t="s">
        <v>42</v>
      </c>
      <c r="H285" t="s">
        <v>43</v>
      </c>
      <c r="I285" t="s">
        <v>42</v>
      </c>
      <c r="L285" t="b">
        <v>0</v>
      </c>
      <c r="M285" t="s">
        <v>44</v>
      </c>
      <c r="N285" t="s">
        <v>32</v>
      </c>
      <c r="P285" t="s">
        <v>579</v>
      </c>
      <c r="Q285">
        <v>1</v>
      </c>
      <c r="R285">
        <v>3</v>
      </c>
      <c r="S285">
        <v>65</v>
      </c>
      <c r="T285">
        <v>4441177</v>
      </c>
      <c r="U285">
        <v>4441177</v>
      </c>
      <c r="V285">
        <v>1</v>
      </c>
      <c r="W285">
        <v>16182.92</v>
      </c>
      <c r="X285">
        <v>2886765.05</v>
      </c>
      <c r="Y285">
        <v>2902947.97</v>
      </c>
    </row>
    <row r="286" spans="1:25" x14ac:dyDescent="0.25">
      <c r="A286">
        <v>13</v>
      </c>
      <c r="B286" t="s">
        <v>1089</v>
      </c>
      <c r="C286" t="s">
        <v>32</v>
      </c>
      <c r="D286" t="s">
        <v>1113</v>
      </c>
      <c r="E286">
        <v>884</v>
      </c>
      <c r="F286" t="s">
        <v>1114</v>
      </c>
      <c r="G286" t="s">
        <v>1115</v>
      </c>
      <c r="H286" t="s">
        <v>43</v>
      </c>
      <c r="I286" t="s">
        <v>1115</v>
      </c>
      <c r="L286" t="b">
        <v>0</v>
      </c>
      <c r="M286" t="s">
        <v>44</v>
      </c>
      <c r="N286" t="s">
        <v>32</v>
      </c>
      <c r="P286" t="s">
        <v>579</v>
      </c>
      <c r="Q286">
        <v>1</v>
      </c>
      <c r="R286">
        <v>3</v>
      </c>
      <c r="S286">
        <v>70.634</v>
      </c>
      <c r="T286">
        <v>39383048</v>
      </c>
      <c r="U286">
        <v>39383048</v>
      </c>
      <c r="V286">
        <v>1</v>
      </c>
      <c r="W286">
        <v>143505.35</v>
      </c>
      <c r="X286">
        <v>27817822.129999999</v>
      </c>
      <c r="Y286">
        <v>27961327.48</v>
      </c>
    </row>
    <row r="287" spans="1:25" x14ac:dyDescent="0.25">
      <c r="A287">
        <v>13</v>
      </c>
      <c r="B287" t="s">
        <v>1089</v>
      </c>
      <c r="C287" t="s">
        <v>32</v>
      </c>
      <c r="D287" t="s">
        <v>1116</v>
      </c>
      <c r="E287">
        <v>1628</v>
      </c>
      <c r="F287" t="s">
        <v>1117</v>
      </c>
      <c r="G287" t="s">
        <v>1118</v>
      </c>
      <c r="H287" t="s">
        <v>43</v>
      </c>
      <c r="I287" t="s">
        <v>1118</v>
      </c>
      <c r="L287" t="b">
        <v>0</v>
      </c>
      <c r="M287" t="s">
        <v>44</v>
      </c>
      <c r="N287" t="s">
        <v>32</v>
      </c>
      <c r="P287" t="s">
        <v>579</v>
      </c>
      <c r="Q287">
        <v>1</v>
      </c>
      <c r="R287">
        <v>3</v>
      </c>
      <c r="S287">
        <v>63.08</v>
      </c>
      <c r="T287">
        <v>19722197</v>
      </c>
      <c r="U287">
        <v>19722197</v>
      </c>
      <c r="V287">
        <v>1</v>
      </c>
      <c r="W287">
        <v>69027.69</v>
      </c>
      <c r="X287">
        <v>12440761.880000001</v>
      </c>
      <c r="Y287">
        <v>12509789.57</v>
      </c>
    </row>
    <row r="288" spans="1:25" x14ac:dyDescent="0.25">
      <c r="A288">
        <v>16</v>
      </c>
      <c r="B288" t="s">
        <v>578</v>
      </c>
      <c r="C288" t="s">
        <v>32</v>
      </c>
      <c r="D288" t="s">
        <v>1119</v>
      </c>
      <c r="E288">
        <v>129278</v>
      </c>
      <c r="F288" t="s">
        <v>1120</v>
      </c>
      <c r="G288" t="s">
        <v>1121</v>
      </c>
      <c r="H288" t="s">
        <v>1122</v>
      </c>
      <c r="I288" t="s">
        <v>1121</v>
      </c>
      <c r="L288" t="b">
        <v>0</v>
      </c>
      <c r="M288" t="s">
        <v>31</v>
      </c>
      <c r="N288" t="s">
        <v>32</v>
      </c>
      <c r="P288" t="s">
        <v>579</v>
      </c>
      <c r="Q288">
        <v>1</v>
      </c>
      <c r="R288">
        <v>3</v>
      </c>
      <c r="S288">
        <v>77.751000000000005</v>
      </c>
      <c r="T288">
        <v>800000</v>
      </c>
      <c r="U288">
        <v>800000</v>
      </c>
      <c r="V288">
        <v>1</v>
      </c>
      <c r="W288">
        <v>1422.23</v>
      </c>
      <c r="X288">
        <v>622007.99999999988</v>
      </c>
      <c r="Y288">
        <v>623430.22999999986</v>
      </c>
    </row>
    <row r="289" spans="1:25" x14ac:dyDescent="0.25">
      <c r="A289">
        <v>16</v>
      </c>
      <c r="B289" t="s">
        <v>578</v>
      </c>
      <c r="C289" t="s">
        <v>32</v>
      </c>
      <c r="D289" t="s">
        <v>1101</v>
      </c>
      <c r="E289">
        <v>95961</v>
      </c>
      <c r="F289" t="s">
        <v>1102</v>
      </c>
      <c r="G289" t="s">
        <v>1103</v>
      </c>
      <c r="H289" t="s">
        <v>557</v>
      </c>
      <c r="I289" t="s">
        <v>1104</v>
      </c>
      <c r="L289" t="b">
        <v>1</v>
      </c>
      <c r="M289" t="s">
        <v>31</v>
      </c>
      <c r="N289" t="s">
        <v>32</v>
      </c>
      <c r="P289" t="s">
        <v>579</v>
      </c>
      <c r="Q289">
        <v>1</v>
      </c>
      <c r="R289">
        <v>3</v>
      </c>
      <c r="S289">
        <v>97.35</v>
      </c>
      <c r="T289">
        <v>308720</v>
      </c>
      <c r="U289">
        <v>308720</v>
      </c>
      <c r="V289">
        <v>1</v>
      </c>
      <c r="W289">
        <v>231.54</v>
      </c>
      <c r="X289">
        <v>300538.92</v>
      </c>
      <c r="Y289">
        <v>300770.46000000002</v>
      </c>
    </row>
    <row r="290" spans="1:25" x14ac:dyDescent="0.25">
      <c r="A290">
        <v>16</v>
      </c>
      <c r="B290" t="s">
        <v>578</v>
      </c>
      <c r="C290" t="s">
        <v>32</v>
      </c>
      <c r="D290" t="s">
        <v>554</v>
      </c>
      <c r="E290">
        <v>95963</v>
      </c>
      <c r="F290" t="s">
        <v>555</v>
      </c>
      <c r="G290" t="s">
        <v>556</v>
      </c>
      <c r="H290" t="s">
        <v>557</v>
      </c>
      <c r="I290" t="s">
        <v>558</v>
      </c>
      <c r="L290" t="b">
        <v>1</v>
      </c>
      <c r="M290" t="s">
        <v>31</v>
      </c>
      <c r="N290" t="s">
        <v>32</v>
      </c>
      <c r="P290" t="s">
        <v>579</v>
      </c>
      <c r="Q290">
        <v>1</v>
      </c>
      <c r="R290">
        <v>3</v>
      </c>
      <c r="S290">
        <v>99.377883333300005</v>
      </c>
      <c r="T290">
        <v>15634616</v>
      </c>
      <c r="U290">
        <v>15634616</v>
      </c>
      <c r="V290">
        <v>1</v>
      </c>
      <c r="W290">
        <v>149831.74</v>
      </c>
      <c r="X290">
        <v>15537350.43</v>
      </c>
      <c r="Y290">
        <v>15687182.17</v>
      </c>
    </row>
    <row r="291" spans="1:25" x14ac:dyDescent="0.25">
      <c r="A291">
        <v>16</v>
      </c>
      <c r="B291" t="s">
        <v>578</v>
      </c>
      <c r="C291" t="s">
        <v>32</v>
      </c>
      <c r="D291" t="s">
        <v>1123</v>
      </c>
      <c r="E291">
        <v>149072</v>
      </c>
      <c r="F291" t="s">
        <v>1124</v>
      </c>
      <c r="G291" t="s">
        <v>1125</v>
      </c>
      <c r="H291" t="s">
        <v>1126</v>
      </c>
      <c r="I291" t="s">
        <v>1127</v>
      </c>
      <c r="J291" t="s">
        <v>1124</v>
      </c>
      <c r="K291" t="s">
        <v>1128</v>
      </c>
      <c r="L291" t="b">
        <v>1</v>
      </c>
      <c r="M291" t="s">
        <v>112</v>
      </c>
      <c r="N291" t="s">
        <v>32</v>
      </c>
      <c r="P291" t="s">
        <v>579</v>
      </c>
      <c r="Q291">
        <v>1</v>
      </c>
      <c r="R291">
        <v>3</v>
      </c>
      <c r="S291">
        <v>102.74557</v>
      </c>
      <c r="T291">
        <v>4940000</v>
      </c>
      <c r="U291">
        <v>4940000</v>
      </c>
      <c r="V291">
        <v>1</v>
      </c>
      <c r="W291">
        <v>118045.42</v>
      </c>
      <c r="X291">
        <v>5075631.16</v>
      </c>
      <c r="Y291">
        <v>5193676.58</v>
      </c>
    </row>
    <row r="292" spans="1:25" x14ac:dyDescent="0.25">
      <c r="A292">
        <v>16</v>
      </c>
      <c r="B292" t="s">
        <v>578</v>
      </c>
      <c r="C292" t="s">
        <v>32</v>
      </c>
      <c r="D292" t="s">
        <v>1129</v>
      </c>
      <c r="E292">
        <v>164872</v>
      </c>
      <c r="F292" t="s">
        <v>1130</v>
      </c>
      <c r="G292" t="s">
        <v>1131</v>
      </c>
      <c r="H292" t="s">
        <v>1132</v>
      </c>
      <c r="I292" t="s">
        <v>1131</v>
      </c>
      <c r="L292" t="b">
        <v>0</v>
      </c>
      <c r="M292" t="s">
        <v>112</v>
      </c>
      <c r="N292" t="s">
        <v>32</v>
      </c>
      <c r="P292" t="s">
        <v>579</v>
      </c>
      <c r="Q292">
        <v>1</v>
      </c>
      <c r="R292">
        <v>3</v>
      </c>
      <c r="S292">
        <v>0</v>
      </c>
      <c r="T292">
        <v>1517895</v>
      </c>
      <c r="U292">
        <v>1517895</v>
      </c>
      <c r="V292">
        <v>1</v>
      </c>
      <c r="W292">
        <v>85771.459999999992</v>
      </c>
      <c r="X292">
        <v>0</v>
      </c>
      <c r="Y292">
        <v>85771.459999999992</v>
      </c>
    </row>
    <row r="293" spans="1:25" x14ac:dyDescent="0.25">
      <c r="A293">
        <v>16</v>
      </c>
      <c r="B293" t="s">
        <v>578</v>
      </c>
      <c r="C293" t="s">
        <v>32</v>
      </c>
      <c r="D293" t="s">
        <v>1133</v>
      </c>
      <c r="E293">
        <v>198726</v>
      </c>
      <c r="F293" t="s">
        <v>1134</v>
      </c>
      <c r="G293" t="s">
        <v>1135</v>
      </c>
      <c r="H293" t="s">
        <v>1132</v>
      </c>
      <c r="I293" t="s">
        <v>1135</v>
      </c>
      <c r="L293" t="b">
        <v>0</v>
      </c>
      <c r="M293" t="s">
        <v>112</v>
      </c>
      <c r="N293" t="s">
        <v>32</v>
      </c>
      <c r="P293" t="s">
        <v>579</v>
      </c>
      <c r="Q293">
        <v>1</v>
      </c>
      <c r="R293">
        <v>3</v>
      </c>
      <c r="S293">
        <v>100</v>
      </c>
      <c r="T293">
        <v>1482105</v>
      </c>
      <c r="U293">
        <v>1482105</v>
      </c>
      <c r="V293">
        <v>1</v>
      </c>
      <c r="W293">
        <v>27738.01</v>
      </c>
      <c r="X293">
        <v>1482105</v>
      </c>
      <c r="Y293">
        <v>1509843.01</v>
      </c>
    </row>
    <row r="294" spans="1:25" x14ac:dyDescent="0.25">
      <c r="A294">
        <v>16</v>
      </c>
      <c r="B294" t="s">
        <v>578</v>
      </c>
      <c r="C294" t="s">
        <v>32</v>
      </c>
      <c r="D294" t="s">
        <v>1136</v>
      </c>
      <c r="E294">
        <v>201206</v>
      </c>
      <c r="F294" t="s">
        <v>1137</v>
      </c>
      <c r="G294" t="s">
        <v>1138</v>
      </c>
      <c r="H294" t="s">
        <v>1132</v>
      </c>
      <c r="I294" t="s">
        <v>1138</v>
      </c>
      <c r="L294" t="b">
        <v>0</v>
      </c>
      <c r="M294" t="s">
        <v>112</v>
      </c>
      <c r="N294" t="s">
        <v>32</v>
      </c>
      <c r="P294" t="s">
        <v>579</v>
      </c>
      <c r="Q294">
        <v>1</v>
      </c>
      <c r="R294">
        <v>3</v>
      </c>
      <c r="S294">
        <v>17</v>
      </c>
      <c r="T294">
        <v>1431579</v>
      </c>
      <c r="U294">
        <v>1431579</v>
      </c>
      <c r="V294">
        <v>1</v>
      </c>
      <c r="W294">
        <v>26792.400000000001</v>
      </c>
      <c r="X294">
        <v>243368.43</v>
      </c>
      <c r="Y294">
        <v>270160.83</v>
      </c>
    </row>
    <row r="295" spans="1:25" x14ac:dyDescent="0.25">
      <c r="A295">
        <v>16</v>
      </c>
      <c r="B295" t="s">
        <v>578</v>
      </c>
      <c r="C295" t="s">
        <v>32</v>
      </c>
      <c r="D295" t="s">
        <v>1139</v>
      </c>
      <c r="E295">
        <v>160676</v>
      </c>
      <c r="F295" t="s">
        <v>1140</v>
      </c>
      <c r="G295" t="s">
        <v>1141</v>
      </c>
      <c r="H295" t="s">
        <v>1142</v>
      </c>
      <c r="I295" t="s">
        <v>1143</v>
      </c>
      <c r="L295" t="b">
        <v>1</v>
      </c>
      <c r="M295" t="s">
        <v>81</v>
      </c>
      <c r="N295" t="s">
        <v>32</v>
      </c>
      <c r="P295" t="s">
        <v>579</v>
      </c>
      <c r="Q295">
        <v>1</v>
      </c>
      <c r="R295">
        <v>3</v>
      </c>
      <c r="S295">
        <v>101.2745</v>
      </c>
      <c r="T295">
        <v>6443000</v>
      </c>
      <c r="U295">
        <v>6443000</v>
      </c>
      <c r="V295">
        <v>1</v>
      </c>
      <c r="W295">
        <v>1566.0100000000091</v>
      </c>
      <c r="X295">
        <v>6525116.04</v>
      </c>
      <c r="Y295">
        <v>6526682.0499999998</v>
      </c>
    </row>
    <row r="296" spans="1:25" x14ac:dyDescent="0.25">
      <c r="A296">
        <v>16</v>
      </c>
      <c r="B296" t="s">
        <v>578</v>
      </c>
      <c r="C296" t="s">
        <v>32</v>
      </c>
      <c r="D296" t="s">
        <v>1144</v>
      </c>
      <c r="E296">
        <v>32078</v>
      </c>
      <c r="F296" t="s">
        <v>1145</v>
      </c>
      <c r="G296" t="s">
        <v>1146</v>
      </c>
      <c r="H296" t="s">
        <v>245</v>
      </c>
      <c r="I296" t="s">
        <v>1147</v>
      </c>
      <c r="L296" t="b">
        <v>1</v>
      </c>
      <c r="M296" t="s">
        <v>44</v>
      </c>
      <c r="N296" t="s">
        <v>32</v>
      </c>
      <c r="P296" t="s">
        <v>579</v>
      </c>
      <c r="Q296">
        <v>1</v>
      </c>
      <c r="R296">
        <v>3</v>
      </c>
      <c r="S296">
        <v>86.4</v>
      </c>
      <c r="T296">
        <v>4644182</v>
      </c>
      <c r="U296">
        <v>5270000</v>
      </c>
      <c r="V296">
        <v>0.88119999999999998</v>
      </c>
      <c r="W296">
        <v>3715.34</v>
      </c>
      <c r="X296">
        <v>4012573.25</v>
      </c>
      <c r="Y296">
        <v>4016288.59</v>
      </c>
    </row>
    <row r="297" spans="1:25" x14ac:dyDescent="0.25">
      <c r="A297">
        <v>16</v>
      </c>
      <c r="B297" t="s">
        <v>578</v>
      </c>
      <c r="C297" t="s">
        <v>32</v>
      </c>
      <c r="D297" t="s">
        <v>1148</v>
      </c>
      <c r="E297">
        <v>189329</v>
      </c>
      <c r="F297" t="s">
        <v>1149</v>
      </c>
      <c r="G297" t="s">
        <v>1150</v>
      </c>
      <c r="H297" t="s">
        <v>1151</v>
      </c>
      <c r="I297" t="s">
        <v>1152</v>
      </c>
      <c r="J297" t="s">
        <v>1149</v>
      </c>
      <c r="K297" t="s">
        <v>1153</v>
      </c>
      <c r="L297" t="b">
        <v>1</v>
      </c>
      <c r="M297" t="s">
        <v>112</v>
      </c>
      <c r="N297" t="s">
        <v>32</v>
      </c>
      <c r="P297" t="s">
        <v>579</v>
      </c>
      <c r="Q297">
        <v>1</v>
      </c>
      <c r="R297">
        <v>3</v>
      </c>
      <c r="S297">
        <v>101.7188125</v>
      </c>
      <c r="T297">
        <v>2000000</v>
      </c>
      <c r="U297">
        <v>2000000</v>
      </c>
      <c r="V297">
        <v>1</v>
      </c>
      <c r="W297">
        <v>49583.33</v>
      </c>
      <c r="X297">
        <v>2034376.25</v>
      </c>
      <c r="Y297">
        <v>2083959.58</v>
      </c>
    </row>
    <row r="298" spans="1:25" x14ac:dyDescent="0.25">
      <c r="A298">
        <v>16</v>
      </c>
      <c r="B298" t="s">
        <v>578</v>
      </c>
      <c r="C298" t="s">
        <v>32</v>
      </c>
      <c r="D298" t="s">
        <v>1154</v>
      </c>
      <c r="E298">
        <v>36102</v>
      </c>
      <c r="F298" t="s">
        <v>1155</v>
      </c>
      <c r="G298" t="s">
        <v>1156</v>
      </c>
      <c r="H298" t="s">
        <v>1157</v>
      </c>
      <c r="I298" t="s">
        <v>1158</v>
      </c>
      <c r="L298" t="b">
        <v>1</v>
      </c>
      <c r="M298" t="s">
        <v>31</v>
      </c>
      <c r="N298" t="s">
        <v>32</v>
      </c>
      <c r="P298" t="s">
        <v>579</v>
      </c>
      <c r="Q298">
        <v>1</v>
      </c>
      <c r="R298">
        <v>3</v>
      </c>
      <c r="S298">
        <v>98.321741666700007</v>
      </c>
      <c r="T298">
        <v>1245000</v>
      </c>
      <c r="U298">
        <v>1245000</v>
      </c>
      <c r="V298">
        <v>1</v>
      </c>
      <c r="W298">
        <v>3233.54</v>
      </c>
      <c r="X298">
        <v>1224105.68</v>
      </c>
      <c r="Y298">
        <v>1227339.22</v>
      </c>
    </row>
    <row r="299" spans="1:25" x14ac:dyDescent="0.25">
      <c r="A299">
        <v>16</v>
      </c>
      <c r="B299" t="s">
        <v>578</v>
      </c>
      <c r="C299" t="s">
        <v>32</v>
      </c>
      <c r="D299" t="s">
        <v>1159</v>
      </c>
      <c r="E299">
        <v>196181</v>
      </c>
      <c r="F299" t="s">
        <v>1160</v>
      </c>
      <c r="G299" t="s">
        <v>1161</v>
      </c>
      <c r="H299" t="s">
        <v>1162</v>
      </c>
      <c r="I299" t="s">
        <v>1163</v>
      </c>
      <c r="J299" t="s">
        <v>1160</v>
      </c>
      <c r="K299" t="s">
        <v>1164</v>
      </c>
      <c r="L299" t="b">
        <v>1</v>
      </c>
      <c r="M299" t="s">
        <v>112</v>
      </c>
      <c r="N299" t="s">
        <v>32</v>
      </c>
      <c r="P299" t="s">
        <v>579</v>
      </c>
      <c r="Q299">
        <v>1</v>
      </c>
      <c r="R299">
        <v>3</v>
      </c>
      <c r="S299">
        <v>102.0271</v>
      </c>
      <c r="T299">
        <v>8100000</v>
      </c>
      <c r="U299">
        <v>8100000</v>
      </c>
      <c r="V299">
        <v>1</v>
      </c>
      <c r="W299">
        <v>102881.25</v>
      </c>
      <c r="X299">
        <v>8264195.0999999996</v>
      </c>
      <c r="Y299">
        <v>8367076.3499999996</v>
      </c>
    </row>
    <row r="300" spans="1:25" x14ac:dyDescent="0.25">
      <c r="A300">
        <v>16</v>
      </c>
      <c r="B300" t="s">
        <v>578</v>
      </c>
      <c r="C300" t="s">
        <v>32</v>
      </c>
      <c r="D300" t="s">
        <v>1165</v>
      </c>
      <c r="E300">
        <v>172961</v>
      </c>
      <c r="F300" t="s">
        <v>1166</v>
      </c>
      <c r="G300" t="s">
        <v>1167</v>
      </c>
      <c r="H300" t="s">
        <v>1168</v>
      </c>
      <c r="I300" t="s">
        <v>1169</v>
      </c>
      <c r="L300" t="b">
        <v>1</v>
      </c>
      <c r="M300" t="s">
        <v>31</v>
      </c>
      <c r="N300" t="s">
        <v>32</v>
      </c>
      <c r="P300" t="s">
        <v>579</v>
      </c>
      <c r="Q300">
        <v>1</v>
      </c>
      <c r="R300">
        <v>3</v>
      </c>
      <c r="S300">
        <v>97.167583333300001</v>
      </c>
      <c r="T300">
        <v>20678000</v>
      </c>
      <c r="U300">
        <v>20678000</v>
      </c>
      <c r="V300">
        <v>1</v>
      </c>
      <c r="W300">
        <v>379814.65</v>
      </c>
      <c r="X300">
        <v>20092312.879999999</v>
      </c>
      <c r="Y300">
        <v>20472127.530000001</v>
      </c>
    </row>
    <row r="301" spans="1:25" x14ac:dyDescent="0.25">
      <c r="A301">
        <v>16</v>
      </c>
      <c r="B301" t="s">
        <v>578</v>
      </c>
      <c r="C301" t="s">
        <v>32</v>
      </c>
      <c r="D301" t="s">
        <v>1170</v>
      </c>
      <c r="E301">
        <v>174456</v>
      </c>
      <c r="F301" t="s">
        <v>1171</v>
      </c>
      <c r="G301" t="s">
        <v>1172</v>
      </c>
      <c r="H301" t="s">
        <v>1168</v>
      </c>
      <c r="I301" t="s">
        <v>1172</v>
      </c>
      <c r="L301" t="b">
        <v>0</v>
      </c>
      <c r="M301" t="s">
        <v>31</v>
      </c>
      <c r="N301" t="s">
        <v>32</v>
      </c>
      <c r="P301" t="s">
        <v>579</v>
      </c>
      <c r="Q301">
        <v>1</v>
      </c>
      <c r="R301">
        <v>3</v>
      </c>
      <c r="S301">
        <v>74.45</v>
      </c>
      <c r="T301">
        <v>8112433</v>
      </c>
      <c r="U301">
        <v>8350000</v>
      </c>
      <c r="V301">
        <v>0.97150000000000003</v>
      </c>
      <c r="W301">
        <v>128446.86</v>
      </c>
      <c r="X301">
        <v>6039706.3700000001</v>
      </c>
      <c r="Y301">
        <v>6168153.2300000004</v>
      </c>
    </row>
    <row r="302" spans="1:25" x14ac:dyDescent="0.25">
      <c r="A302">
        <v>16</v>
      </c>
      <c r="B302" t="s">
        <v>578</v>
      </c>
      <c r="C302" t="s">
        <v>32</v>
      </c>
      <c r="D302" t="s">
        <v>1173</v>
      </c>
      <c r="E302">
        <v>846</v>
      </c>
      <c r="F302" t="s">
        <v>1174</v>
      </c>
      <c r="G302" t="s">
        <v>1175</v>
      </c>
      <c r="H302" t="s">
        <v>1176</v>
      </c>
      <c r="I302" t="s">
        <v>1175</v>
      </c>
      <c r="L302" t="b">
        <v>0</v>
      </c>
      <c r="M302" t="s">
        <v>31</v>
      </c>
      <c r="N302" t="s">
        <v>32</v>
      </c>
      <c r="P302" t="s">
        <v>579</v>
      </c>
      <c r="Q302">
        <v>1</v>
      </c>
      <c r="R302">
        <v>3</v>
      </c>
      <c r="S302">
        <v>96.75</v>
      </c>
      <c r="T302">
        <v>308683</v>
      </c>
      <c r="U302">
        <v>2346000</v>
      </c>
      <c r="V302">
        <v>0.13159999999999999</v>
      </c>
      <c r="W302">
        <v>685.95999999999992</v>
      </c>
      <c r="X302">
        <v>298650.80999999988</v>
      </c>
      <c r="Y302">
        <v>299336.77</v>
      </c>
    </row>
    <row r="303" spans="1:25" x14ac:dyDescent="0.25">
      <c r="A303">
        <v>16</v>
      </c>
      <c r="B303" t="s">
        <v>578</v>
      </c>
      <c r="C303" t="s">
        <v>32</v>
      </c>
      <c r="D303" t="s">
        <v>1177</v>
      </c>
      <c r="E303">
        <v>847</v>
      </c>
      <c r="F303" t="s">
        <v>1178</v>
      </c>
      <c r="G303" t="s">
        <v>1179</v>
      </c>
      <c r="H303" t="s">
        <v>1180</v>
      </c>
      <c r="I303" t="s">
        <v>1181</v>
      </c>
      <c r="L303" t="b">
        <v>1</v>
      </c>
      <c r="M303" t="s">
        <v>31</v>
      </c>
      <c r="N303" t="s">
        <v>32</v>
      </c>
      <c r="P303" t="s">
        <v>579</v>
      </c>
      <c r="Q303">
        <v>1</v>
      </c>
      <c r="R303">
        <v>3</v>
      </c>
      <c r="S303">
        <v>79.400000000000006</v>
      </c>
      <c r="T303">
        <v>288000</v>
      </c>
      <c r="U303">
        <v>288000</v>
      </c>
      <c r="V303">
        <v>1</v>
      </c>
      <c r="W303">
        <v>13680</v>
      </c>
      <c r="X303">
        <v>228672</v>
      </c>
      <c r="Y303">
        <v>242352</v>
      </c>
    </row>
    <row r="304" spans="1:25" x14ac:dyDescent="0.25">
      <c r="A304">
        <v>16</v>
      </c>
      <c r="B304" t="s">
        <v>578</v>
      </c>
      <c r="C304" t="s">
        <v>32</v>
      </c>
      <c r="D304" t="s">
        <v>1182</v>
      </c>
      <c r="E304">
        <v>848</v>
      </c>
      <c r="F304" t="s">
        <v>1183</v>
      </c>
      <c r="G304" t="s">
        <v>1184</v>
      </c>
      <c r="H304" t="s">
        <v>1180</v>
      </c>
      <c r="I304" t="s">
        <v>1185</v>
      </c>
      <c r="L304" t="b">
        <v>1</v>
      </c>
      <c r="M304" t="s">
        <v>31</v>
      </c>
      <c r="N304" t="s">
        <v>32</v>
      </c>
      <c r="P304" t="s">
        <v>579</v>
      </c>
      <c r="Q304">
        <v>1</v>
      </c>
      <c r="R304">
        <v>3</v>
      </c>
      <c r="S304">
        <v>60.404049999999998</v>
      </c>
      <c r="T304">
        <v>6105000</v>
      </c>
      <c r="U304">
        <v>6105000</v>
      </c>
      <c r="V304">
        <v>1</v>
      </c>
      <c r="W304">
        <v>139058.32999999999</v>
      </c>
      <c r="X304">
        <v>3687667.26</v>
      </c>
      <c r="Y304">
        <v>3826725.59</v>
      </c>
    </row>
    <row r="305" spans="1:25" x14ac:dyDescent="0.25">
      <c r="A305">
        <v>13</v>
      </c>
      <c r="B305" t="s">
        <v>1089</v>
      </c>
      <c r="C305" t="s">
        <v>32</v>
      </c>
      <c r="D305" t="s">
        <v>82</v>
      </c>
      <c r="E305">
        <v>1104</v>
      </c>
      <c r="F305" t="s">
        <v>83</v>
      </c>
      <c r="G305" t="s">
        <v>84</v>
      </c>
      <c r="H305" t="s">
        <v>85</v>
      </c>
      <c r="I305" t="s">
        <v>86</v>
      </c>
      <c r="J305" t="s">
        <v>83</v>
      </c>
      <c r="K305" t="s">
        <v>87</v>
      </c>
      <c r="L305" t="b">
        <v>1</v>
      </c>
      <c r="M305" t="s">
        <v>61</v>
      </c>
      <c r="N305" t="s">
        <v>32</v>
      </c>
      <c r="P305" t="s">
        <v>579</v>
      </c>
      <c r="Q305">
        <v>1</v>
      </c>
      <c r="R305">
        <v>3</v>
      </c>
      <c r="S305">
        <v>100.875</v>
      </c>
      <c r="T305">
        <v>11002229.200999999</v>
      </c>
      <c r="U305">
        <v>13226116</v>
      </c>
      <c r="V305">
        <v>0.83189999999999997</v>
      </c>
      <c r="W305">
        <v>79460.56</v>
      </c>
      <c r="X305">
        <v>11098498.71000001</v>
      </c>
      <c r="Y305">
        <v>11177959.270000011</v>
      </c>
    </row>
    <row r="306" spans="1:25" x14ac:dyDescent="0.25">
      <c r="A306">
        <v>13</v>
      </c>
      <c r="B306" t="s">
        <v>1089</v>
      </c>
      <c r="C306" t="s">
        <v>32</v>
      </c>
      <c r="D306" t="s">
        <v>88</v>
      </c>
      <c r="E306">
        <v>1103</v>
      </c>
      <c r="F306" t="s">
        <v>87</v>
      </c>
      <c r="G306" t="s">
        <v>89</v>
      </c>
      <c r="H306" t="s">
        <v>85</v>
      </c>
      <c r="I306" t="s">
        <v>86</v>
      </c>
      <c r="J306" t="s">
        <v>83</v>
      </c>
      <c r="K306" t="s">
        <v>83</v>
      </c>
      <c r="L306" t="b">
        <v>1</v>
      </c>
      <c r="M306" t="s">
        <v>61</v>
      </c>
      <c r="N306" t="s">
        <v>32</v>
      </c>
      <c r="P306" t="s">
        <v>579</v>
      </c>
      <c r="Q306">
        <v>1</v>
      </c>
      <c r="R306">
        <v>3</v>
      </c>
      <c r="S306">
        <v>100.875</v>
      </c>
      <c r="T306">
        <v>231877</v>
      </c>
      <c r="U306">
        <v>278750</v>
      </c>
      <c r="V306">
        <v>0.83179999999999998</v>
      </c>
      <c r="W306">
        <v>1674.67</v>
      </c>
      <c r="X306">
        <v>233905.92000000001</v>
      </c>
      <c r="Y306">
        <v>235580.59</v>
      </c>
    </row>
    <row r="307" spans="1:25" x14ac:dyDescent="0.25">
      <c r="A307">
        <v>13</v>
      </c>
      <c r="B307" t="s">
        <v>1089</v>
      </c>
      <c r="C307" t="s">
        <v>32</v>
      </c>
      <c r="D307" t="s">
        <v>1186</v>
      </c>
      <c r="E307">
        <v>1108</v>
      </c>
      <c r="F307" t="s">
        <v>1187</v>
      </c>
      <c r="G307" t="s">
        <v>1188</v>
      </c>
      <c r="H307" t="s">
        <v>1189</v>
      </c>
      <c r="I307" t="s">
        <v>1190</v>
      </c>
      <c r="L307" t="b">
        <v>1</v>
      </c>
      <c r="M307" t="s">
        <v>81</v>
      </c>
      <c r="N307" t="s">
        <v>32</v>
      </c>
      <c r="P307" t="s">
        <v>579</v>
      </c>
      <c r="Q307">
        <v>1</v>
      </c>
      <c r="R307">
        <v>3</v>
      </c>
      <c r="S307">
        <v>1.7999999999999999E-2</v>
      </c>
      <c r="T307">
        <v>14142000</v>
      </c>
      <c r="U307">
        <v>14142000</v>
      </c>
      <c r="V307">
        <v>1</v>
      </c>
      <c r="W307">
        <v>0</v>
      </c>
      <c r="X307">
        <v>2545.5599999999981</v>
      </c>
      <c r="Y307">
        <v>2545.5599999999981</v>
      </c>
    </row>
    <row r="308" spans="1:25" x14ac:dyDescent="0.25">
      <c r="A308">
        <v>16</v>
      </c>
      <c r="B308" t="s">
        <v>578</v>
      </c>
      <c r="C308" t="s">
        <v>32</v>
      </c>
      <c r="D308" t="s">
        <v>1105</v>
      </c>
      <c r="E308">
        <v>187236</v>
      </c>
      <c r="F308" t="s">
        <v>1106</v>
      </c>
      <c r="G308" t="s">
        <v>1107</v>
      </c>
      <c r="H308" t="s">
        <v>1108</v>
      </c>
      <c r="I308" t="s">
        <v>1109</v>
      </c>
      <c r="L308" t="b">
        <v>1</v>
      </c>
      <c r="M308" t="s">
        <v>50</v>
      </c>
      <c r="N308" t="s">
        <v>32</v>
      </c>
      <c r="P308" t="s">
        <v>579</v>
      </c>
      <c r="Q308">
        <v>1</v>
      </c>
      <c r="R308">
        <v>3</v>
      </c>
      <c r="S308">
        <v>100.396</v>
      </c>
      <c r="T308">
        <v>11711269</v>
      </c>
      <c r="U308">
        <v>11711269</v>
      </c>
      <c r="V308">
        <v>1</v>
      </c>
      <c r="W308">
        <v>62460.1</v>
      </c>
      <c r="X308">
        <v>11757645.630000001</v>
      </c>
      <c r="Y308">
        <v>11820105.73</v>
      </c>
    </row>
    <row r="309" spans="1:25" x14ac:dyDescent="0.25">
      <c r="A309">
        <v>16</v>
      </c>
      <c r="B309" t="s">
        <v>578</v>
      </c>
      <c r="C309" t="s">
        <v>32</v>
      </c>
      <c r="D309" t="s">
        <v>1191</v>
      </c>
      <c r="E309">
        <v>169946</v>
      </c>
      <c r="F309" t="s">
        <v>1192</v>
      </c>
      <c r="G309" t="s">
        <v>1193</v>
      </c>
      <c r="H309" t="s">
        <v>1194</v>
      </c>
      <c r="I309" t="s">
        <v>1195</v>
      </c>
      <c r="J309" t="s">
        <v>1192</v>
      </c>
      <c r="K309" t="s">
        <v>1196</v>
      </c>
      <c r="L309" t="b">
        <v>1</v>
      </c>
      <c r="M309" t="s">
        <v>61</v>
      </c>
      <c r="N309" t="s">
        <v>32</v>
      </c>
      <c r="P309" t="s">
        <v>579</v>
      </c>
      <c r="Q309">
        <v>1</v>
      </c>
      <c r="R309">
        <v>3</v>
      </c>
      <c r="S309">
        <v>107.18140624999999</v>
      </c>
      <c r="T309">
        <v>3250000</v>
      </c>
      <c r="U309">
        <v>3250000</v>
      </c>
      <c r="V309">
        <v>1</v>
      </c>
      <c r="W309">
        <v>60170.14</v>
      </c>
      <c r="X309">
        <v>3483395.7</v>
      </c>
      <c r="Y309">
        <v>3543565.84</v>
      </c>
    </row>
    <row r="310" spans="1:25" x14ac:dyDescent="0.25">
      <c r="A310">
        <v>16</v>
      </c>
      <c r="B310" t="s">
        <v>578</v>
      </c>
      <c r="C310" t="s">
        <v>32</v>
      </c>
      <c r="D310" t="s">
        <v>1197</v>
      </c>
      <c r="E310">
        <v>40385</v>
      </c>
      <c r="F310" t="s">
        <v>1198</v>
      </c>
      <c r="G310" t="s">
        <v>1199</v>
      </c>
      <c r="H310" t="s">
        <v>1200</v>
      </c>
      <c r="I310" t="s">
        <v>1201</v>
      </c>
      <c r="J310" t="s">
        <v>1198</v>
      </c>
      <c r="K310" t="s">
        <v>1202</v>
      </c>
      <c r="L310" t="b">
        <v>1</v>
      </c>
      <c r="M310" t="s">
        <v>112</v>
      </c>
      <c r="N310" t="s">
        <v>32</v>
      </c>
      <c r="P310" t="s">
        <v>579</v>
      </c>
      <c r="Q310">
        <v>1</v>
      </c>
      <c r="R310">
        <v>3</v>
      </c>
      <c r="S310">
        <v>11.153</v>
      </c>
      <c r="T310">
        <v>9504797</v>
      </c>
      <c r="U310">
        <v>9504797</v>
      </c>
      <c r="V310">
        <v>1</v>
      </c>
      <c r="W310">
        <v>0</v>
      </c>
      <c r="X310">
        <v>1060070.01</v>
      </c>
      <c r="Y310">
        <v>1060070.01</v>
      </c>
    </row>
    <row r="311" spans="1:25" x14ac:dyDescent="0.25">
      <c r="A311">
        <v>16</v>
      </c>
      <c r="B311" t="s">
        <v>578</v>
      </c>
      <c r="C311" t="s">
        <v>32</v>
      </c>
      <c r="D311" t="s">
        <v>1203</v>
      </c>
      <c r="E311">
        <v>213322</v>
      </c>
      <c r="F311" t="s">
        <v>1204</v>
      </c>
      <c r="G311" t="s">
        <v>1205</v>
      </c>
      <c r="H311" t="s">
        <v>30</v>
      </c>
      <c r="I311" t="s">
        <v>1205</v>
      </c>
      <c r="L311" t="b">
        <v>0</v>
      </c>
      <c r="M311" t="s">
        <v>31</v>
      </c>
      <c r="N311" t="s">
        <v>32</v>
      </c>
      <c r="P311" t="s">
        <v>579</v>
      </c>
      <c r="Q311">
        <v>1</v>
      </c>
      <c r="R311">
        <v>3</v>
      </c>
      <c r="S311">
        <v>93.275000000000006</v>
      </c>
      <c r="T311">
        <v>5056116</v>
      </c>
      <c r="U311">
        <v>5056116</v>
      </c>
      <c r="V311">
        <v>1</v>
      </c>
      <c r="W311">
        <v>110462.09</v>
      </c>
      <c r="X311">
        <v>4716092.2</v>
      </c>
      <c r="Y311">
        <v>4826554.29</v>
      </c>
    </row>
    <row r="312" spans="1:25" x14ac:dyDescent="0.25">
      <c r="A312">
        <v>16</v>
      </c>
      <c r="B312" t="s">
        <v>578</v>
      </c>
      <c r="C312" t="s">
        <v>32</v>
      </c>
      <c r="D312" t="s">
        <v>27</v>
      </c>
      <c r="E312">
        <v>211993</v>
      </c>
      <c r="F312" t="s">
        <v>28</v>
      </c>
      <c r="G312" t="s">
        <v>29</v>
      </c>
      <c r="H312" t="s">
        <v>30</v>
      </c>
      <c r="I312" t="s">
        <v>29</v>
      </c>
      <c r="L312" t="b">
        <v>0</v>
      </c>
      <c r="M312" t="s">
        <v>31</v>
      </c>
      <c r="N312" t="s">
        <v>32</v>
      </c>
      <c r="P312" t="s">
        <v>579</v>
      </c>
      <c r="Q312">
        <v>1</v>
      </c>
      <c r="R312">
        <v>3</v>
      </c>
      <c r="S312">
        <v>93.275000000000006</v>
      </c>
      <c r="T312">
        <v>16582518</v>
      </c>
      <c r="U312">
        <v>16582518</v>
      </c>
      <c r="V312">
        <v>1</v>
      </c>
      <c r="W312">
        <v>362281.96</v>
      </c>
      <c r="X312">
        <v>15467343.66</v>
      </c>
      <c r="Y312">
        <v>15829625.619999999</v>
      </c>
    </row>
    <row r="313" spans="1:25" x14ac:dyDescent="0.25">
      <c r="A313">
        <v>16</v>
      </c>
      <c r="B313" t="s">
        <v>578</v>
      </c>
      <c r="C313" t="s">
        <v>32</v>
      </c>
      <c r="D313" t="s">
        <v>1206</v>
      </c>
      <c r="E313">
        <v>861</v>
      </c>
      <c r="F313" t="s">
        <v>1207</v>
      </c>
      <c r="G313" t="s">
        <v>1208</v>
      </c>
      <c r="H313" t="s">
        <v>1209</v>
      </c>
      <c r="I313" t="s">
        <v>1208</v>
      </c>
      <c r="L313" t="b">
        <v>0</v>
      </c>
      <c r="M313" t="s">
        <v>44</v>
      </c>
      <c r="N313" t="s">
        <v>32</v>
      </c>
      <c r="P313" t="s">
        <v>579</v>
      </c>
      <c r="Q313">
        <v>1</v>
      </c>
      <c r="R313">
        <v>3</v>
      </c>
      <c r="S313">
        <v>0</v>
      </c>
      <c r="T313">
        <v>2076705</v>
      </c>
      <c r="U313">
        <v>2076705</v>
      </c>
      <c r="V313">
        <v>1</v>
      </c>
      <c r="W313">
        <v>0</v>
      </c>
      <c r="X313">
        <v>0</v>
      </c>
      <c r="Y313">
        <v>0</v>
      </c>
    </row>
    <row r="314" spans="1:25" x14ac:dyDescent="0.25">
      <c r="A314">
        <v>16</v>
      </c>
      <c r="B314" t="s">
        <v>578</v>
      </c>
      <c r="C314" t="s">
        <v>32</v>
      </c>
      <c r="D314" t="s">
        <v>1210</v>
      </c>
      <c r="E314">
        <v>166883</v>
      </c>
      <c r="F314" t="s">
        <v>1211</v>
      </c>
      <c r="G314" t="s">
        <v>1212</v>
      </c>
      <c r="H314" t="s">
        <v>1213</v>
      </c>
      <c r="I314" t="s">
        <v>1214</v>
      </c>
      <c r="J314" t="s">
        <v>1211</v>
      </c>
      <c r="K314" t="s">
        <v>1215</v>
      </c>
      <c r="L314" t="b">
        <v>1</v>
      </c>
      <c r="M314" t="s">
        <v>112</v>
      </c>
      <c r="N314" t="s">
        <v>32</v>
      </c>
      <c r="P314" t="s">
        <v>579</v>
      </c>
      <c r="Q314">
        <v>1</v>
      </c>
      <c r="R314">
        <v>3</v>
      </c>
      <c r="S314">
        <v>103.66565</v>
      </c>
      <c r="T314">
        <v>5400000</v>
      </c>
      <c r="U314">
        <v>5400000</v>
      </c>
      <c r="V314">
        <v>1</v>
      </c>
      <c r="W314">
        <v>145200</v>
      </c>
      <c r="X314">
        <v>5597945.0999999996</v>
      </c>
      <c r="Y314">
        <v>5743145.0999999996</v>
      </c>
    </row>
    <row r="315" spans="1:25" x14ac:dyDescent="0.25">
      <c r="A315">
        <v>16</v>
      </c>
      <c r="B315" t="s">
        <v>578</v>
      </c>
      <c r="C315" t="s">
        <v>32</v>
      </c>
      <c r="D315" t="s">
        <v>1216</v>
      </c>
      <c r="E315">
        <v>162363</v>
      </c>
      <c r="F315" t="s">
        <v>1217</v>
      </c>
      <c r="G315" t="s">
        <v>1218</v>
      </c>
      <c r="H315" t="s">
        <v>1219</v>
      </c>
      <c r="I315" t="s">
        <v>1220</v>
      </c>
      <c r="J315" t="s">
        <v>1217</v>
      </c>
      <c r="K315" t="s">
        <v>1221</v>
      </c>
      <c r="L315" t="b">
        <v>1</v>
      </c>
      <c r="M315" t="s">
        <v>31</v>
      </c>
      <c r="N315" t="s">
        <v>32</v>
      </c>
      <c r="P315" t="s">
        <v>579</v>
      </c>
      <c r="Q315">
        <v>1</v>
      </c>
      <c r="R315">
        <v>3</v>
      </c>
      <c r="S315">
        <v>101.68600000000001</v>
      </c>
      <c r="T315">
        <v>270000</v>
      </c>
      <c r="U315">
        <v>270000</v>
      </c>
      <c r="V315">
        <v>1</v>
      </c>
      <c r="W315">
        <v>6930</v>
      </c>
      <c r="X315">
        <v>274552.2</v>
      </c>
      <c r="Y315">
        <v>281482.2</v>
      </c>
    </row>
    <row r="316" spans="1:25" x14ac:dyDescent="0.25">
      <c r="A316">
        <v>16</v>
      </c>
      <c r="B316" t="s">
        <v>578</v>
      </c>
      <c r="C316" t="s">
        <v>32</v>
      </c>
      <c r="D316" t="s">
        <v>1222</v>
      </c>
      <c r="E316">
        <v>162361</v>
      </c>
      <c r="F316" t="s">
        <v>1221</v>
      </c>
      <c r="G316" t="s">
        <v>1223</v>
      </c>
      <c r="H316" t="s">
        <v>1219</v>
      </c>
      <c r="I316" t="s">
        <v>1220</v>
      </c>
      <c r="J316" t="s">
        <v>1217</v>
      </c>
      <c r="K316" t="s">
        <v>1217</v>
      </c>
      <c r="L316" t="b">
        <v>1</v>
      </c>
      <c r="M316" t="s">
        <v>31</v>
      </c>
      <c r="N316" t="s">
        <v>32</v>
      </c>
      <c r="P316" t="s">
        <v>579</v>
      </c>
      <c r="Q316">
        <v>1</v>
      </c>
      <c r="R316">
        <v>3</v>
      </c>
      <c r="S316">
        <v>101.68600000000001</v>
      </c>
      <c r="T316">
        <v>1750000</v>
      </c>
      <c r="U316">
        <v>1750000</v>
      </c>
      <c r="V316">
        <v>1</v>
      </c>
      <c r="W316">
        <v>44916.67</v>
      </c>
      <c r="X316">
        <v>1779505</v>
      </c>
      <c r="Y316">
        <v>1824421.67</v>
      </c>
    </row>
    <row r="317" spans="1:25" x14ac:dyDescent="0.25">
      <c r="A317">
        <v>16</v>
      </c>
      <c r="B317" t="s">
        <v>578</v>
      </c>
      <c r="C317" t="s">
        <v>32</v>
      </c>
      <c r="D317" t="s">
        <v>1224</v>
      </c>
      <c r="E317">
        <v>213783</v>
      </c>
      <c r="F317" t="s">
        <v>1225</v>
      </c>
      <c r="G317" t="s">
        <v>1226</v>
      </c>
      <c r="H317" t="s">
        <v>1227</v>
      </c>
      <c r="I317" t="s">
        <v>1228</v>
      </c>
      <c r="J317" t="s">
        <v>1225</v>
      </c>
      <c r="K317" t="s">
        <v>1229</v>
      </c>
      <c r="L317" t="b">
        <v>1</v>
      </c>
      <c r="M317" t="s">
        <v>31</v>
      </c>
      <c r="N317" t="s">
        <v>32</v>
      </c>
      <c r="P317" t="s">
        <v>579</v>
      </c>
      <c r="Q317">
        <v>1</v>
      </c>
      <c r="R317">
        <v>3</v>
      </c>
      <c r="S317">
        <v>95.89</v>
      </c>
      <c r="T317">
        <v>7600000</v>
      </c>
      <c r="U317">
        <v>7600000</v>
      </c>
      <c r="V317">
        <v>1</v>
      </c>
      <c r="W317">
        <v>165511.10999999999</v>
      </c>
      <c r="X317">
        <v>7287640</v>
      </c>
      <c r="Y317">
        <v>7453151.1100000003</v>
      </c>
    </row>
    <row r="318" spans="1:25" x14ac:dyDescent="0.25">
      <c r="A318">
        <v>16</v>
      </c>
      <c r="B318" t="s">
        <v>578</v>
      </c>
      <c r="C318" t="s">
        <v>32</v>
      </c>
      <c r="D318" t="s">
        <v>34</v>
      </c>
      <c r="E318">
        <v>225679</v>
      </c>
      <c r="F318" t="s">
        <v>35</v>
      </c>
      <c r="G318" t="s">
        <v>36</v>
      </c>
      <c r="H318" t="s">
        <v>37</v>
      </c>
      <c r="I318" t="s">
        <v>38</v>
      </c>
      <c r="L318" t="b">
        <v>1</v>
      </c>
      <c r="M318" t="s">
        <v>39</v>
      </c>
      <c r="N318" t="s">
        <v>32</v>
      </c>
      <c r="P318" t="s">
        <v>579</v>
      </c>
      <c r="Q318">
        <v>1</v>
      </c>
      <c r="R318">
        <v>3</v>
      </c>
      <c r="S318">
        <v>93</v>
      </c>
      <c r="T318">
        <v>12378483</v>
      </c>
      <c r="U318">
        <v>12378483</v>
      </c>
      <c r="V318">
        <v>1</v>
      </c>
      <c r="W318">
        <v>52952.4</v>
      </c>
      <c r="X318">
        <v>11511989.189999999</v>
      </c>
      <c r="Y318">
        <v>11564941.59</v>
      </c>
    </row>
    <row r="319" spans="1:25" x14ac:dyDescent="0.25">
      <c r="A319">
        <v>16</v>
      </c>
      <c r="B319" t="s">
        <v>578</v>
      </c>
      <c r="C319" t="s">
        <v>32</v>
      </c>
      <c r="D319" t="s">
        <v>1110</v>
      </c>
      <c r="E319">
        <v>86445</v>
      </c>
      <c r="F319" t="s">
        <v>1111</v>
      </c>
      <c r="G319" t="s">
        <v>1112</v>
      </c>
      <c r="H319" t="s">
        <v>43</v>
      </c>
      <c r="I319" t="s">
        <v>1112</v>
      </c>
      <c r="L319" t="b">
        <v>0</v>
      </c>
      <c r="M319" t="s">
        <v>44</v>
      </c>
      <c r="N319" t="s">
        <v>32</v>
      </c>
      <c r="P319" t="s">
        <v>579</v>
      </c>
      <c r="Q319">
        <v>1</v>
      </c>
      <c r="R319">
        <v>3</v>
      </c>
      <c r="S319">
        <v>98</v>
      </c>
      <c r="T319">
        <v>4006179</v>
      </c>
      <c r="U319">
        <v>4006179</v>
      </c>
      <c r="V319">
        <v>1</v>
      </c>
      <c r="W319">
        <v>17805.21</v>
      </c>
      <c r="X319">
        <v>3926055.42</v>
      </c>
      <c r="Y319">
        <v>3943860.63</v>
      </c>
    </row>
    <row r="320" spans="1:25" x14ac:dyDescent="0.25">
      <c r="A320">
        <v>16</v>
      </c>
      <c r="B320" t="s">
        <v>578</v>
      </c>
      <c r="C320" t="s">
        <v>32</v>
      </c>
      <c r="D320" t="s">
        <v>40</v>
      </c>
      <c r="E320">
        <v>87301</v>
      </c>
      <c r="F320" t="s">
        <v>41</v>
      </c>
      <c r="G320" t="s">
        <v>42</v>
      </c>
      <c r="H320" t="s">
        <v>43</v>
      </c>
      <c r="I320" t="s">
        <v>42</v>
      </c>
      <c r="L320" t="b">
        <v>0</v>
      </c>
      <c r="M320" t="s">
        <v>44</v>
      </c>
      <c r="N320" t="s">
        <v>32</v>
      </c>
      <c r="P320" t="s">
        <v>579</v>
      </c>
      <c r="Q320">
        <v>1</v>
      </c>
      <c r="R320">
        <v>3</v>
      </c>
      <c r="S320">
        <v>65</v>
      </c>
      <c r="T320">
        <v>207984</v>
      </c>
      <c r="U320">
        <v>207984</v>
      </c>
      <c r="V320">
        <v>1</v>
      </c>
      <c r="W320">
        <v>678.07999999999993</v>
      </c>
      <c r="X320">
        <v>135189.6</v>
      </c>
      <c r="Y320">
        <v>135867.68</v>
      </c>
    </row>
    <row r="321" spans="1:25" x14ac:dyDescent="0.25">
      <c r="A321">
        <v>16</v>
      </c>
      <c r="B321" t="s">
        <v>578</v>
      </c>
      <c r="C321" t="s">
        <v>32</v>
      </c>
      <c r="D321" t="s">
        <v>1113</v>
      </c>
      <c r="E321">
        <v>884</v>
      </c>
      <c r="F321" t="s">
        <v>1114</v>
      </c>
      <c r="G321" t="s">
        <v>1115</v>
      </c>
      <c r="H321" t="s">
        <v>43</v>
      </c>
      <c r="I321" t="s">
        <v>1115</v>
      </c>
      <c r="L321" t="b">
        <v>0</v>
      </c>
      <c r="M321" t="s">
        <v>44</v>
      </c>
      <c r="N321" t="s">
        <v>32</v>
      </c>
      <c r="P321" t="s">
        <v>579</v>
      </c>
      <c r="Q321">
        <v>1</v>
      </c>
      <c r="R321">
        <v>3</v>
      </c>
      <c r="S321">
        <v>70.634</v>
      </c>
      <c r="T321">
        <v>11926912</v>
      </c>
      <c r="U321">
        <v>11926912</v>
      </c>
      <c r="V321">
        <v>1</v>
      </c>
      <c r="W321">
        <v>38884.99</v>
      </c>
      <c r="X321">
        <v>8424455.0300000012</v>
      </c>
      <c r="Y321">
        <v>8463340.0200000014</v>
      </c>
    </row>
    <row r="322" spans="1:25" x14ac:dyDescent="0.25">
      <c r="A322">
        <v>16</v>
      </c>
      <c r="B322" t="s">
        <v>578</v>
      </c>
      <c r="C322" t="s">
        <v>32</v>
      </c>
      <c r="D322" t="s">
        <v>1230</v>
      </c>
      <c r="E322">
        <v>159426</v>
      </c>
      <c r="F322" t="s">
        <v>1231</v>
      </c>
      <c r="G322" t="s">
        <v>1232</v>
      </c>
      <c r="H322" t="s">
        <v>1233</v>
      </c>
      <c r="I322" t="s">
        <v>1232</v>
      </c>
      <c r="L322" t="b">
        <v>0</v>
      </c>
      <c r="M322" t="s">
        <v>31</v>
      </c>
      <c r="N322" t="s">
        <v>32</v>
      </c>
      <c r="P322" t="s">
        <v>579</v>
      </c>
      <c r="Q322">
        <v>1</v>
      </c>
      <c r="R322">
        <v>3</v>
      </c>
      <c r="S322">
        <v>25.45</v>
      </c>
      <c r="T322">
        <v>1492007</v>
      </c>
      <c r="U322">
        <v>1492007</v>
      </c>
      <c r="V322">
        <v>1</v>
      </c>
      <c r="W322">
        <v>3933.93</v>
      </c>
      <c r="X322">
        <v>379715.78</v>
      </c>
      <c r="Y322">
        <v>383649.71</v>
      </c>
    </row>
    <row r="323" spans="1:25" x14ac:dyDescent="0.25">
      <c r="A323">
        <v>16</v>
      </c>
      <c r="B323" t="s">
        <v>578</v>
      </c>
      <c r="C323" t="s">
        <v>32</v>
      </c>
      <c r="D323" t="s">
        <v>1234</v>
      </c>
      <c r="E323">
        <v>159174</v>
      </c>
      <c r="F323" t="s">
        <v>1235</v>
      </c>
      <c r="G323" t="s">
        <v>1236</v>
      </c>
      <c r="H323" t="s">
        <v>1233</v>
      </c>
      <c r="I323" t="s">
        <v>1236</v>
      </c>
      <c r="L323" t="b">
        <v>0</v>
      </c>
      <c r="M323" t="s">
        <v>31</v>
      </c>
      <c r="N323" t="s">
        <v>32</v>
      </c>
      <c r="P323" t="s">
        <v>579</v>
      </c>
      <c r="Q323">
        <v>1</v>
      </c>
      <c r="R323">
        <v>3</v>
      </c>
      <c r="S323">
        <v>74.259749999999997</v>
      </c>
      <c r="T323">
        <v>3590146</v>
      </c>
      <c r="U323">
        <v>3590146</v>
      </c>
      <c r="V323">
        <v>1</v>
      </c>
      <c r="W323">
        <v>17633.59</v>
      </c>
      <c r="X323">
        <v>2666033.439999999</v>
      </c>
      <c r="Y323">
        <v>2683667.0299999989</v>
      </c>
    </row>
    <row r="324" spans="1:25" x14ac:dyDescent="0.25">
      <c r="A324">
        <v>16</v>
      </c>
      <c r="B324" t="s">
        <v>578</v>
      </c>
      <c r="C324" t="s">
        <v>32</v>
      </c>
      <c r="D324" t="s">
        <v>1237</v>
      </c>
      <c r="E324">
        <v>148393</v>
      </c>
      <c r="F324" t="s">
        <v>1238</v>
      </c>
      <c r="G324" t="s">
        <v>1239</v>
      </c>
      <c r="H324" t="s">
        <v>1240</v>
      </c>
      <c r="I324" t="s">
        <v>1241</v>
      </c>
      <c r="L324" t="b">
        <v>1</v>
      </c>
      <c r="M324" t="s">
        <v>31</v>
      </c>
      <c r="N324" t="s">
        <v>32</v>
      </c>
      <c r="P324" t="s">
        <v>579</v>
      </c>
      <c r="Q324">
        <v>1</v>
      </c>
      <c r="R324">
        <v>3</v>
      </c>
      <c r="S324">
        <v>104.10576666670001</v>
      </c>
      <c r="T324">
        <v>1100000</v>
      </c>
      <c r="U324">
        <v>1100000</v>
      </c>
      <c r="V324">
        <v>1</v>
      </c>
      <c r="W324">
        <v>1214.58</v>
      </c>
      <c r="X324">
        <v>1145163.43</v>
      </c>
      <c r="Y324">
        <v>1146378.01</v>
      </c>
    </row>
    <row r="325" spans="1:25" x14ac:dyDescent="0.25">
      <c r="A325">
        <v>16</v>
      </c>
      <c r="B325" t="s">
        <v>578</v>
      </c>
      <c r="C325" t="s">
        <v>32</v>
      </c>
      <c r="D325" t="s">
        <v>45</v>
      </c>
      <c r="E325">
        <v>176139</v>
      </c>
      <c r="F325" t="s">
        <v>46</v>
      </c>
      <c r="G325" t="s">
        <v>47</v>
      </c>
      <c r="H325" t="s">
        <v>48</v>
      </c>
      <c r="I325" t="s">
        <v>49</v>
      </c>
      <c r="L325" t="b">
        <v>1</v>
      </c>
      <c r="M325" t="s">
        <v>50</v>
      </c>
      <c r="N325" t="s">
        <v>32</v>
      </c>
      <c r="P325" t="s">
        <v>579</v>
      </c>
      <c r="Q325">
        <v>1</v>
      </c>
      <c r="R325">
        <v>3</v>
      </c>
      <c r="S325">
        <v>102.15609285710001</v>
      </c>
      <c r="T325">
        <v>6750000</v>
      </c>
      <c r="U325">
        <v>6750000</v>
      </c>
      <c r="V325">
        <v>1</v>
      </c>
      <c r="W325">
        <v>34312.5</v>
      </c>
      <c r="X325">
        <v>6895536.2699999996</v>
      </c>
      <c r="Y325">
        <v>6929848.7699999996</v>
      </c>
    </row>
    <row r="326" spans="1:25" x14ac:dyDescent="0.25">
      <c r="A326">
        <v>16</v>
      </c>
      <c r="B326" t="s">
        <v>578</v>
      </c>
      <c r="C326" t="s">
        <v>32</v>
      </c>
      <c r="D326" t="s">
        <v>51</v>
      </c>
      <c r="E326">
        <v>148823</v>
      </c>
      <c r="F326" t="s">
        <v>52</v>
      </c>
      <c r="G326" t="s">
        <v>53</v>
      </c>
      <c r="H326" t="s">
        <v>48</v>
      </c>
      <c r="I326" t="s">
        <v>54</v>
      </c>
      <c r="J326" t="s">
        <v>52</v>
      </c>
      <c r="K326" t="s">
        <v>55</v>
      </c>
      <c r="L326" t="b">
        <v>1</v>
      </c>
      <c r="M326" t="s">
        <v>50</v>
      </c>
      <c r="N326" t="s">
        <v>32</v>
      </c>
      <c r="P326" t="s">
        <v>579</v>
      </c>
      <c r="Q326">
        <v>1</v>
      </c>
      <c r="R326">
        <v>3</v>
      </c>
      <c r="S326">
        <v>102.8934375</v>
      </c>
      <c r="T326">
        <v>10310000</v>
      </c>
      <c r="U326">
        <v>10310000</v>
      </c>
      <c r="V326">
        <v>1</v>
      </c>
      <c r="W326">
        <v>239063.13</v>
      </c>
      <c r="X326">
        <v>10608313.41</v>
      </c>
      <c r="Y326">
        <v>10847376.539999999</v>
      </c>
    </row>
    <row r="327" spans="1:25" x14ac:dyDescent="0.25">
      <c r="A327">
        <v>16</v>
      </c>
      <c r="B327" t="s">
        <v>578</v>
      </c>
      <c r="C327" t="s">
        <v>32</v>
      </c>
      <c r="D327" t="s">
        <v>1116</v>
      </c>
      <c r="E327">
        <v>1628</v>
      </c>
      <c r="F327" t="s">
        <v>1117</v>
      </c>
      <c r="G327" t="s">
        <v>1118</v>
      </c>
      <c r="H327" t="s">
        <v>43</v>
      </c>
      <c r="I327" t="s">
        <v>1118</v>
      </c>
      <c r="L327" t="b">
        <v>0</v>
      </c>
      <c r="M327" t="s">
        <v>44</v>
      </c>
      <c r="N327" t="s">
        <v>32</v>
      </c>
      <c r="P327" t="s">
        <v>579</v>
      </c>
      <c r="Q327">
        <v>1</v>
      </c>
      <c r="R327">
        <v>3</v>
      </c>
      <c r="S327">
        <v>63.08</v>
      </c>
      <c r="T327">
        <v>7774443</v>
      </c>
      <c r="U327">
        <v>7774443</v>
      </c>
      <c r="V327">
        <v>1</v>
      </c>
      <c r="W327">
        <v>24187.15</v>
      </c>
      <c r="X327">
        <v>4904118.6500000004</v>
      </c>
      <c r="Y327">
        <v>4928305.8000000007</v>
      </c>
    </row>
    <row r="328" spans="1:25" x14ac:dyDescent="0.25">
      <c r="A328">
        <v>16</v>
      </c>
      <c r="B328" t="s">
        <v>578</v>
      </c>
      <c r="C328" t="s">
        <v>32</v>
      </c>
      <c r="D328" t="s">
        <v>1242</v>
      </c>
      <c r="E328">
        <v>32251</v>
      </c>
      <c r="F328" t="s">
        <v>1243</v>
      </c>
      <c r="G328" t="s">
        <v>1244</v>
      </c>
      <c r="H328" t="s">
        <v>1245</v>
      </c>
      <c r="I328" t="s">
        <v>1244</v>
      </c>
      <c r="L328" t="b">
        <v>0</v>
      </c>
      <c r="M328" t="s">
        <v>31</v>
      </c>
      <c r="N328" t="s">
        <v>32</v>
      </c>
      <c r="P328" t="s">
        <v>579</v>
      </c>
      <c r="Q328">
        <v>1</v>
      </c>
      <c r="R328">
        <v>3</v>
      </c>
      <c r="S328">
        <v>98.35065625</v>
      </c>
      <c r="T328">
        <v>1448361</v>
      </c>
      <c r="U328">
        <v>1650000</v>
      </c>
      <c r="V328">
        <v>0.87780000000000002</v>
      </c>
      <c r="W328">
        <v>9042.2000000000007</v>
      </c>
      <c r="X328">
        <v>1424472.55</v>
      </c>
      <c r="Y328">
        <v>1433514.75</v>
      </c>
    </row>
    <row r="329" spans="1:25" x14ac:dyDescent="0.25">
      <c r="A329">
        <v>16</v>
      </c>
      <c r="B329" t="s">
        <v>578</v>
      </c>
      <c r="C329" t="s">
        <v>32</v>
      </c>
      <c r="D329" t="s">
        <v>1246</v>
      </c>
      <c r="E329">
        <v>31168</v>
      </c>
      <c r="F329" t="s">
        <v>1247</v>
      </c>
      <c r="G329" t="s">
        <v>1248</v>
      </c>
      <c r="H329" t="s">
        <v>1249</v>
      </c>
      <c r="I329" t="s">
        <v>1248</v>
      </c>
      <c r="L329" t="b">
        <v>0</v>
      </c>
      <c r="M329" t="s">
        <v>31</v>
      </c>
      <c r="N329" t="s">
        <v>32</v>
      </c>
      <c r="P329" t="s">
        <v>579</v>
      </c>
      <c r="Q329">
        <v>1</v>
      </c>
      <c r="R329">
        <v>3</v>
      </c>
      <c r="S329">
        <v>91.228989999999996</v>
      </c>
      <c r="T329">
        <v>1400000</v>
      </c>
      <c r="U329">
        <v>1400000</v>
      </c>
      <c r="V329">
        <v>1</v>
      </c>
      <c r="W329">
        <v>2065.9699999999998</v>
      </c>
      <c r="X329">
        <v>1277205.8600000001</v>
      </c>
      <c r="Y329">
        <v>1279271.83</v>
      </c>
    </row>
    <row r="330" spans="1:25" x14ac:dyDescent="0.25">
      <c r="A330">
        <v>16</v>
      </c>
      <c r="B330" t="s">
        <v>578</v>
      </c>
      <c r="C330" t="s">
        <v>32</v>
      </c>
      <c r="D330" t="s">
        <v>1250</v>
      </c>
      <c r="E330">
        <v>166141</v>
      </c>
      <c r="F330" t="s">
        <v>1251</v>
      </c>
      <c r="G330" t="s">
        <v>1252</v>
      </c>
      <c r="H330" t="s">
        <v>1253</v>
      </c>
      <c r="I330" t="s">
        <v>1252</v>
      </c>
      <c r="L330" t="b">
        <v>0</v>
      </c>
      <c r="M330" t="s">
        <v>31</v>
      </c>
      <c r="N330" t="s">
        <v>32</v>
      </c>
      <c r="P330" t="s">
        <v>579</v>
      </c>
      <c r="Q330">
        <v>1</v>
      </c>
      <c r="R330">
        <v>3</v>
      </c>
      <c r="S330">
        <v>96.766999999999996</v>
      </c>
      <c r="T330">
        <v>4797059</v>
      </c>
      <c r="U330">
        <v>4797059</v>
      </c>
      <c r="V330">
        <v>1</v>
      </c>
      <c r="W330">
        <v>61562.26</v>
      </c>
      <c r="X330">
        <v>4641970.08</v>
      </c>
      <c r="Y330">
        <v>4703532.34</v>
      </c>
    </row>
    <row r="331" spans="1:25" x14ac:dyDescent="0.25">
      <c r="A331">
        <v>16</v>
      </c>
      <c r="B331" t="s">
        <v>578</v>
      </c>
      <c r="C331" t="s">
        <v>32</v>
      </c>
      <c r="D331" t="s">
        <v>1254</v>
      </c>
      <c r="E331">
        <v>177899</v>
      </c>
      <c r="F331" t="s">
        <v>1255</v>
      </c>
      <c r="G331" t="s">
        <v>1256</v>
      </c>
      <c r="H331" t="s">
        <v>1257</v>
      </c>
      <c r="I331" t="s">
        <v>1258</v>
      </c>
      <c r="J331" t="s">
        <v>1255</v>
      </c>
      <c r="K331" t="s">
        <v>1259</v>
      </c>
      <c r="L331" t="b">
        <v>1</v>
      </c>
      <c r="M331" t="s">
        <v>1030</v>
      </c>
      <c r="N331" t="s">
        <v>32</v>
      </c>
      <c r="P331" t="s">
        <v>579</v>
      </c>
      <c r="Q331">
        <v>1</v>
      </c>
      <c r="R331">
        <v>3</v>
      </c>
      <c r="S331">
        <v>98.721583333300003</v>
      </c>
      <c r="T331">
        <v>2000000</v>
      </c>
      <c r="U331">
        <v>2000000</v>
      </c>
      <c r="V331">
        <v>1</v>
      </c>
      <c r="W331">
        <v>16866.669999999998</v>
      </c>
      <c r="X331">
        <v>1974431.67</v>
      </c>
      <c r="Y331">
        <v>1991298.34</v>
      </c>
    </row>
    <row r="332" spans="1:25" x14ac:dyDescent="0.25">
      <c r="A332">
        <v>16</v>
      </c>
      <c r="B332" t="s">
        <v>578</v>
      </c>
      <c r="C332" t="s">
        <v>32</v>
      </c>
      <c r="D332" t="s">
        <v>1260</v>
      </c>
      <c r="E332">
        <v>221418</v>
      </c>
      <c r="F332" t="s">
        <v>1261</v>
      </c>
      <c r="G332" t="s">
        <v>1262</v>
      </c>
      <c r="H332" t="s">
        <v>1263</v>
      </c>
      <c r="I332" t="s">
        <v>1264</v>
      </c>
      <c r="J332" t="s">
        <v>1261</v>
      </c>
      <c r="K332" t="s">
        <v>1265</v>
      </c>
      <c r="L332" t="b">
        <v>1</v>
      </c>
      <c r="M332" t="s">
        <v>112</v>
      </c>
      <c r="N332" t="s">
        <v>32</v>
      </c>
      <c r="P332" t="s">
        <v>579</v>
      </c>
      <c r="Q332">
        <v>1</v>
      </c>
      <c r="R332">
        <v>3</v>
      </c>
      <c r="S332">
        <v>98.063062500000001</v>
      </c>
      <c r="T332">
        <v>11200000</v>
      </c>
      <c r="U332">
        <v>11200000</v>
      </c>
      <c r="V332">
        <v>1</v>
      </c>
      <c r="W332">
        <v>136500</v>
      </c>
      <c r="X332">
        <v>10983063</v>
      </c>
      <c r="Y332">
        <v>11119563</v>
      </c>
    </row>
    <row r="333" spans="1:25" x14ac:dyDescent="0.25">
      <c r="A333">
        <v>16</v>
      </c>
      <c r="B333" t="s">
        <v>578</v>
      </c>
      <c r="C333" t="s">
        <v>32</v>
      </c>
      <c r="D333" t="s">
        <v>1266</v>
      </c>
      <c r="E333">
        <v>158667</v>
      </c>
      <c r="F333" t="s">
        <v>1267</v>
      </c>
      <c r="G333" t="s">
        <v>1268</v>
      </c>
      <c r="H333" t="s">
        <v>1263</v>
      </c>
      <c r="I333" t="s">
        <v>1269</v>
      </c>
      <c r="J333" t="s">
        <v>1267</v>
      </c>
      <c r="K333" t="s">
        <v>1270</v>
      </c>
      <c r="L333" t="b">
        <v>1</v>
      </c>
      <c r="M333" t="s">
        <v>112</v>
      </c>
      <c r="N333" t="s">
        <v>32</v>
      </c>
      <c r="P333" t="s">
        <v>579</v>
      </c>
      <c r="Q333">
        <v>1</v>
      </c>
      <c r="R333">
        <v>3</v>
      </c>
      <c r="S333">
        <v>102.1875</v>
      </c>
      <c r="T333">
        <v>7066260</v>
      </c>
      <c r="U333">
        <v>7066260</v>
      </c>
      <c r="V333">
        <v>1</v>
      </c>
      <c r="W333">
        <v>107171.61</v>
      </c>
      <c r="X333">
        <v>7220834.4399999985</v>
      </c>
      <c r="Y333">
        <v>7328006.0499999998</v>
      </c>
    </row>
    <row r="334" spans="1:25" x14ac:dyDescent="0.25">
      <c r="A334">
        <v>16</v>
      </c>
      <c r="B334" t="s">
        <v>578</v>
      </c>
      <c r="C334" t="s">
        <v>32</v>
      </c>
      <c r="D334" t="s">
        <v>1271</v>
      </c>
      <c r="E334">
        <v>53479</v>
      </c>
      <c r="F334" t="s">
        <v>1272</v>
      </c>
      <c r="G334" t="s">
        <v>1273</v>
      </c>
      <c r="H334" t="s">
        <v>1274</v>
      </c>
      <c r="I334" t="s">
        <v>1275</v>
      </c>
      <c r="L334" t="b">
        <v>1</v>
      </c>
      <c r="M334" t="s">
        <v>452</v>
      </c>
      <c r="N334" t="s">
        <v>32</v>
      </c>
      <c r="P334" t="s">
        <v>579</v>
      </c>
      <c r="Q334">
        <v>1</v>
      </c>
      <c r="R334">
        <v>3</v>
      </c>
      <c r="S334">
        <v>103.24305</v>
      </c>
      <c r="T334">
        <v>2129000</v>
      </c>
      <c r="U334">
        <v>2129000</v>
      </c>
      <c r="V334">
        <v>1</v>
      </c>
      <c r="W334">
        <v>81582.100000000006</v>
      </c>
      <c r="X334">
        <v>2198044.54</v>
      </c>
      <c r="Y334">
        <v>2279626.64</v>
      </c>
    </row>
    <row r="335" spans="1:25" x14ac:dyDescent="0.25">
      <c r="A335">
        <v>16</v>
      </c>
      <c r="B335" t="s">
        <v>578</v>
      </c>
      <c r="C335" t="s">
        <v>32</v>
      </c>
      <c r="D335" t="s">
        <v>62</v>
      </c>
      <c r="E335">
        <v>213324</v>
      </c>
      <c r="F335" t="s">
        <v>63</v>
      </c>
      <c r="G335" t="s">
        <v>64</v>
      </c>
      <c r="H335" t="s">
        <v>65</v>
      </c>
      <c r="I335" t="s">
        <v>66</v>
      </c>
      <c r="J335" t="s">
        <v>63</v>
      </c>
      <c r="K335" t="s">
        <v>67</v>
      </c>
      <c r="L335" t="b">
        <v>1</v>
      </c>
      <c r="M335" t="s">
        <v>50</v>
      </c>
      <c r="N335" t="s">
        <v>32</v>
      </c>
      <c r="P335" t="s">
        <v>579</v>
      </c>
      <c r="Q335">
        <v>1</v>
      </c>
      <c r="R335">
        <v>3</v>
      </c>
      <c r="S335">
        <v>98.567899999999995</v>
      </c>
      <c r="T335">
        <v>2780000</v>
      </c>
      <c r="U335">
        <v>2780000</v>
      </c>
      <c r="V335">
        <v>1</v>
      </c>
      <c r="W335">
        <v>62005.58</v>
      </c>
      <c r="X335">
        <v>2740187.62</v>
      </c>
      <c r="Y335">
        <v>2802193.2</v>
      </c>
    </row>
    <row r="336" spans="1:25" x14ac:dyDescent="0.25">
      <c r="A336">
        <v>16</v>
      </c>
      <c r="B336" t="s">
        <v>578</v>
      </c>
      <c r="C336" t="s">
        <v>32</v>
      </c>
      <c r="D336" t="s">
        <v>1276</v>
      </c>
      <c r="E336">
        <v>132864</v>
      </c>
      <c r="F336" t="s">
        <v>564</v>
      </c>
      <c r="G336" t="s">
        <v>1277</v>
      </c>
      <c r="H336" t="s">
        <v>562</v>
      </c>
      <c r="I336" t="s">
        <v>563</v>
      </c>
      <c r="J336" t="s">
        <v>560</v>
      </c>
      <c r="K336" t="s">
        <v>560</v>
      </c>
      <c r="L336" t="b">
        <v>1</v>
      </c>
      <c r="M336" t="s">
        <v>31</v>
      </c>
      <c r="N336" t="s">
        <v>32</v>
      </c>
      <c r="P336" t="s">
        <v>579</v>
      </c>
      <c r="Q336">
        <v>1</v>
      </c>
      <c r="R336">
        <v>3</v>
      </c>
      <c r="S336">
        <v>101.23958571430001</v>
      </c>
      <c r="T336">
        <v>89954</v>
      </c>
      <c r="U336">
        <v>133840</v>
      </c>
      <c r="V336">
        <v>0.67210000000000003</v>
      </c>
      <c r="W336">
        <v>1011.68</v>
      </c>
      <c r="X336">
        <v>91069.06</v>
      </c>
      <c r="Y336">
        <v>92080.739999999991</v>
      </c>
    </row>
    <row r="337" spans="1:25" x14ac:dyDescent="0.25">
      <c r="A337">
        <v>16</v>
      </c>
      <c r="B337" t="s">
        <v>578</v>
      </c>
      <c r="C337" t="s">
        <v>32</v>
      </c>
      <c r="D337" t="s">
        <v>559</v>
      </c>
      <c r="E337">
        <v>1545</v>
      </c>
      <c r="F337" t="s">
        <v>560</v>
      </c>
      <c r="G337" t="s">
        <v>561</v>
      </c>
      <c r="H337" t="s">
        <v>562</v>
      </c>
      <c r="I337" t="s">
        <v>563</v>
      </c>
      <c r="J337" t="s">
        <v>560</v>
      </c>
      <c r="K337" t="s">
        <v>564</v>
      </c>
      <c r="L337" t="b">
        <v>1</v>
      </c>
      <c r="M337" t="s">
        <v>31</v>
      </c>
      <c r="N337" t="s">
        <v>32</v>
      </c>
      <c r="P337" t="s">
        <v>579</v>
      </c>
      <c r="Q337">
        <v>1</v>
      </c>
      <c r="R337">
        <v>3</v>
      </c>
      <c r="S337">
        <v>101.23958571430001</v>
      </c>
      <c r="T337">
        <v>7771600</v>
      </c>
      <c r="U337">
        <v>11563160</v>
      </c>
      <c r="V337">
        <v>0.67210000000000003</v>
      </c>
      <c r="W337">
        <v>87404.590000000011</v>
      </c>
      <c r="X337">
        <v>7867935.6400000006</v>
      </c>
      <c r="Y337">
        <v>7955340.2300000004</v>
      </c>
    </row>
    <row r="338" spans="1:25" x14ac:dyDescent="0.25">
      <c r="A338">
        <v>16</v>
      </c>
      <c r="B338" t="s">
        <v>578</v>
      </c>
      <c r="C338" t="s">
        <v>32</v>
      </c>
      <c r="D338" t="s">
        <v>1278</v>
      </c>
      <c r="E338">
        <v>39251</v>
      </c>
      <c r="F338" t="s">
        <v>1279</v>
      </c>
      <c r="G338" t="s">
        <v>1280</v>
      </c>
      <c r="H338" t="s">
        <v>1281</v>
      </c>
      <c r="I338" t="s">
        <v>1282</v>
      </c>
      <c r="L338" t="b">
        <v>1</v>
      </c>
      <c r="M338" t="s">
        <v>31</v>
      </c>
      <c r="N338" t="s">
        <v>32</v>
      </c>
      <c r="P338" t="s">
        <v>579</v>
      </c>
      <c r="Q338">
        <v>1</v>
      </c>
      <c r="R338">
        <v>3</v>
      </c>
      <c r="S338">
        <v>96.382091666700006</v>
      </c>
      <c r="T338">
        <v>372000</v>
      </c>
      <c r="U338">
        <v>372000</v>
      </c>
      <c r="V338">
        <v>1</v>
      </c>
      <c r="W338">
        <v>6324</v>
      </c>
      <c r="X338">
        <v>358541.38000000012</v>
      </c>
      <c r="Y338">
        <v>364865.38000000012</v>
      </c>
    </row>
    <row r="339" spans="1:25" x14ac:dyDescent="0.25">
      <c r="A339">
        <v>16</v>
      </c>
      <c r="B339" t="s">
        <v>578</v>
      </c>
      <c r="C339" t="s">
        <v>32</v>
      </c>
      <c r="D339" t="s">
        <v>1283</v>
      </c>
      <c r="E339">
        <v>937</v>
      </c>
      <c r="F339" t="s">
        <v>1284</v>
      </c>
      <c r="G339" t="s">
        <v>1285</v>
      </c>
      <c r="H339" t="s">
        <v>1286</v>
      </c>
      <c r="I339" t="s">
        <v>1287</v>
      </c>
      <c r="L339" t="b">
        <v>1</v>
      </c>
      <c r="M339" t="s">
        <v>44</v>
      </c>
      <c r="N339" t="s">
        <v>32</v>
      </c>
      <c r="P339" t="s">
        <v>579</v>
      </c>
      <c r="Q339">
        <v>1</v>
      </c>
      <c r="R339">
        <v>3</v>
      </c>
      <c r="S339">
        <v>3.5000000000000003E-2</v>
      </c>
      <c r="T339">
        <v>250000</v>
      </c>
      <c r="U339">
        <v>250000</v>
      </c>
      <c r="V339">
        <v>1</v>
      </c>
      <c r="W339">
        <v>0</v>
      </c>
      <c r="X339">
        <v>87.5</v>
      </c>
      <c r="Y339">
        <v>87.5</v>
      </c>
    </row>
    <row r="340" spans="1:25" x14ac:dyDescent="0.25">
      <c r="A340">
        <v>16</v>
      </c>
      <c r="B340" t="s">
        <v>578</v>
      </c>
      <c r="C340" t="s">
        <v>32</v>
      </c>
      <c r="D340" t="s">
        <v>1288</v>
      </c>
      <c r="E340">
        <v>143842</v>
      </c>
      <c r="F340" t="s">
        <v>1289</v>
      </c>
      <c r="G340" t="s">
        <v>1290</v>
      </c>
      <c r="H340" t="s">
        <v>1291</v>
      </c>
      <c r="I340" t="s">
        <v>1292</v>
      </c>
      <c r="J340" t="s">
        <v>1289</v>
      </c>
      <c r="K340" t="s">
        <v>1293</v>
      </c>
      <c r="L340" t="b">
        <v>1</v>
      </c>
      <c r="M340" t="s">
        <v>31</v>
      </c>
      <c r="N340" t="s">
        <v>32</v>
      </c>
      <c r="P340" t="s">
        <v>579</v>
      </c>
      <c r="Q340">
        <v>1</v>
      </c>
      <c r="R340">
        <v>3</v>
      </c>
      <c r="S340">
        <v>49.024999999999999</v>
      </c>
      <c r="T340">
        <v>7152266</v>
      </c>
      <c r="U340">
        <v>7152266</v>
      </c>
      <c r="V340">
        <v>1</v>
      </c>
      <c r="W340">
        <v>0</v>
      </c>
      <c r="X340">
        <v>3506398.410000002</v>
      </c>
      <c r="Y340">
        <v>3506398.410000002</v>
      </c>
    </row>
    <row r="341" spans="1:25" x14ac:dyDescent="0.25">
      <c r="A341">
        <v>16</v>
      </c>
      <c r="B341" t="s">
        <v>578</v>
      </c>
      <c r="C341" t="s">
        <v>32</v>
      </c>
      <c r="D341" t="s">
        <v>570</v>
      </c>
      <c r="E341">
        <v>944</v>
      </c>
      <c r="F341" t="s">
        <v>571</v>
      </c>
      <c r="G341" t="s">
        <v>572</v>
      </c>
      <c r="H341" t="s">
        <v>159</v>
      </c>
      <c r="I341" t="s">
        <v>573</v>
      </c>
      <c r="L341" t="b">
        <v>1</v>
      </c>
      <c r="M341" t="s">
        <v>81</v>
      </c>
      <c r="N341" t="s">
        <v>32</v>
      </c>
      <c r="P341" t="s">
        <v>579</v>
      </c>
      <c r="Q341">
        <v>1</v>
      </c>
      <c r="R341">
        <v>3</v>
      </c>
      <c r="S341">
        <v>102.9136833333</v>
      </c>
      <c r="T341">
        <v>3898363</v>
      </c>
      <c r="U341">
        <v>5232000</v>
      </c>
      <c r="V341">
        <v>0.74509999999999998</v>
      </c>
      <c r="W341">
        <v>14294.01</v>
      </c>
      <c r="X341">
        <v>4011948.9500000011</v>
      </c>
      <c r="Y341">
        <v>4026242.96</v>
      </c>
    </row>
    <row r="342" spans="1:25" x14ac:dyDescent="0.25">
      <c r="A342">
        <v>20</v>
      </c>
      <c r="B342" t="s">
        <v>25</v>
      </c>
      <c r="C342" t="s">
        <v>26</v>
      </c>
      <c r="D342" t="s">
        <v>1294</v>
      </c>
      <c r="E342">
        <v>209274</v>
      </c>
      <c r="F342" t="s">
        <v>1295</v>
      </c>
      <c r="G342" t="s">
        <v>1296</v>
      </c>
      <c r="H342" t="s">
        <v>1297</v>
      </c>
      <c r="I342" t="s">
        <v>1296</v>
      </c>
      <c r="L342" t="b">
        <v>0</v>
      </c>
      <c r="M342" t="s">
        <v>31</v>
      </c>
      <c r="N342" t="s">
        <v>358</v>
      </c>
      <c r="P342" t="s">
        <v>33</v>
      </c>
      <c r="Q342">
        <v>1</v>
      </c>
      <c r="R342">
        <v>3</v>
      </c>
      <c r="S342">
        <v>450.62300399999998</v>
      </c>
      <c r="T342">
        <v>269</v>
      </c>
      <c r="U342">
        <v>269</v>
      </c>
      <c r="V342">
        <v>1</v>
      </c>
      <c r="W342">
        <v>0</v>
      </c>
      <c r="X342">
        <v>22243017.960000001</v>
      </c>
      <c r="Y342">
        <v>22243017.960000001</v>
      </c>
    </row>
    <row r="343" spans="1:25" x14ac:dyDescent="0.25">
      <c r="A343">
        <v>20</v>
      </c>
      <c r="B343" t="s">
        <v>25</v>
      </c>
      <c r="C343" t="s">
        <v>26</v>
      </c>
      <c r="D343" t="s">
        <v>1298</v>
      </c>
      <c r="E343">
        <v>209440</v>
      </c>
      <c r="F343" t="s">
        <v>1299</v>
      </c>
      <c r="G343" t="s">
        <v>1300</v>
      </c>
      <c r="H343" t="s">
        <v>1297</v>
      </c>
      <c r="I343" t="s">
        <v>1300</v>
      </c>
      <c r="L343" t="b">
        <v>0</v>
      </c>
      <c r="M343" t="s">
        <v>31</v>
      </c>
      <c r="N343" t="s">
        <v>358</v>
      </c>
      <c r="P343" t="s">
        <v>33</v>
      </c>
      <c r="Q343">
        <v>1</v>
      </c>
      <c r="R343">
        <v>3</v>
      </c>
      <c r="S343">
        <v>604.559077</v>
      </c>
      <c r="T343">
        <v>5399</v>
      </c>
      <c r="U343">
        <v>5399</v>
      </c>
      <c r="V343">
        <v>1</v>
      </c>
      <c r="W343">
        <v>0</v>
      </c>
      <c r="X343">
        <v>598935616.8900001</v>
      </c>
      <c r="Y343">
        <v>598935616.8900001</v>
      </c>
    </row>
    <row r="344" spans="1:25" x14ac:dyDescent="0.25">
      <c r="A344">
        <v>20</v>
      </c>
      <c r="B344" t="s">
        <v>25</v>
      </c>
      <c r="C344" t="s">
        <v>26</v>
      </c>
      <c r="D344" t="s">
        <v>1301</v>
      </c>
      <c r="E344">
        <v>209441</v>
      </c>
      <c r="F344" t="s">
        <v>1302</v>
      </c>
      <c r="G344" t="s">
        <v>1303</v>
      </c>
      <c r="H344" t="s">
        <v>1297</v>
      </c>
      <c r="I344" t="s">
        <v>1303</v>
      </c>
      <c r="L344" t="b">
        <v>0</v>
      </c>
      <c r="M344" t="s">
        <v>31</v>
      </c>
      <c r="N344" t="s">
        <v>358</v>
      </c>
      <c r="P344" t="s">
        <v>33</v>
      </c>
      <c r="Q344">
        <v>1</v>
      </c>
      <c r="R344">
        <v>3</v>
      </c>
      <c r="S344">
        <v>603.87506099999996</v>
      </c>
      <c r="T344">
        <v>9864</v>
      </c>
      <c r="U344">
        <v>9864</v>
      </c>
      <c r="V344">
        <v>1</v>
      </c>
      <c r="W344">
        <v>0</v>
      </c>
      <c r="X344">
        <v>1093020292.99</v>
      </c>
      <c r="Y344">
        <v>1093020292.99</v>
      </c>
    </row>
    <row r="345" spans="1:25" x14ac:dyDescent="0.25">
      <c r="A345">
        <v>20</v>
      </c>
      <c r="B345" t="s">
        <v>25</v>
      </c>
      <c r="C345" t="s">
        <v>26</v>
      </c>
      <c r="D345" t="s">
        <v>1304</v>
      </c>
      <c r="E345">
        <v>226686</v>
      </c>
      <c r="F345" t="s">
        <v>1305</v>
      </c>
      <c r="G345" t="s">
        <v>1306</v>
      </c>
      <c r="H345" t="s">
        <v>1297</v>
      </c>
      <c r="I345" t="s">
        <v>1306</v>
      </c>
      <c r="L345" t="b">
        <v>0</v>
      </c>
      <c r="M345" t="s">
        <v>31</v>
      </c>
      <c r="N345" t="s">
        <v>358</v>
      </c>
      <c r="P345" t="s">
        <v>33</v>
      </c>
      <c r="Q345">
        <v>1</v>
      </c>
      <c r="R345">
        <v>3</v>
      </c>
      <c r="S345">
        <v>994.8125</v>
      </c>
      <c r="T345">
        <v>263</v>
      </c>
      <c r="U345">
        <v>263</v>
      </c>
      <c r="V345">
        <v>1</v>
      </c>
      <c r="W345">
        <v>0</v>
      </c>
      <c r="X345">
        <v>48009264.600000001</v>
      </c>
      <c r="Y345">
        <v>48009264.600000001</v>
      </c>
    </row>
    <row r="346" spans="1:25" x14ac:dyDescent="0.25">
      <c r="A346">
        <v>20</v>
      </c>
      <c r="B346" t="s">
        <v>25</v>
      </c>
      <c r="C346" t="s">
        <v>26</v>
      </c>
      <c r="D346" t="s">
        <v>1307</v>
      </c>
      <c r="E346">
        <v>192041</v>
      </c>
      <c r="F346" t="s">
        <v>1308</v>
      </c>
      <c r="G346" t="s">
        <v>1309</v>
      </c>
      <c r="H346" t="s">
        <v>517</v>
      </c>
      <c r="I346" t="s">
        <v>1309</v>
      </c>
      <c r="L346" t="b">
        <v>0</v>
      </c>
      <c r="M346" t="s">
        <v>31</v>
      </c>
      <c r="N346" t="s">
        <v>358</v>
      </c>
      <c r="P346" t="s">
        <v>33</v>
      </c>
      <c r="Q346">
        <v>1</v>
      </c>
      <c r="R346">
        <v>3</v>
      </c>
      <c r="S346">
        <v>781.4375</v>
      </c>
      <c r="T346">
        <v>24951</v>
      </c>
      <c r="U346">
        <v>24951</v>
      </c>
      <c r="V346">
        <v>1</v>
      </c>
      <c r="W346">
        <v>0</v>
      </c>
      <c r="X346">
        <v>3577752321.4699998</v>
      </c>
      <c r="Y346">
        <v>3577752321.4699998</v>
      </c>
    </row>
    <row r="347" spans="1:25" x14ac:dyDescent="0.25">
      <c r="A347">
        <v>20</v>
      </c>
      <c r="B347" t="s">
        <v>25</v>
      </c>
      <c r="C347" t="s">
        <v>26</v>
      </c>
      <c r="D347" t="s">
        <v>1310</v>
      </c>
      <c r="E347">
        <v>148402</v>
      </c>
      <c r="F347" t="s">
        <v>1311</v>
      </c>
      <c r="G347" t="s">
        <v>1312</v>
      </c>
      <c r="H347" t="s">
        <v>1313</v>
      </c>
      <c r="I347" t="s">
        <v>1312</v>
      </c>
      <c r="L347" t="b">
        <v>0</v>
      </c>
      <c r="M347" t="s">
        <v>50</v>
      </c>
      <c r="N347" t="s">
        <v>26</v>
      </c>
      <c r="P347" t="s">
        <v>33</v>
      </c>
      <c r="Q347">
        <v>1</v>
      </c>
      <c r="R347">
        <v>3</v>
      </c>
      <c r="S347">
        <v>90.579776359199997</v>
      </c>
      <c r="T347">
        <v>11182285353</v>
      </c>
      <c r="U347">
        <v>11182285353</v>
      </c>
      <c r="V347">
        <v>1</v>
      </c>
      <c r="W347">
        <v>129009404.88</v>
      </c>
      <c r="X347">
        <v>10128889064.59</v>
      </c>
      <c r="Y347">
        <v>10257898469.469999</v>
      </c>
    </row>
    <row r="348" spans="1:25" x14ac:dyDescent="0.25">
      <c r="A348">
        <v>20</v>
      </c>
      <c r="B348" t="s">
        <v>25</v>
      </c>
      <c r="C348" t="s">
        <v>26</v>
      </c>
      <c r="D348" t="s">
        <v>1314</v>
      </c>
      <c r="E348">
        <v>143855</v>
      </c>
      <c r="F348" t="s">
        <v>1315</v>
      </c>
      <c r="G348" t="s">
        <v>1316</v>
      </c>
      <c r="H348" t="s">
        <v>1317</v>
      </c>
      <c r="I348" t="s">
        <v>1316</v>
      </c>
      <c r="L348" t="b">
        <v>0</v>
      </c>
      <c r="M348" t="s">
        <v>50</v>
      </c>
      <c r="N348" t="s">
        <v>26</v>
      </c>
      <c r="P348" t="s">
        <v>33</v>
      </c>
      <c r="Q348">
        <v>1</v>
      </c>
      <c r="R348">
        <v>3</v>
      </c>
      <c r="S348">
        <v>101.95092318490001</v>
      </c>
      <c r="T348">
        <v>85460168</v>
      </c>
      <c r="U348">
        <v>85460168</v>
      </c>
      <c r="V348">
        <v>1</v>
      </c>
      <c r="W348">
        <v>655047.34000000008</v>
      </c>
      <c r="X348">
        <v>87127430.239999995</v>
      </c>
      <c r="Y348">
        <v>87782477.579999998</v>
      </c>
    </row>
    <row r="349" spans="1:25" x14ac:dyDescent="0.25">
      <c r="A349">
        <v>20</v>
      </c>
      <c r="B349" t="s">
        <v>25</v>
      </c>
      <c r="C349" t="s">
        <v>26</v>
      </c>
      <c r="D349" t="s">
        <v>1318</v>
      </c>
      <c r="E349">
        <v>148403</v>
      </c>
      <c r="F349" t="s">
        <v>1319</v>
      </c>
      <c r="G349" t="s">
        <v>1320</v>
      </c>
      <c r="H349" t="s">
        <v>1313</v>
      </c>
      <c r="I349" t="s">
        <v>1320</v>
      </c>
      <c r="L349" t="b">
        <v>0</v>
      </c>
      <c r="M349" t="s">
        <v>50</v>
      </c>
      <c r="N349" t="s">
        <v>26</v>
      </c>
      <c r="P349" t="s">
        <v>33</v>
      </c>
      <c r="Q349">
        <v>1</v>
      </c>
      <c r="R349">
        <v>3</v>
      </c>
      <c r="S349">
        <v>33.751028228499997</v>
      </c>
      <c r="T349">
        <v>17173046699</v>
      </c>
      <c r="U349">
        <v>17173046699</v>
      </c>
      <c r="V349">
        <v>1</v>
      </c>
      <c r="W349">
        <v>197968020.18000001</v>
      </c>
      <c r="X349">
        <v>5796079839.0700006</v>
      </c>
      <c r="Y349">
        <v>5994047859.250001</v>
      </c>
    </row>
    <row r="350" spans="1:25" x14ac:dyDescent="0.25">
      <c r="A350">
        <v>20</v>
      </c>
      <c r="B350" t="s">
        <v>25</v>
      </c>
      <c r="C350" t="s">
        <v>26</v>
      </c>
      <c r="D350" t="s">
        <v>1321</v>
      </c>
      <c r="E350">
        <v>116569</v>
      </c>
      <c r="F350" t="s">
        <v>1322</v>
      </c>
      <c r="G350" t="s">
        <v>1323</v>
      </c>
      <c r="H350" t="s">
        <v>1324</v>
      </c>
      <c r="I350" t="s">
        <v>1323</v>
      </c>
      <c r="L350" t="b">
        <v>0</v>
      </c>
      <c r="M350" t="s">
        <v>50</v>
      </c>
      <c r="N350" t="s">
        <v>26</v>
      </c>
      <c r="P350" t="s">
        <v>33</v>
      </c>
      <c r="Q350">
        <v>1</v>
      </c>
      <c r="R350">
        <v>3</v>
      </c>
      <c r="S350">
        <v>101.95765112869999</v>
      </c>
      <c r="T350">
        <v>9970811206</v>
      </c>
      <c r="U350">
        <v>11870013340</v>
      </c>
      <c r="V350">
        <v>0.84</v>
      </c>
      <c r="W350">
        <v>136959198.99000001</v>
      </c>
      <c r="X350">
        <v>10166004904.110001</v>
      </c>
      <c r="Y350">
        <v>10302964103.1</v>
      </c>
    </row>
    <row r="351" spans="1:25" x14ac:dyDescent="0.25">
      <c r="A351">
        <v>16</v>
      </c>
      <c r="B351" t="s">
        <v>578</v>
      </c>
      <c r="C351" t="s">
        <v>32</v>
      </c>
      <c r="D351" t="s">
        <v>1325</v>
      </c>
      <c r="E351">
        <v>216350</v>
      </c>
      <c r="F351" t="s">
        <v>1326</v>
      </c>
      <c r="G351" t="s">
        <v>1327</v>
      </c>
      <c r="H351" t="s">
        <v>1328</v>
      </c>
      <c r="I351" t="s">
        <v>1327</v>
      </c>
      <c r="L351" t="b">
        <v>0</v>
      </c>
      <c r="M351" t="s">
        <v>31</v>
      </c>
      <c r="N351" t="s">
        <v>32</v>
      </c>
      <c r="P351" t="s">
        <v>579</v>
      </c>
      <c r="Q351">
        <v>1</v>
      </c>
      <c r="R351">
        <v>3</v>
      </c>
      <c r="S351">
        <v>99.8713062116</v>
      </c>
      <c r="T351">
        <v>2100000</v>
      </c>
      <c r="U351">
        <v>2100000</v>
      </c>
      <c r="V351">
        <v>1</v>
      </c>
      <c r="W351">
        <v>32703.13</v>
      </c>
      <c r="X351">
        <v>2097297.4300000002</v>
      </c>
      <c r="Y351">
        <v>2130000.56</v>
      </c>
    </row>
    <row r="352" spans="1:25" x14ac:dyDescent="0.25">
      <c r="A352">
        <v>16</v>
      </c>
      <c r="B352" t="s">
        <v>578</v>
      </c>
      <c r="C352" t="s">
        <v>32</v>
      </c>
      <c r="D352" t="s">
        <v>1329</v>
      </c>
      <c r="E352">
        <v>134542</v>
      </c>
      <c r="F352" t="s">
        <v>1330</v>
      </c>
      <c r="G352" t="s">
        <v>1331</v>
      </c>
      <c r="H352" t="s">
        <v>1328</v>
      </c>
      <c r="I352" t="s">
        <v>1331</v>
      </c>
      <c r="L352" t="b">
        <v>0</v>
      </c>
      <c r="M352" t="s">
        <v>31</v>
      </c>
      <c r="N352" t="s">
        <v>32</v>
      </c>
      <c r="P352" t="s">
        <v>579</v>
      </c>
      <c r="Q352">
        <v>1</v>
      </c>
      <c r="R352">
        <v>3</v>
      </c>
      <c r="S352">
        <v>104.2089142857</v>
      </c>
      <c r="T352">
        <v>2300000</v>
      </c>
      <c r="U352">
        <v>2300000</v>
      </c>
      <c r="V352">
        <v>1</v>
      </c>
      <c r="W352">
        <v>19422.23</v>
      </c>
      <c r="X352">
        <v>2396805.0299999998</v>
      </c>
      <c r="Y352">
        <v>2416227.2599999998</v>
      </c>
    </row>
    <row r="353" spans="1:25" x14ac:dyDescent="0.25">
      <c r="A353">
        <v>16</v>
      </c>
      <c r="B353" t="s">
        <v>578</v>
      </c>
      <c r="C353" t="s">
        <v>32</v>
      </c>
      <c r="D353" t="s">
        <v>1332</v>
      </c>
      <c r="E353">
        <v>155595</v>
      </c>
      <c r="F353" t="s">
        <v>1333</v>
      </c>
      <c r="G353" t="s">
        <v>1334</v>
      </c>
      <c r="H353" t="s">
        <v>1335</v>
      </c>
      <c r="I353" t="s">
        <v>1336</v>
      </c>
      <c r="J353" t="s">
        <v>1333</v>
      </c>
      <c r="K353" t="s">
        <v>1337</v>
      </c>
      <c r="L353" t="b">
        <v>1</v>
      </c>
      <c r="M353" t="s">
        <v>112</v>
      </c>
      <c r="N353" t="s">
        <v>32</v>
      </c>
      <c r="P353" t="s">
        <v>579</v>
      </c>
      <c r="Q353">
        <v>1</v>
      </c>
      <c r="R353">
        <v>3</v>
      </c>
      <c r="S353">
        <v>104.4359833333</v>
      </c>
      <c r="T353">
        <v>8490000</v>
      </c>
      <c r="U353">
        <v>8490000</v>
      </c>
      <c r="V353">
        <v>1</v>
      </c>
      <c r="W353">
        <v>83573.440000000002</v>
      </c>
      <c r="X353">
        <v>8866614.9900000002</v>
      </c>
      <c r="Y353">
        <v>8950188.4299999997</v>
      </c>
    </row>
    <row r="354" spans="1:25" x14ac:dyDescent="0.25">
      <c r="A354">
        <v>16</v>
      </c>
      <c r="B354" t="s">
        <v>578</v>
      </c>
      <c r="C354" t="s">
        <v>32</v>
      </c>
      <c r="D354" t="s">
        <v>1338</v>
      </c>
      <c r="E354">
        <v>146644</v>
      </c>
      <c r="F354" t="s">
        <v>1339</v>
      </c>
      <c r="G354" t="s">
        <v>1340</v>
      </c>
      <c r="H354" t="s">
        <v>1335</v>
      </c>
      <c r="I354" t="s">
        <v>1341</v>
      </c>
      <c r="L354" t="b">
        <v>1</v>
      </c>
      <c r="M354" t="s">
        <v>112</v>
      </c>
      <c r="N354" t="s">
        <v>32</v>
      </c>
      <c r="P354" t="s">
        <v>579</v>
      </c>
      <c r="Q354">
        <v>1</v>
      </c>
      <c r="R354">
        <v>3</v>
      </c>
      <c r="S354">
        <v>104.4406833333</v>
      </c>
      <c r="T354">
        <v>210000</v>
      </c>
      <c r="U354">
        <v>210000</v>
      </c>
      <c r="V354">
        <v>1</v>
      </c>
      <c r="W354">
        <v>6538.88</v>
      </c>
      <c r="X354">
        <v>219325.43</v>
      </c>
      <c r="Y354">
        <v>225864.31</v>
      </c>
    </row>
    <row r="355" spans="1:25" x14ac:dyDescent="0.25">
      <c r="A355">
        <v>16</v>
      </c>
      <c r="B355" t="s">
        <v>578</v>
      </c>
      <c r="C355" t="s">
        <v>32</v>
      </c>
      <c r="D355" t="s">
        <v>1342</v>
      </c>
      <c r="E355">
        <v>130578</v>
      </c>
      <c r="F355" t="s">
        <v>1343</v>
      </c>
      <c r="G355" t="s">
        <v>1344</v>
      </c>
      <c r="H355" t="s">
        <v>1345</v>
      </c>
      <c r="I355" t="s">
        <v>1346</v>
      </c>
      <c r="L355" t="b">
        <v>1</v>
      </c>
      <c r="M355" t="s">
        <v>112</v>
      </c>
      <c r="N355" t="s">
        <v>32</v>
      </c>
      <c r="P355" t="s">
        <v>579</v>
      </c>
      <c r="Q355">
        <v>1</v>
      </c>
      <c r="R355">
        <v>3</v>
      </c>
      <c r="S355">
        <v>107.404</v>
      </c>
      <c r="T355">
        <v>4030000</v>
      </c>
      <c r="U355">
        <v>4030000</v>
      </c>
      <c r="V355">
        <v>1</v>
      </c>
      <c r="W355">
        <v>86589.03</v>
      </c>
      <c r="X355">
        <v>4328381.1999999993</v>
      </c>
      <c r="Y355">
        <v>4414970.2300000004</v>
      </c>
    </row>
    <row r="356" spans="1:25" x14ac:dyDescent="0.25">
      <c r="A356">
        <v>16</v>
      </c>
      <c r="B356" t="s">
        <v>578</v>
      </c>
      <c r="C356" t="s">
        <v>32</v>
      </c>
      <c r="D356" t="s">
        <v>1347</v>
      </c>
      <c r="E356">
        <v>226995</v>
      </c>
      <c r="F356" t="s">
        <v>1348</v>
      </c>
      <c r="G356" t="s">
        <v>1349</v>
      </c>
      <c r="H356" t="s">
        <v>577</v>
      </c>
      <c r="I356" t="s">
        <v>1350</v>
      </c>
      <c r="J356" t="s">
        <v>1348</v>
      </c>
      <c r="K356" t="s">
        <v>1351</v>
      </c>
      <c r="L356" t="b">
        <v>1</v>
      </c>
      <c r="M356" t="s">
        <v>112</v>
      </c>
      <c r="N356" t="s">
        <v>32</v>
      </c>
      <c r="P356" t="s">
        <v>579</v>
      </c>
      <c r="Q356">
        <v>1</v>
      </c>
      <c r="R356">
        <v>3</v>
      </c>
      <c r="S356">
        <v>99.037343750000005</v>
      </c>
      <c r="T356">
        <v>7400000</v>
      </c>
      <c r="U356">
        <v>7400000</v>
      </c>
      <c r="V356">
        <v>1</v>
      </c>
      <c r="W356">
        <v>5241.67</v>
      </c>
      <c r="X356">
        <v>7328763.4400000004</v>
      </c>
      <c r="Y356">
        <v>7334005.1100000003</v>
      </c>
    </row>
    <row r="357" spans="1:25" x14ac:dyDescent="0.25">
      <c r="A357">
        <v>16</v>
      </c>
      <c r="B357" t="s">
        <v>578</v>
      </c>
      <c r="C357" t="s">
        <v>32</v>
      </c>
      <c r="D357" t="s">
        <v>1352</v>
      </c>
      <c r="E357">
        <v>132059</v>
      </c>
      <c r="F357" t="s">
        <v>1353</v>
      </c>
      <c r="G357" t="s">
        <v>1354</v>
      </c>
      <c r="H357" t="s">
        <v>1355</v>
      </c>
      <c r="I357" t="s">
        <v>1356</v>
      </c>
      <c r="J357" t="s">
        <v>1353</v>
      </c>
      <c r="K357" t="s">
        <v>1357</v>
      </c>
      <c r="L357" t="b">
        <v>1</v>
      </c>
      <c r="M357" t="s">
        <v>61</v>
      </c>
      <c r="N357" t="s">
        <v>32</v>
      </c>
      <c r="P357" t="s">
        <v>579</v>
      </c>
      <c r="Q357">
        <v>1</v>
      </c>
      <c r="R357">
        <v>3</v>
      </c>
      <c r="S357">
        <v>97.405000000000001</v>
      </c>
      <c r="T357">
        <v>55544</v>
      </c>
      <c r="U357">
        <v>83300</v>
      </c>
      <c r="V357">
        <v>0.66679999999999995</v>
      </c>
      <c r="W357">
        <v>1069.8</v>
      </c>
      <c r="X357">
        <v>54102.63</v>
      </c>
      <c r="Y357">
        <v>55172.430000000008</v>
      </c>
    </row>
    <row r="358" spans="1:25" x14ac:dyDescent="0.25">
      <c r="A358">
        <v>16</v>
      </c>
      <c r="B358" t="s">
        <v>578</v>
      </c>
      <c r="C358" t="s">
        <v>32</v>
      </c>
      <c r="D358" t="s">
        <v>1358</v>
      </c>
      <c r="E358">
        <v>2382</v>
      </c>
      <c r="F358" t="s">
        <v>1357</v>
      </c>
      <c r="G358" t="s">
        <v>1359</v>
      </c>
      <c r="H358" t="s">
        <v>1355</v>
      </c>
      <c r="I358" t="s">
        <v>1356</v>
      </c>
      <c r="J358" t="s">
        <v>1353</v>
      </c>
      <c r="K358" t="s">
        <v>1353</v>
      </c>
      <c r="L358" t="b">
        <v>1</v>
      </c>
      <c r="M358" t="s">
        <v>61</v>
      </c>
      <c r="N358" t="s">
        <v>32</v>
      </c>
      <c r="P358" t="s">
        <v>579</v>
      </c>
      <c r="Q358">
        <v>1</v>
      </c>
      <c r="R358">
        <v>3</v>
      </c>
      <c r="S358">
        <v>97.405000000000001</v>
      </c>
      <c r="T358">
        <v>4506036</v>
      </c>
      <c r="U358">
        <v>6757700</v>
      </c>
      <c r="V358">
        <v>0.66679999999999995</v>
      </c>
      <c r="W358">
        <v>86788.12999999999</v>
      </c>
      <c r="X358">
        <v>4389104.370000001</v>
      </c>
      <c r="Y358">
        <v>4475892.5000000009</v>
      </c>
    </row>
    <row r="359" spans="1:25" x14ac:dyDescent="0.25">
      <c r="A359">
        <v>16</v>
      </c>
      <c r="B359" t="s">
        <v>578</v>
      </c>
      <c r="C359" t="s">
        <v>32</v>
      </c>
      <c r="D359" t="s">
        <v>1360</v>
      </c>
      <c r="E359">
        <v>186586</v>
      </c>
      <c r="F359" t="s">
        <v>1361</v>
      </c>
      <c r="G359" t="s">
        <v>1362</v>
      </c>
      <c r="H359" t="s">
        <v>356</v>
      </c>
      <c r="I359" t="s">
        <v>1362</v>
      </c>
      <c r="L359" t="b">
        <v>0</v>
      </c>
      <c r="M359" t="s">
        <v>31</v>
      </c>
      <c r="N359" t="s">
        <v>32</v>
      </c>
      <c r="P359" t="s">
        <v>579</v>
      </c>
      <c r="Q359">
        <v>1</v>
      </c>
      <c r="R359">
        <v>3</v>
      </c>
      <c r="S359">
        <v>97.584687500000001</v>
      </c>
      <c r="T359">
        <v>3450000</v>
      </c>
      <c r="U359">
        <v>3450000</v>
      </c>
      <c r="V359">
        <v>1</v>
      </c>
      <c r="W359">
        <v>69251.56</v>
      </c>
      <c r="X359">
        <v>3366671.72</v>
      </c>
      <c r="Y359">
        <v>3435923.28</v>
      </c>
    </row>
    <row r="360" spans="1:25" x14ac:dyDescent="0.25">
      <c r="A360">
        <v>16</v>
      </c>
      <c r="B360" t="s">
        <v>578</v>
      </c>
      <c r="C360" t="s">
        <v>32</v>
      </c>
      <c r="D360" t="s">
        <v>1363</v>
      </c>
      <c r="E360">
        <v>146334</v>
      </c>
      <c r="F360" t="s">
        <v>1364</v>
      </c>
      <c r="G360" t="s">
        <v>1365</v>
      </c>
      <c r="H360" t="s">
        <v>356</v>
      </c>
      <c r="I360" t="s">
        <v>1365</v>
      </c>
      <c r="L360" t="b">
        <v>0</v>
      </c>
      <c r="M360" t="s">
        <v>31</v>
      </c>
      <c r="N360" t="s">
        <v>32</v>
      </c>
      <c r="P360" t="s">
        <v>579</v>
      </c>
      <c r="Q360">
        <v>1</v>
      </c>
      <c r="R360">
        <v>3</v>
      </c>
      <c r="S360">
        <v>98.858381249999994</v>
      </c>
      <c r="T360">
        <v>2520000</v>
      </c>
      <c r="U360">
        <v>2520000</v>
      </c>
      <c r="V360">
        <v>1</v>
      </c>
      <c r="W360">
        <v>7560</v>
      </c>
      <c r="X360">
        <v>2491231.2000000002</v>
      </c>
      <c r="Y360">
        <v>2498791.2000000002</v>
      </c>
    </row>
    <row r="361" spans="1:25" x14ac:dyDescent="0.25">
      <c r="A361">
        <v>16</v>
      </c>
      <c r="B361" t="s">
        <v>578</v>
      </c>
      <c r="C361" t="s">
        <v>32</v>
      </c>
      <c r="D361" t="s">
        <v>1366</v>
      </c>
      <c r="E361">
        <v>972</v>
      </c>
      <c r="F361" t="s">
        <v>1367</v>
      </c>
      <c r="G361" t="s">
        <v>1368</v>
      </c>
      <c r="H361" t="s">
        <v>356</v>
      </c>
      <c r="I361" t="s">
        <v>1368</v>
      </c>
      <c r="L361" t="b">
        <v>0</v>
      </c>
      <c r="M361" t="s">
        <v>31</v>
      </c>
      <c r="N361" t="s">
        <v>32</v>
      </c>
      <c r="P361" t="s">
        <v>579</v>
      </c>
      <c r="Q361">
        <v>1</v>
      </c>
      <c r="R361">
        <v>3</v>
      </c>
      <c r="S361">
        <v>100.65751</v>
      </c>
      <c r="T361">
        <v>1400000</v>
      </c>
      <c r="U361">
        <v>1400000</v>
      </c>
      <c r="V361">
        <v>1</v>
      </c>
      <c r="W361">
        <v>2940.98</v>
      </c>
      <c r="X361">
        <v>1409205.14</v>
      </c>
      <c r="Y361">
        <v>1412146.12</v>
      </c>
    </row>
    <row r="362" spans="1:25" x14ac:dyDescent="0.25">
      <c r="A362">
        <v>16</v>
      </c>
      <c r="B362" t="s">
        <v>578</v>
      </c>
      <c r="C362" t="s">
        <v>32</v>
      </c>
      <c r="D362" t="s">
        <v>1369</v>
      </c>
      <c r="E362">
        <v>2371</v>
      </c>
      <c r="F362" t="s">
        <v>1370</v>
      </c>
      <c r="G362" t="s">
        <v>1371</v>
      </c>
      <c r="H362" t="s">
        <v>356</v>
      </c>
      <c r="I362" t="s">
        <v>1371</v>
      </c>
      <c r="L362" t="b">
        <v>0</v>
      </c>
      <c r="M362" t="s">
        <v>31</v>
      </c>
      <c r="N362" t="s">
        <v>32</v>
      </c>
      <c r="P362" t="s">
        <v>579</v>
      </c>
      <c r="Q362">
        <v>1</v>
      </c>
      <c r="R362">
        <v>3</v>
      </c>
      <c r="S362">
        <v>98.129514285699997</v>
      </c>
      <c r="T362">
        <v>430000</v>
      </c>
      <c r="U362">
        <v>430000</v>
      </c>
      <c r="V362">
        <v>1</v>
      </c>
      <c r="W362">
        <v>322.5</v>
      </c>
      <c r="X362">
        <v>421956.91</v>
      </c>
      <c r="Y362">
        <v>422279.41</v>
      </c>
    </row>
    <row r="363" spans="1:25" x14ac:dyDescent="0.25">
      <c r="A363">
        <v>16</v>
      </c>
      <c r="B363" t="s">
        <v>578</v>
      </c>
      <c r="C363" t="s">
        <v>32</v>
      </c>
      <c r="D363" t="s">
        <v>1372</v>
      </c>
      <c r="E363">
        <v>2925</v>
      </c>
      <c r="F363" t="s">
        <v>1373</v>
      </c>
      <c r="G363" t="s">
        <v>1374</v>
      </c>
      <c r="H363" t="s">
        <v>356</v>
      </c>
      <c r="I363" t="s">
        <v>1374</v>
      </c>
      <c r="L363" t="b">
        <v>0</v>
      </c>
      <c r="M363" t="s">
        <v>31</v>
      </c>
      <c r="N363" t="s">
        <v>32</v>
      </c>
      <c r="P363" t="s">
        <v>579</v>
      </c>
      <c r="Q363">
        <v>1</v>
      </c>
      <c r="R363">
        <v>3</v>
      </c>
      <c r="S363">
        <v>94.957085000000006</v>
      </c>
      <c r="T363">
        <v>1080000</v>
      </c>
      <c r="U363">
        <v>1080000</v>
      </c>
      <c r="V363">
        <v>1</v>
      </c>
      <c r="W363">
        <v>11745</v>
      </c>
      <c r="X363">
        <v>1025536.52</v>
      </c>
      <c r="Y363">
        <v>1037281.52</v>
      </c>
    </row>
    <row r="364" spans="1:25" x14ac:dyDescent="0.25">
      <c r="A364">
        <v>16</v>
      </c>
      <c r="B364" t="s">
        <v>578</v>
      </c>
      <c r="C364" t="s">
        <v>32</v>
      </c>
      <c r="D364" t="s">
        <v>1375</v>
      </c>
      <c r="E364">
        <v>971</v>
      </c>
      <c r="F364" t="s">
        <v>1376</v>
      </c>
      <c r="G364" t="s">
        <v>1377</v>
      </c>
      <c r="H364" t="s">
        <v>356</v>
      </c>
      <c r="I364" t="s">
        <v>1377</v>
      </c>
      <c r="L364" t="b">
        <v>0</v>
      </c>
      <c r="M364" t="s">
        <v>31</v>
      </c>
      <c r="N364" t="s">
        <v>32</v>
      </c>
      <c r="P364" t="s">
        <v>579</v>
      </c>
      <c r="Q364">
        <v>1</v>
      </c>
      <c r="R364">
        <v>3</v>
      </c>
      <c r="S364">
        <v>90.387237499999998</v>
      </c>
      <c r="T364">
        <v>4019000</v>
      </c>
      <c r="U364">
        <v>4019000</v>
      </c>
      <c r="V364">
        <v>1</v>
      </c>
      <c r="W364">
        <v>42824.68</v>
      </c>
      <c r="X364">
        <v>3632663.09</v>
      </c>
      <c r="Y364">
        <v>3675487.77</v>
      </c>
    </row>
    <row r="365" spans="1:25" x14ac:dyDescent="0.25">
      <c r="A365">
        <v>16</v>
      </c>
      <c r="B365" t="s">
        <v>578</v>
      </c>
      <c r="C365" t="s">
        <v>32</v>
      </c>
      <c r="D365" t="s">
        <v>1378</v>
      </c>
      <c r="E365">
        <v>973</v>
      </c>
      <c r="F365" t="s">
        <v>1379</v>
      </c>
      <c r="G365" t="s">
        <v>1380</v>
      </c>
      <c r="H365" t="s">
        <v>356</v>
      </c>
      <c r="I365" t="s">
        <v>1380</v>
      </c>
      <c r="L365" t="b">
        <v>0</v>
      </c>
      <c r="M365" t="s">
        <v>31</v>
      </c>
      <c r="N365" t="s">
        <v>32</v>
      </c>
      <c r="P365" t="s">
        <v>579</v>
      </c>
      <c r="Q365">
        <v>1</v>
      </c>
      <c r="R365">
        <v>3</v>
      </c>
      <c r="S365">
        <v>96.253</v>
      </c>
      <c r="T365">
        <v>3934000</v>
      </c>
      <c r="U365">
        <v>3934000</v>
      </c>
      <c r="V365">
        <v>1</v>
      </c>
      <c r="W365">
        <v>99530.2</v>
      </c>
      <c r="X365">
        <v>3786593.02</v>
      </c>
      <c r="Y365">
        <v>3886123.2200000011</v>
      </c>
    </row>
    <row r="366" spans="1:25" x14ac:dyDescent="0.25">
      <c r="A366">
        <v>16</v>
      </c>
      <c r="B366" t="s">
        <v>578</v>
      </c>
      <c r="C366" t="s">
        <v>32</v>
      </c>
      <c r="D366" t="s">
        <v>1381</v>
      </c>
      <c r="E366">
        <v>974</v>
      </c>
      <c r="F366" t="s">
        <v>1382</v>
      </c>
      <c r="G366" t="s">
        <v>1383</v>
      </c>
      <c r="H366" t="s">
        <v>356</v>
      </c>
      <c r="I366" t="s">
        <v>1383</v>
      </c>
      <c r="L366" t="b">
        <v>0</v>
      </c>
      <c r="M366" t="s">
        <v>31</v>
      </c>
      <c r="N366" t="s">
        <v>32</v>
      </c>
      <c r="P366" t="s">
        <v>579</v>
      </c>
      <c r="Q366">
        <v>1</v>
      </c>
      <c r="R366">
        <v>3</v>
      </c>
      <c r="S366">
        <v>101.116755</v>
      </c>
      <c r="T366">
        <v>2463000</v>
      </c>
      <c r="U366">
        <v>2463000</v>
      </c>
      <c r="V366">
        <v>1</v>
      </c>
      <c r="W366">
        <v>66466.789999999994</v>
      </c>
      <c r="X366">
        <v>2490505.67</v>
      </c>
      <c r="Y366">
        <v>2556972.46</v>
      </c>
    </row>
    <row r="367" spans="1:25" x14ac:dyDescent="0.25">
      <c r="A367">
        <v>16</v>
      </c>
      <c r="B367" t="s">
        <v>578</v>
      </c>
      <c r="C367" t="s">
        <v>32</v>
      </c>
      <c r="D367" t="s">
        <v>580</v>
      </c>
      <c r="E367">
        <v>222557</v>
      </c>
      <c r="F367" t="s">
        <v>581</v>
      </c>
      <c r="G367" t="s">
        <v>582</v>
      </c>
      <c r="H367" t="s">
        <v>583</v>
      </c>
      <c r="I367" t="s">
        <v>584</v>
      </c>
      <c r="J367" t="s">
        <v>581</v>
      </c>
      <c r="K367" t="s">
        <v>585</v>
      </c>
      <c r="L367" t="b">
        <v>1</v>
      </c>
      <c r="M367" t="s">
        <v>81</v>
      </c>
      <c r="N367" t="s">
        <v>32</v>
      </c>
      <c r="P367" t="s">
        <v>579</v>
      </c>
      <c r="Q367">
        <v>1</v>
      </c>
      <c r="R367">
        <v>3</v>
      </c>
      <c r="S367">
        <v>101.91743750000001</v>
      </c>
      <c r="T367">
        <v>4250000</v>
      </c>
      <c r="U367">
        <v>4250000</v>
      </c>
      <c r="V367">
        <v>1</v>
      </c>
      <c r="W367">
        <v>33852.43</v>
      </c>
      <c r="X367">
        <v>4331491.09</v>
      </c>
      <c r="Y367">
        <v>4365343.5199999996</v>
      </c>
    </row>
    <row r="368" spans="1:25" x14ac:dyDescent="0.25">
      <c r="A368">
        <v>16</v>
      </c>
      <c r="B368" t="s">
        <v>578</v>
      </c>
      <c r="C368" t="s">
        <v>32</v>
      </c>
      <c r="D368" t="s">
        <v>586</v>
      </c>
      <c r="E368">
        <v>1944</v>
      </c>
      <c r="F368" t="s">
        <v>587</v>
      </c>
      <c r="G368" t="s">
        <v>588</v>
      </c>
      <c r="H368" t="s">
        <v>589</v>
      </c>
      <c r="I368" t="s">
        <v>590</v>
      </c>
      <c r="L368" t="b">
        <v>1</v>
      </c>
      <c r="M368" t="s">
        <v>31</v>
      </c>
      <c r="N368" t="s">
        <v>32</v>
      </c>
      <c r="P368" t="s">
        <v>579</v>
      </c>
      <c r="Q368">
        <v>1</v>
      </c>
      <c r="R368">
        <v>3</v>
      </c>
      <c r="S368">
        <v>101.316</v>
      </c>
      <c r="T368">
        <v>1857442</v>
      </c>
      <c r="U368">
        <v>3000000</v>
      </c>
      <c r="V368">
        <v>0.61909999999999998</v>
      </c>
      <c r="W368">
        <v>11995.98</v>
      </c>
      <c r="X368">
        <v>1881885.94</v>
      </c>
      <c r="Y368">
        <v>1893881.92</v>
      </c>
    </row>
    <row r="369" spans="1:25" x14ac:dyDescent="0.25">
      <c r="A369">
        <v>16</v>
      </c>
      <c r="B369" t="s">
        <v>578</v>
      </c>
      <c r="C369" t="s">
        <v>32</v>
      </c>
      <c r="D369" t="s">
        <v>68</v>
      </c>
      <c r="E369">
        <v>194433</v>
      </c>
      <c r="F369" t="s">
        <v>69</v>
      </c>
      <c r="G369" t="s">
        <v>70</v>
      </c>
      <c r="H369" t="s">
        <v>71</v>
      </c>
      <c r="I369" t="s">
        <v>72</v>
      </c>
      <c r="J369" t="s">
        <v>69</v>
      </c>
      <c r="K369" t="s">
        <v>73</v>
      </c>
      <c r="L369" t="b">
        <v>1</v>
      </c>
      <c r="M369" t="s">
        <v>74</v>
      </c>
      <c r="N369" t="s">
        <v>32</v>
      </c>
      <c r="P369" t="s">
        <v>579</v>
      </c>
      <c r="Q369">
        <v>1</v>
      </c>
      <c r="R369">
        <v>3</v>
      </c>
      <c r="S369">
        <v>109.1574</v>
      </c>
      <c r="T369">
        <v>2600000</v>
      </c>
      <c r="U369">
        <v>2600000</v>
      </c>
      <c r="V369">
        <v>1</v>
      </c>
      <c r="W369">
        <v>29900</v>
      </c>
      <c r="X369">
        <v>2838092.4</v>
      </c>
      <c r="Y369">
        <v>2867992.4</v>
      </c>
    </row>
    <row r="370" spans="1:25" x14ac:dyDescent="0.25">
      <c r="A370">
        <v>16</v>
      </c>
      <c r="B370" t="s">
        <v>578</v>
      </c>
      <c r="C370" t="s">
        <v>32</v>
      </c>
      <c r="D370" t="s">
        <v>1384</v>
      </c>
      <c r="E370">
        <v>30387</v>
      </c>
      <c r="F370" t="s">
        <v>1385</v>
      </c>
      <c r="G370" t="s">
        <v>1386</v>
      </c>
      <c r="H370" t="s">
        <v>1297</v>
      </c>
      <c r="I370" t="s">
        <v>1387</v>
      </c>
      <c r="L370" t="b">
        <v>1</v>
      </c>
      <c r="M370" t="s">
        <v>31</v>
      </c>
      <c r="N370" t="s">
        <v>32</v>
      </c>
      <c r="P370" t="s">
        <v>579</v>
      </c>
      <c r="Q370">
        <v>1</v>
      </c>
      <c r="R370">
        <v>3</v>
      </c>
      <c r="S370">
        <v>53.756250000000001</v>
      </c>
      <c r="T370">
        <v>200000</v>
      </c>
      <c r="U370">
        <v>200000</v>
      </c>
      <c r="V370">
        <v>1</v>
      </c>
      <c r="W370">
        <v>323.89</v>
      </c>
      <c r="X370">
        <v>107512.5</v>
      </c>
      <c r="Y370">
        <v>107836.39</v>
      </c>
    </row>
    <row r="371" spans="1:25" x14ac:dyDescent="0.25">
      <c r="A371">
        <v>16</v>
      </c>
      <c r="B371" t="s">
        <v>578</v>
      </c>
      <c r="C371" t="s">
        <v>32</v>
      </c>
      <c r="D371" t="s">
        <v>1388</v>
      </c>
      <c r="E371">
        <v>147225</v>
      </c>
      <c r="F371" t="s">
        <v>1389</v>
      </c>
      <c r="G371" t="s">
        <v>1390</v>
      </c>
      <c r="H371" t="s">
        <v>1297</v>
      </c>
      <c r="I371" t="s">
        <v>1391</v>
      </c>
      <c r="L371" t="b">
        <v>1</v>
      </c>
      <c r="M371" t="s">
        <v>31</v>
      </c>
      <c r="N371" t="s">
        <v>32</v>
      </c>
      <c r="P371" t="s">
        <v>579</v>
      </c>
      <c r="Q371">
        <v>1</v>
      </c>
      <c r="R371">
        <v>3</v>
      </c>
      <c r="S371">
        <v>53.728483333299998</v>
      </c>
      <c r="T371">
        <v>2150000</v>
      </c>
      <c r="U371">
        <v>2150000</v>
      </c>
      <c r="V371">
        <v>1</v>
      </c>
      <c r="W371">
        <v>0</v>
      </c>
      <c r="X371">
        <v>1155162.3899999999</v>
      </c>
      <c r="Y371">
        <v>1155162.3899999999</v>
      </c>
    </row>
    <row r="372" spans="1:25" x14ac:dyDescent="0.25">
      <c r="A372">
        <v>16</v>
      </c>
      <c r="B372" t="s">
        <v>578</v>
      </c>
      <c r="C372" t="s">
        <v>32</v>
      </c>
      <c r="D372" t="s">
        <v>1392</v>
      </c>
      <c r="E372">
        <v>179346</v>
      </c>
      <c r="F372" t="s">
        <v>1393</v>
      </c>
      <c r="G372" t="s">
        <v>1394</v>
      </c>
      <c r="H372" t="s">
        <v>1297</v>
      </c>
      <c r="I372" t="s">
        <v>1395</v>
      </c>
      <c r="L372" t="b">
        <v>1</v>
      </c>
      <c r="M372" t="s">
        <v>31</v>
      </c>
      <c r="N372" t="s">
        <v>32</v>
      </c>
      <c r="P372" t="s">
        <v>579</v>
      </c>
      <c r="Q372">
        <v>1</v>
      </c>
      <c r="R372">
        <v>3</v>
      </c>
      <c r="S372">
        <v>53.725200000000001</v>
      </c>
      <c r="T372">
        <v>1500000</v>
      </c>
      <c r="U372">
        <v>1500000</v>
      </c>
      <c r="V372">
        <v>1</v>
      </c>
      <c r="W372">
        <v>0</v>
      </c>
      <c r="X372">
        <v>805878</v>
      </c>
      <c r="Y372">
        <v>805878</v>
      </c>
    </row>
    <row r="373" spans="1:25" x14ac:dyDescent="0.25">
      <c r="A373">
        <v>16</v>
      </c>
      <c r="B373" t="s">
        <v>578</v>
      </c>
      <c r="C373" t="s">
        <v>32</v>
      </c>
      <c r="D373" t="s">
        <v>1396</v>
      </c>
      <c r="E373">
        <v>123482</v>
      </c>
      <c r="F373" t="s">
        <v>1397</v>
      </c>
      <c r="G373" t="s">
        <v>1398</v>
      </c>
      <c r="H373" t="s">
        <v>1297</v>
      </c>
      <c r="I373" t="s">
        <v>1399</v>
      </c>
      <c r="L373" t="b">
        <v>1</v>
      </c>
      <c r="M373" t="s">
        <v>31</v>
      </c>
      <c r="N373" t="s">
        <v>32</v>
      </c>
      <c r="P373" t="s">
        <v>579</v>
      </c>
      <c r="Q373">
        <v>1</v>
      </c>
      <c r="R373">
        <v>3</v>
      </c>
      <c r="S373">
        <v>53.237499999999997</v>
      </c>
      <c r="T373">
        <v>250000</v>
      </c>
      <c r="U373">
        <v>250000</v>
      </c>
      <c r="V373">
        <v>1</v>
      </c>
      <c r="W373">
        <v>0</v>
      </c>
      <c r="X373">
        <v>133093.75</v>
      </c>
      <c r="Y373">
        <v>133093.75</v>
      </c>
    </row>
    <row r="374" spans="1:25" x14ac:dyDescent="0.25">
      <c r="A374">
        <v>16</v>
      </c>
      <c r="B374" t="s">
        <v>578</v>
      </c>
      <c r="C374" t="s">
        <v>32</v>
      </c>
      <c r="D374" t="s">
        <v>1400</v>
      </c>
      <c r="E374">
        <v>205495</v>
      </c>
      <c r="F374" t="s">
        <v>1401</v>
      </c>
      <c r="G374" t="s">
        <v>1402</v>
      </c>
      <c r="H374" t="s">
        <v>1297</v>
      </c>
      <c r="I374" t="s">
        <v>1403</v>
      </c>
      <c r="J374" t="s">
        <v>1401</v>
      </c>
      <c r="K374" t="s">
        <v>1404</v>
      </c>
      <c r="L374" t="b">
        <v>1</v>
      </c>
      <c r="M374" t="s">
        <v>31</v>
      </c>
      <c r="N374" t="s">
        <v>32</v>
      </c>
      <c r="P374" t="s">
        <v>579</v>
      </c>
      <c r="Q374">
        <v>1</v>
      </c>
      <c r="R374">
        <v>3</v>
      </c>
      <c r="S374">
        <v>53.790624999999999</v>
      </c>
      <c r="T374">
        <v>1650000</v>
      </c>
      <c r="U374">
        <v>1650000</v>
      </c>
      <c r="V374">
        <v>1</v>
      </c>
      <c r="W374">
        <v>0</v>
      </c>
      <c r="X374">
        <v>887545.31</v>
      </c>
      <c r="Y374">
        <v>887545.31</v>
      </c>
    </row>
    <row r="375" spans="1:25" x14ac:dyDescent="0.25">
      <c r="A375">
        <v>20</v>
      </c>
      <c r="B375" t="s">
        <v>25</v>
      </c>
      <c r="C375" t="s">
        <v>26</v>
      </c>
      <c r="D375" t="s">
        <v>1405</v>
      </c>
      <c r="E375">
        <v>52960</v>
      </c>
      <c r="F375" t="s">
        <v>1406</v>
      </c>
      <c r="G375" t="s">
        <v>1407</v>
      </c>
      <c r="H375" t="s">
        <v>1408</v>
      </c>
      <c r="I375" t="s">
        <v>1407</v>
      </c>
      <c r="L375" t="b">
        <v>0</v>
      </c>
      <c r="M375" t="s">
        <v>50</v>
      </c>
      <c r="N375" t="s">
        <v>241</v>
      </c>
      <c r="P375" t="s">
        <v>33</v>
      </c>
      <c r="Q375">
        <v>1</v>
      </c>
      <c r="R375">
        <v>3</v>
      </c>
      <c r="S375">
        <v>89.277980443499999</v>
      </c>
      <c r="T375">
        <v>109573</v>
      </c>
      <c r="U375">
        <v>146500</v>
      </c>
      <c r="V375">
        <v>0.74790000000000001</v>
      </c>
      <c r="W375">
        <v>34312060.670000002</v>
      </c>
      <c r="X375">
        <v>3995623610.0500002</v>
      </c>
      <c r="Y375">
        <v>4029935670.7199998</v>
      </c>
    </row>
    <row r="376" spans="1:25" x14ac:dyDescent="0.25">
      <c r="A376">
        <v>20</v>
      </c>
      <c r="B376" t="s">
        <v>25</v>
      </c>
      <c r="C376" t="s">
        <v>26</v>
      </c>
      <c r="D376" t="s">
        <v>1409</v>
      </c>
      <c r="E376">
        <v>3630</v>
      </c>
      <c r="F376" t="s">
        <v>1410</v>
      </c>
      <c r="G376" t="s">
        <v>1411</v>
      </c>
      <c r="H376" t="s">
        <v>1412</v>
      </c>
      <c r="I376" t="s">
        <v>1411</v>
      </c>
      <c r="L376" t="b">
        <v>0</v>
      </c>
      <c r="M376" t="s">
        <v>50</v>
      </c>
      <c r="N376" t="s">
        <v>241</v>
      </c>
      <c r="P376" t="s">
        <v>33</v>
      </c>
      <c r="Q376">
        <v>1</v>
      </c>
      <c r="R376">
        <v>3</v>
      </c>
      <c r="S376">
        <v>103.3608721885</v>
      </c>
      <c r="T376">
        <v>10000</v>
      </c>
      <c r="U376">
        <v>10000</v>
      </c>
      <c r="V376">
        <v>1</v>
      </c>
      <c r="W376">
        <v>5272517.79</v>
      </c>
      <c r="X376">
        <v>422175425.47000003</v>
      </c>
      <c r="Y376">
        <v>427447943.25999999</v>
      </c>
    </row>
    <row r="377" spans="1:25" x14ac:dyDescent="0.25">
      <c r="A377">
        <v>20</v>
      </c>
      <c r="B377" t="s">
        <v>25</v>
      </c>
      <c r="C377" t="s">
        <v>26</v>
      </c>
      <c r="D377" t="s">
        <v>1413</v>
      </c>
      <c r="E377">
        <v>3631</v>
      </c>
      <c r="F377" t="s">
        <v>1414</v>
      </c>
      <c r="G377" t="s">
        <v>1415</v>
      </c>
      <c r="H377" t="s">
        <v>1416</v>
      </c>
      <c r="I377" t="s">
        <v>1415</v>
      </c>
      <c r="L377" t="b">
        <v>0</v>
      </c>
      <c r="M377" t="s">
        <v>50</v>
      </c>
      <c r="N377" t="s">
        <v>241</v>
      </c>
      <c r="P377" t="s">
        <v>33</v>
      </c>
      <c r="Q377">
        <v>1</v>
      </c>
      <c r="R377">
        <v>3</v>
      </c>
      <c r="S377">
        <v>103.5493520408</v>
      </c>
      <c r="T377">
        <v>3000</v>
      </c>
      <c r="U377">
        <v>3000</v>
      </c>
      <c r="V377">
        <v>1</v>
      </c>
      <c r="W377">
        <v>1581755.34</v>
      </c>
      <c r="X377">
        <v>126883523.23999999</v>
      </c>
      <c r="Y377">
        <v>128465278.58</v>
      </c>
    </row>
    <row r="378" spans="1:25" x14ac:dyDescent="0.25">
      <c r="A378">
        <v>20</v>
      </c>
      <c r="B378" t="s">
        <v>25</v>
      </c>
      <c r="C378" t="s">
        <v>26</v>
      </c>
      <c r="D378" t="s">
        <v>1417</v>
      </c>
      <c r="E378">
        <v>43207</v>
      </c>
      <c r="F378" t="s">
        <v>1418</v>
      </c>
      <c r="G378" t="s">
        <v>1419</v>
      </c>
      <c r="H378" t="s">
        <v>1420</v>
      </c>
      <c r="I378" t="s">
        <v>1419</v>
      </c>
      <c r="L378" t="b">
        <v>0</v>
      </c>
      <c r="M378" t="s">
        <v>50</v>
      </c>
      <c r="N378" t="s">
        <v>241</v>
      </c>
      <c r="P378" t="s">
        <v>33</v>
      </c>
      <c r="Q378">
        <v>1</v>
      </c>
      <c r="R378">
        <v>3</v>
      </c>
      <c r="S378">
        <v>99.802820322299993</v>
      </c>
      <c r="T378">
        <v>10687.5</v>
      </c>
      <c r="U378">
        <v>57000</v>
      </c>
      <c r="V378">
        <v>0.1875</v>
      </c>
      <c r="W378">
        <v>1106454.73</v>
      </c>
      <c r="X378">
        <v>435668093.39999998</v>
      </c>
      <c r="Y378">
        <v>436774548.13000011</v>
      </c>
    </row>
    <row r="379" spans="1:25" x14ac:dyDescent="0.25">
      <c r="A379">
        <v>20</v>
      </c>
      <c r="B379" t="s">
        <v>25</v>
      </c>
      <c r="C379" t="s">
        <v>26</v>
      </c>
      <c r="D379" t="s">
        <v>1421</v>
      </c>
      <c r="E379">
        <v>2633</v>
      </c>
      <c r="F379" t="s">
        <v>1422</v>
      </c>
      <c r="G379" t="s">
        <v>1423</v>
      </c>
      <c r="H379" t="s">
        <v>1424</v>
      </c>
      <c r="I379" t="s">
        <v>1423</v>
      </c>
      <c r="L379" t="b">
        <v>0</v>
      </c>
      <c r="M379" t="s">
        <v>50</v>
      </c>
      <c r="N379" t="s">
        <v>241</v>
      </c>
      <c r="P379" t="s">
        <v>33</v>
      </c>
      <c r="Q379">
        <v>1</v>
      </c>
      <c r="R379">
        <v>3</v>
      </c>
      <c r="S379">
        <v>103.0678754234</v>
      </c>
      <c r="T379">
        <v>111200</v>
      </c>
      <c r="U379">
        <v>139000</v>
      </c>
      <c r="V379">
        <v>0.8</v>
      </c>
      <c r="W379">
        <v>25474946.210000001</v>
      </c>
      <c r="X379">
        <v>4681281832.2000008</v>
      </c>
      <c r="Y379">
        <v>4706756778.4100008</v>
      </c>
    </row>
    <row r="380" spans="1:25" x14ac:dyDescent="0.25">
      <c r="A380">
        <v>20</v>
      </c>
      <c r="B380" t="s">
        <v>25</v>
      </c>
      <c r="C380" t="s">
        <v>26</v>
      </c>
      <c r="D380" t="s">
        <v>1425</v>
      </c>
      <c r="E380">
        <v>17097</v>
      </c>
      <c r="F380" t="s">
        <v>1426</v>
      </c>
      <c r="G380" t="s">
        <v>1427</v>
      </c>
      <c r="H380" t="s">
        <v>1428</v>
      </c>
      <c r="I380" t="s">
        <v>1427</v>
      </c>
      <c r="L380" t="b">
        <v>0</v>
      </c>
      <c r="M380" t="s">
        <v>50</v>
      </c>
      <c r="N380" t="s">
        <v>241</v>
      </c>
      <c r="P380" t="s">
        <v>33</v>
      </c>
      <c r="Q380">
        <v>1</v>
      </c>
      <c r="R380">
        <v>3</v>
      </c>
      <c r="S380">
        <v>90.971922280800001</v>
      </c>
      <c r="T380">
        <v>199000</v>
      </c>
      <c r="U380">
        <v>199000</v>
      </c>
      <c r="V380">
        <v>1</v>
      </c>
      <c r="W380">
        <v>121903635.68000001</v>
      </c>
      <c r="X380">
        <v>7394301431.1199999</v>
      </c>
      <c r="Y380">
        <v>7516205066.8000002</v>
      </c>
    </row>
    <row r="381" spans="1:25" x14ac:dyDescent="0.25">
      <c r="A381">
        <v>20</v>
      </c>
      <c r="B381" t="s">
        <v>25</v>
      </c>
      <c r="C381" t="s">
        <v>26</v>
      </c>
      <c r="D381" t="s">
        <v>1429</v>
      </c>
      <c r="E381">
        <v>17099</v>
      </c>
      <c r="F381" t="s">
        <v>1430</v>
      </c>
      <c r="G381" t="s">
        <v>1431</v>
      </c>
      <c r="H381" t="s">
        <v>1428</v>
      </c>
      <c r="I381" t="s">
        <v>1431</v>
      </c>
      <c r="L381" t="b">
        <v>0</v>
      </c>
      <c r="M381" t="s">
        <v>50</v>
      </c>
      <c r="N381" t="s">
        <v>241</v>
      </c>
      <c r="P381" t="s">
        <v>33</v>
      </c>
      <c r="Q381">
        <v>1</v>
      </c>
      <c r="R381">
        <v>3</v>
      </c>
      <c r="S381">
        <v>90.898577943999996</v>
      </c>
      <c r="T381">
        <v>71000</v>
      </c>
      <c r="U381">
        <v>71000</v>
      </c>
      <c r="V381">
        <v>1</v>
      </c>
      <c r="W381">
        <v>42945482.93</v>
      </c>
      <c r="X381">
        <v>2636040648.5799999</v>
      </c>
      <c r="Y381">
        <v>2678986131.5100002</v>
      </c>
    </row>
    <row r="382" spans="1:25" x14ac:dyDescent="0.25">
      <c r="A382">
        <v>20</v>
      </c>
      <c r="B382" t="s">
        <v>25</v>
      </c>
      <c r="C382" t="s">
        <v>26</v>
      </c>
      <c r="D382" t="s">
        <v>1432</v>
      </c>
      <c r="E382">
        <v>101952</v>
      </c>
      <c r="F382" t="s">
        <v>1433</v>
      </c>
      <c r="G382" t="s">
        <v>1434</v>
      </c>
      <c r="H382" t="s">
        <v>1435</v>
      </c>
      <c r="I382" t="s">
        <v>1434</v>
      </c>
      <c r="L382" t="b">
        <v>0</v>
      </c>
      <c r="M382" t="s">
        <v>50</v>
      </c>
      <c r="N382" t="s">
        <v>241</v>
      </c>
      <c r="P382" t="s">
        <v>33</v>
      </c>
      <c r="Q382">
        <v>1</v>
      </c>
      <c r="R382">
        <v>3</v>
      </c>
      <c r="S382">
        <v>103.71122162170001</v>
      </c>
      <c r="T382">
        <v>12500</v>
      </c>
      <c r="U382">
        <v>15000</v>
      </c>
      <c r="V382">
        <v>0.83330000000000004</v>
      </c>
      <c r="W382">
        <v>846542.31</v>
      </c>
      <c r="X382">
        <v>529507773.07999998</v>
      </c>
      <c r="Y382">
        <v>530354315.38999999</v>
      </c>
    </row>
    <row r="383" spans="1:25" x14ac:dyDescent="0.25">
      <c r="A383">
        <v>20</v>
      </c>
      <c r="B383" t="s">
        <v>25</v>
      </c>
      <c r="C383" t="s">
        <v>26</v>
      </c>
      <c r="D383" t="s">
        <v>1436</v>
      </c>
      <c r="E383">
        <v>51546</v>
      </c>
      <c r="F383" t="s">
        <v>1437</v>
      </c>
      <c r="G383" t="s">
        <v>1438</v>
      </c>
      <c r="H383" t="s">
        <v>48</v>
      </c>
      <c r="I383" t="s">
        <v>1438</v>
      </c>
      <c r="L383" t="b">
        <v>0</v>
      </c>
      <c r="M383" t="s">
        <v>50</v>
      </c>
      <c r="N383" t="s">
        <v>241</v>
      </c>
      <c r="P383" t="s">
        <v>33</v>
      </c>
      <c r="Q383">
        <v>1</v>
      </c>
      <c r="R383">
        <v>3</v>
      </c>
      <c r="S383">
        <v>72.795451271299996</v>
      </c>
      <c r="T383">
        <v>150797</v>
      </c>
      <c r="U383">
        <v>150797</v>
      </c>
      <c r="V383">
        <v>1</v>
      </c>
      <c r="W383">
        <v>91704713.420000017</v>
      </c>
      <c r="X383">
        <v>4483670653.6800013</v>
      </c>
      <c r="Y383">
        <v>4575375367.1000013</v>
      </c>
    </row>
    <row r="384" spans="1:25" x14ac:dyDescent="0.25">
      <c r="A384">
        <v>20</v>
      </c>
      <c r="B384" t="s">
        <v>25</v>
      </c>
      <c r="C384" t="s">
        <v>26</v>
      </c>
      <c r="D384" t="s">
        <v>1439</v>
      </c>
      <c r="E384">
        <v>2976</v>
      </c>
      <c r="F384" t="s">
        <v>1440</v>
      </c>
      <c r="G384" t="s">
        <v>1441</v>
      </c>
      <c r="H384" t="s">
        <v>1442</v>
      </c>
      <c r="I384" t="s">
        <v>1441</v>
      </c>
      <c r="L384" t="b">
        <v>0</v>
      </c>
      <c r="M384" t="s">
        <v>50</v>
      </c>
      <c r="N384" t="s">
        <v>241</v>
      </c>
      <c r="P384" t="s">
        <v>33</v>
      </c>
      <c r="Q384">
        <v>1</v>
      </c>
      <c r="R384">
        <v>3</v>
      </c>
      <c r="S384">
        <v>83.529385008600002</v>
      </c>
      <c r="T384">
        <v>3052</v>
      </c>
      <c r="U384">
        <v>3500</v>
      </c>
      <c r="V384">
        <v>0.872</v>
      </c>
      <c r="W384">
        <v>616393.74</v>
      </c>
      <c r="X384">
        <v>104126440.04000001</v>
      </c>
      <c r="Y384">
        <v>104742833.78</v>
      </c>
    </row>
    <row r="385" spans="1:25" x14ac:dyDescent="0.25">
      <c r="A385">
        <v>20</v>
      </c>
      <c r="B385" t="s">
        <v>25</v>
      </c>
      <c r="C385" t="s">
        <v>26</v>
      </c>
      <c r="D385" t="s">
        <v>1443</v>
      </c>
      <c r="E385">
        <v>145611</v>
      </c>
      <c r="F385" t="s">
        <v>1444</v>
      </c>
      <c r="G385" t="s">
        <v>1445</v>
      </c>
      <c r="H385" t="s">
        <v>1442</v>
      </c>
      <c r="I385" t="s">
        <v>1445</v>
      </c>
      <c r="L385" t="b">
        <v>0</v>
      </c>
      <c r="M385" t="s">
        <v>50</v>
      </c>
      <c r="N385" t="s">
        <v>241</v>
      </c>
      <c r="P385" t="s">
        <v>33</v>
      </c>
      <c r="Q385">
        <v>1</v>
      </c>
      <c r="R385">
        <v>3</v>
      </c>
      <c r="S385">
        <v>107.1175095503</v>
      </c>
      <c r="T385">
        <v>452477</v>
      </c>
      <c r="U385">
        <v>460000</v>
      </c>
      <c r="V385">
        <v>0.98360000000000003</v>
      </c>
      <c r="W385">
        <v>166025994.02000001</v>
      </c>
      <c r="X385">
        <v>19796738182.810001</v>
      </c>
      <c r="Y385">
        <v>19962764176.830002</v>
      </c>
    </row>
    <row r="386" spans="1:25" x14ac:dyDescent="0.25">
      <c r="A386">
        <v>20</v>
      </c>
      <c r="B386" t="s">
        <v>25</v>
      </c>
      <c r="C386" t="s">
        <v>26</v>
      </c>
      <c r="D386" t="s">
        <v>1446</v>
      </c>
      <c r="E386">
        <v>628</v>
      </c>
      <c r="F386" t="s">
        <v>1447</v>
      </c>
      <c r="G386" t="s">
        <v>1448</v>
      </c>
      <c r="H386" t="s">
        <v>1449</v>
      </c>
      <c r="I386" t="s">
        <v>1448</v>
      </c>
      <c r="L386" t="b">
        <v>0</v>
      </c>
      <c r="M386" t="s">
        <v>50</v>
      </c>
      <c r="N386" t="s">
        <v>241</v>
      </c>
      <c r="P386" t="s">
        <v>33</v>
      </c>
      <c r="Q386">
        <v>1</v>
      </c>
      <c r="R386">
        <v>3</v>
      </c>
      <c r="S386">
        <v>77.689282321500002</v>
      </c>
      <c r="T386">
        <v>273000</v>
      </c>
      <c r="U386">
        <v>273000</v>
      </c>
      <c r="V386">
        <v>1</v>
      </c>
      <c r="W386">
        <v>166392144.02000001</v>
      </c>
      <c r="X386">
        <v>8662842989.4699993</v>
      </c>
      <c r="Y386">
        <v>8829235133.4899998</v>
      </c>
    </row>
    <row r="387" spans="1:25" x14ac:dyDescent="0.25">
      <c r="A387">
        <v>20</v>
      </c>
      <c r="B387" t="s">
        <v>25</v>
      </c>
      <c r="C387" t="s">
        <v>26</v>
      </c>
      <c r="D387" t="s">
        <v>1450</v>
      </c>
      <c r="E387">
        <v>2283</v>
      </c>
      <c r="F387" t="s">
        <v>1451</v>
      </c>
      <c r="G387" t="s">
        <v>1452</v>
      </c>
      <c r="H387" t="s">
        <v>1453</v>
      </c>
      <c r="I387" t="s">
        <v>1452</v>
      </c>
      <c r="L387" t="b">
        <v>0</v>
      </c>
      <c r="M387" t="s">
        <v>50</v>
      </c>
      <c r="N387" t="s">
        <v>241</v>
      </c>
      <c r="P387" t="s">
        <v>33</v>
      </c>
      <c r="Q387">
        <v>1</v>
      </c>
      <c r="R387">
        <v>3</v>
      </c>
      <c r="S387">
        <v>101.5213056555</v>
      </c>
      <c r="T387">
        <v>161</v>
      </c>
      <c r="U387">
        <v>1000</v>
      </c>
      <c r="V387">
        <v>0.161</v>
      </c>
      <c r="W387">
        <v>48776.47</v>
      </c>
      <c r="X387">
        <v>6676080.930000104</v>
      </c>
      <c r="Y387">
        <v>6724857.4000001037</v>
      </c>
    </row>
    <row r="388" spans="1:25" x14ac:dyDescent="0.25">
      <c r="A388">
        <v>20</v>
      </c>
      <c r="B388" t="s">
        <v>25</v>
      </c>
      <c r="C388" t="s">
        <v>26</v>
      </c>
      <c r="D388" t="s">
        <v>1454</v>
      </c>
      <c r="E388">
        <v>1584</v>
      </c>
      <c r="F388" t="s">
        <v>1455</v>
      </c>
      <c r="G388" t="s">
        <v>1456</v>
      </c>
      <c r="H388" t="s">
        <v>1457</v>
      </c>
      <c r="I388" t="s">
        <v>1458</v>
      </c>
      <c r="L388" t="b">
        <v>1</v>
      </c>
      <c r="M388" t="s">
        <v>81</v>
      </c>
      <c r="N388" t="s">
        <v>129</v>
      </c>
      <c r="P388" t="s">
        <v>33</v>
      </c>
      <c r="Q388">
        <v>1</v>
      </c>
      <c r="R388">
        <v>3</v>
      </c>
      <c r="S388">
        <v>91.448999999999998</v>
      </c>
      <c r="T388">
        <v>45000000000</v>
      </c>
      <c r="U388">
        <v>45000000000</v>
      </c>
      <c r="V388">
        <v>1</v>
      </c>
      <c r="W388">
        <v>807920432.23000002</v>
      </c>
      <c r="X388">
        <v>12150935824.940001</v>
      </c>
      <c r="Y388">
        <v>12958856257.17</v>
      </c>
    </row>
    <row r="389" spans="1:25" x14ac:dyDescent="0.25">
      <c r="A389">
        <v>20</v>
      </c>
      <c r="B389" t="s">
        <v>25</v>
      </c>
      <c r="C389" t="s">
        <v>26</v>
      </c>
      <c r="D389" t="s">
        <v>242</v>
      </c>
      <c r="E389">
        <v>2054</v>
      </c>
      <c r="F389" t="s">
        <v>243</v>
      </c>
      <c r="G389" t="s">
        <v>244</v>
      </c>
      <c r="H389" t="s">
        <v>245</v>
      </c>
      <c r="I389" t="s">
        <v>246</v>
      </c>
      <c r="L389" t="b">
        <v>1</v>
      </c>
      <c r="M389" t="s">
        <v>44</v>
      </c>
      <c r="N389" t="s">
        <v>180</v>
      </c>
      <c r="P389" t="s">
        <v>33</v>
      </c>
      <c r="Q389">
        <v>1</v>
      </c>
      <c r="R389">
        <v>3</v>
      </c>
      <c r="S389">
        <v>87.533000000000001</v>
      </c>
      <c r="T389">
        <v>121612500</v>
      </c>
      <c r="U389">
        <v>138000000</v>
      </c>
      <c r="V389">
        <v>0.88129999999999997</v>
      </c>
      <c r="W389">
        <v>8612703.3000000007</v>
      </c>
      <c r="X389">
        <v>5713736272.2800007</v>
      </c>
      <c r="Y389">
        <v>5722348975.5800009</v>
      </c>
    </row>
    <row r="390" spans="1:25" x14ac:dyDescent="0.25">
      <c r="A390">
        <v>20</v>
      </c>
      <c r="B390" t="s">
        <v>25</v>
      </c>
      <c r="C390" t="s">
        <v>26</v>
      </c>
      <c r="D390" t="s">
        <v>342</v>
      </c>
      <c r="E390">
        <v>116819</v>
      </c>
      <c r="F390" t="s">
        <v>343</v>
      </c>
      <c r="G390" t="s">
        <v>344</v>
      </c>
      <c r="H390" t="s">
        <v>345</v>
      </c>
      <c r="I390" t="s">
        <v>344</v>
      </c>
      <c r="L390" t="b">
        <v>0</v>
      </c>
      <c r="M390" t="s">
        <v>61</v>
      </c>
      <c r="N390" t="s">
        <v>331</v>
      </c>
      <c r="P390" t="s">
        <v>33</v>
      </c>
      <c r="Q390">
        <v>1</v>
      </c>
      <c r="R390">
        <v>3</v>
      </c>
      <c r="S390">
        <v>110.56495</v>
      </c>
      <c r="T390">
        <v>3851978</v>
      </c>
      <c r="U390">
        <v>3917000</v>
      </c>
      <c r="V390">
        <v>0.98340000000000005</v>
      </c>
      <c r="W390">
        <v>13320247.029999999</v>
      </c>
      <c r="X390">
        <v>1166536591.97</v>
      </c>
      <c r="Y390">
        <v>1179856839</v>
      </c>
    </row>
    <row r="391" spans="1:25" x14ac:dyDescent="0.25">
      <c r="A391">
        <v>20</v>
      </c>
      <c r="B391" t="s">
        <v>25</v>
      </c>
      <c r="C391" t="s">
        <v>26</v>
      </c>
      <c r="D391" t="s">
        <v>346</v>
      </c>
      <c r="E391">
        <v>174739</v>
      </c>
      <c r="F391" t="s">
        <v>347</v>
      </c>
      <c r="G391" t="s">
        <v>348</v>
      </c>
      <c r="H391" t="s">
        <v>345</v>
      </c>
      <c r="I391" t="s">
        <v>348</v>
      </c>
      <c r="L391" t="b">
        <v>0</v>
      </c>
      <c r="M391" t="s">
        <v>61</v>
      </c>
      <c r="N391" t="s">
        <v>331</v>
      </c>
      <c r="P391" t="s">
        <v>33</v>
      </c>
      <c r="Q391">
        <v>1</v>
      </c>
      <c r="R391">
        <v>3</v>
      </c>
      <c r="S391">
        <v>106.71615</v>
      </c>
      <c r="T391">
        <v>6700000</v>
      </c>
      <c r="U391">
        <v>6700000</v>
      </c>
      <c r="V391">
        <v>1</v>
      </c>
      <c r="W391">
        <v>71698345.290000007</v>
      </c>
      <c r="X391">
        <v>1958402910.4200001</v>
      </c>
      <c r="Y391">
        <v>2030101255.71</v>
      </c>
    </row>
    <row r="392" spans="1:25" x14ac:dyDescent="0.25">
      <c r="A392">
        <v>20</v>
      </c>
      <c r="B392" t="s">
        <v>25</v>
      </c>
      <c r="C392" t="s">
        <v>26</v>
      </c>
      <c r="D392" t="s">
        <v>735</v>
      </c>
      <c r="E392">
        <v>35524</v>
      </c>
      <c r="F392" t="s">
        <v>736</v>
      </c>
      <c r="G392" t="s">
        <v>737</v>
      </c>
      <c r="H392" t="s">
        <v>730</v>
      </c>
      <c r="I392" t="s">
        <v>738</v>
      </c>
      <c r="J392" t="s">
        <v>736</v>
      </c>
      <c r="K392" t="s">
        <v>739</v>
      </c>
      <c r="L392" t="b">
        <v>1</v>
      </c>
      <c r="M392" t="s">
        <v>39</v>
      </c>
      <c r="N392" t="s">
        <v>32</v>
      </c>
      <c r="O392" t="s">
        <v>26</v>
      </c>
      <c r="P392" t="s">
        <v>33</v>
      </c>
      <c r="Q392">
        <v>1</v>
      </c>
      <c r="R392">
        <v>3</v>
      </c>
      <c r="S392">
        <v>101.610775</v>
      </c>
      <c r="T392">
        <v>4784500</v>
      </c>
      <c r="U392">
        <v>5000000</v>
      </c>
      <c r="V392">
        <v>0.95689999999999997</v>
      </c>
      <c r="W392">
        <v>52733041.229999997</v>
      </c>
      <c r="X392">
        <v>4525438750.9799995</v>
      </c>
      <c r="Y392">
        <v>4578171792.21</v>
      </c>
    </row>
    <row r="393" spans="1:25" x14ac:dyDescent="0.25">
      <c r="A393">
        <v>20</v>
      </c>
      <c r="B393" t="s">
        <v>25</v>
      </c>
      <c r="C393" t="s">
        <v>26</v>
      </c>
      <c r="D393" t="s">
        <v>795</v>
      </c>
      <c r="E393">
        <v>35456</v>
      </c>
      <c r="F393" t="s">
        <v>796</v>
      </c>
      <c r="G393" t="s">
        <v>797</v>
      </c>
      <c r="H393" t="s">
        <v>761</v>
      </c>
      <c r="I393" t="s">
        <v>797</v>
      </c>
      <c r="L393" t="b">
        <v>0</v>
      </c>
      <c r="M393" t="s">
        <v>112</v>
      </c>
      <c r="N393" t="s">
        <v>32</v>
      </c>
      <c r="O393" t="s">
        <v>32</v>
      </c>
      <c r="P393" t="s">
        <v>33</v>
      </c>
      <c r="Q393">
        <v>1</v>
      </c>
      <c r="R393">
        <v>3</v>
      </c>
      <c r="S393">
        <v>101.875</v>
      </c>
      <c r="T393">
        <v>2059164</v>
      </c>
      <c r="U393">
        <v>2806932</v>
      </c>
      <c r="V393">
        <v>0.73360000000000003</v>
      </c>
      <c r="W393">
        <v>45018022.789999999</v>
      </c>
      <c r="X393">
        <v>1952733281.96</v>
      </c>
      <c r="Y393">
        <v>1997751304.75</v>
      </c>
    </row>
    <row r="394" spans="1:25" x14ac:dyDescent="0.25">
      <c r="A394">
        <v>20</v>
      </c>
      <c r="B394" t="s">
        <v>25</v>
      </c>
      <c r="C394" t="s">
        <v>26</v>
      </c>
      <c r="D394" t="s">
        <v>798</v>
      </c>
      <c r="E394">
        <v>152069</v>
      </c>
      <c r="F394" t="s">
        <v>799</v>
      </c>
      <c r="G394" t="s">
        <v>800</v>
      </c>
      <c r="H394" t="s">
        <v>362</v>
      </c>
      <c r="I394" t="s">
        <v>801</v>
      </c>
      <c r="J394" t="s">
        <v>799</v>
      </c>
      <c r="K394" t="s">
        <v>802</v>
      </c>
      <c r="L394" t="b">
        <v>1</v>
      </c>
      <c r="M394" t="s">
        <v>44</v>
      </c>
      <c r="N394" t="s">
        <v>32</v>
      </c>
      <c r="O394" t="s">
        <v>26</v>
      </c>
      <c r="P394" t="s">
        <v>33</v>
      </c>
      <c r="Q394">
        <v>1</v>
      </c>
      <c r="R394">
        <v>3</v>
      </c>
      <c r="S394">
        <v>100.84</v>
      </c>
      <c r="T394">
        <v>5000000</v>
      </c>
      <c r="U394">
        <v>5000000</v>
      </c>
      <c r="V394">
        <v>1</v>
      </c>
      <c r="W394">
        <v>79995781.25</v>
      </c>
      <c r="X394">
        <v>4693396120</v>
      </c>
      <c r="Y394">
        <v>4773391901.25</v>
      </c>
    </row>
    <row r="395" spans="1:25" x14ac:dyDescent="0.25">
      <c r="A395">
        <v>20</v>
      </c>
      <c r="B395" t="s">
        <v>25</v>
      </c>
      <c r="C395" t="s">
        <v>26</v>
      </c>
      <c r="D395" t="s">
        <v>359</v>
      </c>
      <c r="E395">
        <v>152071</v>
      </c>
      <c r="F395" t="s">
        <v>360</v>
      </c>
      <c r="G395" t="s">
        <v>361</v>
      </c>
      <c r="H395" t="s">
        <v>362</v>
      </c>
      <c r="I395" t="s">
        <v>363</v>
      </c>
      <c r="J395" t="s">
        <v>360</v>
      </c>
      <c r="K395" t="s">
        <v>364</v>
      </c>
      <c r="L395" t="b">
        <v>1</v>
      </c>
      <c r="M395" t="s">
        <v>44</v>
      </c>
      <c r="N395" t="s">
        <v>32</v>
      </c>
      <c r="O395" t="s">
        <v>26</v>
      </c>
      <c r="P395" t="s">
        <v>33</v>
      </c>
      <c r="Q395">
        <v>1</v>
      </c>
      <c r="R395">
        <v>3</v>
      </c>
      <c r="S395">
        <v>100.86005</v>
      </c>
      <c r="T395">
        <v>5000000</v>
      </c>
      <c r="U395">
        <v>5000000</v>
      </c>
      <c r="V395">
        <v>1</v>
      </c>
      <c r="W395">
        <v>83631953.129999995</v>
      </c>
      <c r="X395">
        <v>4694329307.1499996</v>
      </c>
      <c r="Y395">
        <v>4777961260.2799997</v>
      </c>
    </row>
    <row r="396" spans="1:25" x14ac:dyDescent="0.25">
      <c r="A396">
        <v>20</v>
      </c>
      <c r="B396" t="s">
        <v>25</v>
      </c>
      <c r="C396" t="s">
        <v>26</v>
      </c>
      <c r="D396" t="s">
        <v>1459</v>
      </c>
      <c r="E396">
        <v>213784</v>
      </c>
      <c r="F396" t="s">
        <v>1460</v>
      </c>
      <c r="G396" t="s">
        <v>1461</v>
      </c>
      <c r="H396" t="s">
        <v>1462</v>
      </c>
      <c r="I396" t="s">
        <v>1463</v>
      </c>
      <c r="L396" t="b">
        <v>1</v>
      </c>
      <c r="M396" t="s">
        <v>50</v>
      </c>
      <c r="N396" t="s">
        <v>32</v>
      </c>
      <c r="O396" t="s">
        <v>26</v>
      </c>
      <c r="P396" t="s">
        <v>33</v>
      </c>
      <c r="Q396">
        <v>1</v>
      </c>
      <c r="R396">
        <v>3</v>
      </c>
      <c r="S396">
        <v>101.52500000000001</v>
      </c>
      <c r="T396">
        <v>1100000</v>
      </c>
      <c r="U396">
        <v>1100000</v>
      </c>
      <c r="V396">
        <v>1</v>
      </c>
      <c r="W396">
        <v>13510398.609999999</v>
      </c>
      <c r="X396">
        <v>1039561176.5</v>
      </c>
      <c r="Y396">
        <v>1053071575.11</v>
      </c>
    </row>
    <row r="397" spans="1:25" x14ac:dyDescent="0.25">
      <c r="A397">
        <v>20</v>
      </c>
      <c r="B397" t="s">
        <v>25</v>
      </c>
      <c r="C397" t="s">
        <v>26</v>
      </c>
      <c r="D397" t="s">
        <v>381</v>
      </c>
      <c r="E397">
        <v>223116</v>
      </c>
      <c r="F397" t="s">
        <v>382</v>
      </c>
      <c r="G397" t="s">
        <v>383</v>
      </c>
      <c r="H397" t="s">
        <v>384</v>
      </c>
      <c r="I397" t="s">
        <v>385</v>
      </c>
      <c r="J397" t="s">
        <v>382</v>
      </c>
      <c r="K397" t="s">
        <v>386</v>
      </c>
      <c r="L397" t="b">
        <v>1</v>
      </c>
      <c r="M397" t="s">
        <v>81</v>
      </c>
      <c r="N397" t="s">
        <v>32</v>
      </c>
      <c r="O397" t="s">
        <v>26</v>
      </c>
      <c r="P397" t="s">
        <v>33</v>
      </c>
      <c r="Q397">
        <v>1</v>
      </c>
      <c r="R397">
        <v>3</v>
      </c>
      <c r="S397">
        <v>93.855900000000005</v>
      </c>
      <c r="T397">
        <v>3200000</v>
      </c>
      <c r="U397">
        <v>3200000</v>
      </c>
      <c r="V397">
        <v>1</v>
      </c>
      <c r="W397">
        <v>19506688.440000001</v>
      </c>
      <c r="X397">
        <v>2795734498.3699999</v>
      </c>
      <c r="Y397">
        <v>2815241186.8099999</v>
      </c>
    </row>
    <row r="398" spans="1:25" x14ac:dyDescent="0.25">
      <c r="A398">
        <v>20</v>
      </c>
      <c r="B398" t="s">
        <v>25</v>
      </c>
      <c r="C398" t="s">
        <v>26</v>
      </c>
      <c r="D398" t="s">
        <v>387</v>
      </c>
      <c r="E398">
        <v>202700</v>
      </c>
      <c r="F398" t="s">
        <v>388</v>
      </c>
      <c r="G398" t="s">
        <v>389</v>
      </c>
      <c r="H398" t="s">
        <v>384</v>
      </c>
      <c r="I398" t="s">
        <v>390</v>
      </c>
      <c r="J398" t="s">
        <v>388</v>
      </c>
      <c r="K398" t="s">
        <v>391</v>
      </c>
      <c r="L398" t="b">
        <v>1</v>
      </c>
      <c r="M398" t="s">
        <v>81</v>
      </c>
      <c r="N398" t="s">
        <v>32</v>
      </c>
      <c r="O398" t="s">
        <v>26</v>
      </c>
      <c r="P398" t="s">
        <v>33</v>
      </c>
      <c r="Q398">
        <v>1</v>
      </c>
      <c r="R398">
        <v>3</v>
      </c>
      <c r="S398">
        <v>93.774050000000003</v>
      </c>
      <c r="T398">
        <v>2500000</v>
      </c>
      <c r="U398">
        <v>2500000</v>
      </c>
      <c r="V398">
        <v>1</v>
      </c>
      <c r="W398">
        <v>1228218.06</v>
      </c>
      <c r="X398">
        <v>2182262804.5700002</v>
      </c>
      <c r="Y398">
        <v>2183491022.6300001</v>
      </c>
    </row>
    <row r="399" spans="1:25" x14ac:dyDescent="0.25">
      <c r="A399">
        <v>20</v>
      </c>
      <c r="B399" t="s">
        <v>25</v>
      </c>
      <c r="C399" t="s">
        <v>26</v>
      </c>
      <c r="D399" t="s">
        <v>874</v>
      </c>
      <c r="E399">
        <v>225327</v>
      </c>
      <c r="F399" t="s">
        <v>875</v>
      </c>
      <c r="G399" t="s">
        <v>876</v>
      </c>
      <c r="H399" t="s">
        <v>877</v>
      </c>
      <c r="I399" t="s">
        <v>878</v>
      </c>
      <c r="L399" t="b">
        <v>1</v>
      </c>
      <c r="M399" t="s">
        <v>39</v>
      </c>
      <c r="N399" t="s">
        <v>32</v>
      </c>
      <c r="O399" t="s">
        <v>26</v>
      </c>
      <c r="P399" t="s">
        <v>33</v>
      </c>
      <c r="Q399">
        <v>1</v>
      </c>
      <c r="R399">
        <v>3</v>
      </c>
      <c r="S399">
        <v>100.512</v>
      </c>
      <c r="T399">
        <v>15000000</v>
      </c>
      <c r="U399">
        <v>15000000</v>
      </c>
      <c r="V399">
        <v>1</v>
      </c>
      <c r="W399">
        <v>59730183.329999998</v>
      </c>
      <c r="X399">
        <v>14034390048</v>
      </c>
      <c r="Y399">
        <v>14094120231.33</v>
      </c>
    </row>
    <row r="400" spans="1:25" x14ac:dyDescent="0.25">
      <c r="A400">
        <v>20</v>
      </c>
      <c r="B400" t="s">
        <v>25</v>
      </c>
      <c r="C400" t="s">
        <v>26</v>
      </c>
      <c r="D400" t="s">
        <v>889</v>
      </c>
      <c r="E400">
        <v>202363</v>
      </c>
      <c r="F400" t="s">
        <v>890</v>
      </c>
      <c r="G400" t="s">
        <v>891</v>
      </c>
      <c r="H400" t="s">
        <v>892</v>
      </c>
      <c r="I400" t="s">
        <v>893</v>
      </c>
      <c r="J400" t="s">
        <v>890</v>
      </c>
      <c r="K400" t="s">
        <v>894</v>
      </c>
      <c r="L400" t="b">
        <v>1</v>
      </c>
      <c r="M400" t="s">
        <v>895</v>
      </c>
      <c r="N400" t="s">
        <v>32</v>
      </c>
      <c r="O400" t="s">
        <v>26</v>
      </c>
      <c r="P400" t="s">
        <v>33</v>
      </c>
      <c r="Q400">
        <v>1</v>
      </c>
      <c r="R400">
        <v>3</v>
      </c>
      <c r="S400">
        <v>100.6611</v>
      </c>
      <c r="T400">
        <v>3000000</v>
      </c>
      <c r="U400">
        <v>3000000</v>
      </c>
      <c r="V400">
        <v>1</v>
      </c>
      <c r="W400">
        <v>53349913.75</v>
      </c>
      <c r="X400">
        <v>2811041746.3800001</v>
      </c>
      <c r="Y400">
        <v>2864391660.1300001</v>
      </c>
    </row>
    <row r="401" spans="1:25" x14ac:dyDescent="0.25">
      <c r="A401">
        <v>20</v>
      </c>
      <c r="B401" t="s">
        <v>25</v>
      </c>
      <c r="C401" t="s">
        <v>26</v>
      </c>
      <c r="D401" t="s">
        <v>392</v>
      </c>
      <c r="E401">
        <v>215023</v>
      </c>
      <c r="F401" t="s">
        <v>393</v>
      </c>
      <c r="G401" t="s">
        <v>394</v>
      </c>
      <c r="H401" t="s">
        <v>300</v>
      </c>
      <c r="I401" t="s">
        <v>395</v>
      </c>
      <c r="J401" t="s">
        <v>393</v>
      </c>
      <c r="K401" t="s">
        <v>396</v>
      </c>
      <c r="L401" t="b">
        <v>1</v>
      </c>
      <c r="M401" t="s">
        <v>44</v>
      </c>
      <c r="N401" t="s">
        <v>32</v>
      </c>
      <c r="O401" t="s">
        <v>26</v>
      </c>
      <c r="P401" t="s">
        <v>33</v>
      </c>
      <c r="Q401">
        <v>1</v>
      </c>
      <c r="R401">
        <v>3</v>
      </c>
      <c r="S401">
        <v>98.731250000000003</v>
      </c>
      <c r="T401">
        <v>4000000</v>
      </c>
      <c r="U401">
        <v>4000000</v>
      </c>
      <c r="V401">
        <v>1</v>
      </c>
      <c r="W401">
        <v>57491051.310000002</v>
      </c>
      <c r="X401">
        <v>3676198855.0100002</v>
      </c>
      <c r="Y401">
        <v>3733689906.3200002</v>
      </c>
    </row>
    <row r="402" spans="1:25" x14ac:dyDescent="0.25">
      <c r="A402">
        <v>20</v>
      </c>
      <c r="B402" t="s">
        <v>25</v>
      </c>
      <c r="C402" t="s">
        <v>26</v>
      </c>
      <c r="D402" t="s">
        <v>397</v>
      </c>
      <c r="E402">
        <v>131577</v>
      </c>
      <c r="F402" t="s">
        <v>398</v>
      </c>
      <c r="G402" t="s">
        <v>399</v>
      </c>
      <c r="H402" t="s">
        <v>400</v>
      </c>
      <c r="I402" t="s">
        <v>399</v>
      </c>
      <c r="L402" t="b">
        <v>0</v>
      </c>
      <c r="M402" t="s">
        <v>81</v>
      </c>
      <c r="N402" t="s">
        <v>32</v>
      </c>
      <c r="O402" t="s">
        <v>26</v>
      </c>
      <c r="P402" t="s">
        <v>33</v>
      </c>
      <c r="Q402">
        <v>1</v>
      </c>
      <c r="R402">
        <v>3</v>
      </c>
      <c r="S402">
        <v>110.64100000000001</v>
      </c>
      <c r="T402">
        <v>5772000</v>
      </c>
      <c r="U402">
        <v>5772000</v>
      </c>
      <c r="V402">
        <v>1</v>
      </c>
      <c r="W402">
        <v>271052818.17000002</v>
      </c>
      <c r="X402">
        <v>5944656754.3299999</v>
      </c>
      <c r="Y402">
        <v>6215709572.5</v>
      </c>
    </row>
    <row r="403" spans="1:25" x14ac:dyDescent="0.25">
      <c r="A403">
        <v>20</v>
      </c>
      <c r="B403" t="s">
        <v>25</v>
      </c>
      <c r="C403" t="s">
        <v>26</v>
      </c>
      <c r="D403" t="s">
        <v>401</v>
      </c>
      <c r="E403">
        <v>35570</v>
      </c>
      <c r="F403" t="s">
        <v>402</v>
      </c>
      <c r="G403" t="s">
        <v>403</v>
      </c>
      <c r="H403" t="s">
        <v>404</v>
      </c>
      <c r="I403" t="s">
        <v>405</v>
      </c>
      <c r="L403" t="b">
        <v>1</v>
      </c>
      <c r="M403" t="s">
        <v>44</v>
      </c>
      <c r="N403" t="s">
        <v>32</v>
      </c>
      <c r="O403" t="s">
        <v>26</v>
      </c>
      <c r="P403" t="s">
        <v>33</v>
      </c>
      <c r="Q403">
        <v>1</v>
      </c>
      <c r="R403">
        <v>3</v>
      </c>
      <c r="S403">
        <v>95.114757142900004</v>
      </c>
      <c r="T403">
        <v>9500000</v>
      </c>
      <c r="U403">
        <v>9500000</v>
      </c>
      <c r="V403">
        <v>1</v>
      </c>
      <c r="W403">
        <v>9764333.5300000012</v>
      </c>
      <c r="X403">
        <v>8411159670.5599995</v>
      </c>
      <c r="Y403">
        <v>8420924004.0899992</v>
      </c>
    </row>
    <row r="404" spans="1:25" x14ac:dyDescent="0.25">
      <c r="A404">
        <v>20</v>
      </c>
      <c r="B404" t="s">
        <v>25</v>
      </c>
      <c r="C404" t="s">
        <v>26</v>
      </c>
      <c r="D404" t="s">
        <v>414</v>
      </c>
      <c r="E404">
        <v>222125</v>
      </c>
      <c r="F404" t="s">
        <v>415</v>
      </c>
      <c r="G404" t="s">
        <v>416</v>
      </c>
      <c r="H404" t="s">
        <v>404</v>
      </c>
      <c r="I404" t="s">
        <v>417</v>
      </c>
      <c r="J404" t="s">
        <v>415</v>
      </c>
      <c r="K404" t="s">
        <v>418</v>
      </c>
      <c r="L404" t="b">
        <v>1</v>
      </c>
      <c r="M404" t="s">
        <v>44</v>
      </c>
      <c r="N404" t="s">
        <v>32</v>
      </c>
      <c r="O404" t="s">
        <v>26</v>
      </c>
      <c r="P404" t="s">
        <v>33</v>
      </c>
      <c r="Q404">
        <v>1</v>
      </c>
      <c r="R404">
        <v>3</v>
      </c>
      <c r="S404">
        <v>99.855112500000004</v>
      </c>
      <c r="T404">
        <v>3500000</v>
      </c>
      <c r="U404">
        <v>3500000</v>
      </c>
      <c r="V404">
        <v>1</v>
      </c>
      <c r="W404">
        <v>26064080</v>
      </c>
      <c r="X404">
        <v>3253289553.0900002</v>
      </c>
      <c r="Y404">
        <v>3279353633.0900002</v>
      </c>
    </row>
    <row r="405" spans="1:25" x14ac:dyDescent="0.25">
      <c r="A405">
        <v>20</v>
      </c>
      <c r="B405" t="s">
        <v>25</v>
      </c>
      <c r="C405" t="s">
        <v>26</v>
      </c>
      <c r="D405" t="s">
        <v>437</v>
      </c>
      <c r="E405">
        <v>96458</v>
      </c>
      <c r="F405" t="s">
        <v>438</v>
      </c>
      <c r="G405" t="s">
        <v>439</v>
      </c>
      <c r="H405" t="s">
        <v>422</v>
      </c>
      <c r="I405" t="s">
        <v>440</v>
      </c>
      <c r="L405" t="b">
        <v>1</v>
      </c>
      <c r="M405" t="s">
        <v>44</v>
      </c>
      <c r="N405" t="s">
        <v>32</v>
      </c>
      <c r="O405" t="s">
        <v>26</v>
      </c>
      <c r="P405" t="s">
        <v>33</v>
      </c>
      <c r="Q405">
        <v>1</v>
      </c>
      <c r="R405">
        <v>3</v>
      </c>
      <c r="S405">
        <v>107.2377666667</v>
      </c>
      <c r="T405">
        <v>9500000</v>
      </c>
      <c r="U405">
        <v>9500000</v>
      </c>
      <c r="V405">
        <v>1</v>
      </c>
      <c r="W405">
        <v>64346343.919999987</v>
      </c>
      <c r="X405">
        <v>9483218007.4300003</v>
      </c>
      <c r="Y405">
        <v>9547564351.3500004</v>
      </c>
    </row>
    <row r="406" spans="1:25" x14ac:dyDescent="0.25">
      <c r="A406">
        <v>20</v>
      </c>
      <c r="B406" t="s">
        <v>25</v>
      </c>
      <c r="C406" t="s">
        <v>26</v>
      </c>
      <c r="D406" t="s">
        <v>906</v>
      </c>
      <c r="E406">
        <v>146582</v>
      </c>
      <c r="F406" t="s">
        <v>905</v>
      </c>
      <c r="G406" t="s">
        <v>907</v>
      </c>
      <c r="H406" t="s">
        <v>444</v>
      </c>
      <c r="I406" t="s">
        <v>904</v>
      </c>
      <c r="J406" t="s">
        <v>902</v>
      </c>
      <c r="K406" t="s">
        <v>902</v>
      </c>
      <c r="L406" t="b">
        <v>1</v>
      </c>
      <c r="M406" t="s">
        <v>50</v>
      </c>
      <c r="N406" t="s">
        <v>32</v>
      </c>
      <c r="O406" t="s">
        <v>26</v>
      </c>
      <c r="P406" t="s">
        <v>33</v>
      </c>
      <c r="Q406">
        <v>1</v>
      </c>
      <c r="R406">
        <v>3</v>
      </c>
      <c r="S406">
        <v>104.55631</v>
      </c>
      <c r="T406">
        <v>11500000</v>
      </c>
      <c r="U406">
        <v>11500000</v>
      </c>
      <c r="V406">
        <v>1</v>
      </c>
      <c r="W406">
        <v>307765587.5</v>
      </c>
      <c r="X406">
        <v>11192637973.559999</v>
      </c>
      <c r="Y406">
        <v>11500403561.059999</v>
      </c>
    </row>
    <row r="407" spans="1:25" x14ac:dyDescent="0.25">
      <c r="A407">
        <v>20</v>
      </c>
      <c r="B407" t="s">
        <v>25</v>
      </c>
      <c r="C407" t="s">
        <v>26</v>
      </c>
      <c r="D407" t="s">
        <v>441</v>
      </c>
      <c r="E407">
        <v>121311</v>
      </c>
      <c r="F407" t="s">
        <v>442</v>
      </c>
      <c r="G407" t="s">
        <v>443</v>
      </c>
      <c r="H407" t="s">
        <v>444</v>
      </c>
      <c r="I407" t="s">
        <v>445</v>
      </c>
      <c r="L407" t="b">
        <v>1</v>
      </c>
      <c r="M407" t="s">
        <v>50</v>
      </c>
      <c r="N407" t="s">
        <v>32</v>
      </c>
      <c r="O407" t="s">
        <v>26</v>
      </c>
      <c r="P407" t="s">
        <v>33</v>
      </c>
      <c r="Q407">
        <v>1</v>
      </c>
      <c r="R407">
        <v>3</v>
      </c>
      <c r="S407">
        <v>105.70869999999999</v>
      </c>
      <c r="T407">
        <v>7000000</v>
      </c>
      <c r="U407">
        <v>7000000</v>
      </c>
      <c r="V407">
        <v>1</v>
      </c>
      <c r="W407">
        <v>270822081.25</v>
      </c>
      <c r="X407">
        <v>6888000033.7399998</v>
      </c>
      <c r="Y407">
        <v>7158822114.9899998</v>
      </c>
    </row>
    <row r="408" spans="1:25" x14ac:dyDescent="0.25">
      <c r="A408">
        <v>20</v>
      </c>
      <c r="B408" t="s">
        <v>25</v>
      </c>
      <c r="C408" t="s">
        <v>26</v>
      </c>
      <c r="D408" t="s">
        <v>460</v>
      </c>
      <c r="E408">
        <v>32264</v>
      </c>
      <c r="F408" t="s">
        <v>461</v>
      </c>
      <c r="G408" t="s">
        <v>462</v>
      </c>
      <c r="H408" t="s">
        <v>463</v>
      </c>
      <c r="I408" t="s">
        <v>464</v>
      </c>
      <c r="L408" t="b">
        <v>1</v>
      </c>
      <c r="M408" t="s">
        <v>44</v>
      </c>
      <c r="N408" t="s">
        <v>32</v>
      </c>
      <c r="O408" t="s">
        <v>26</v>
      </c>
      <c r="P408" t="s">
        <v>33</v>
      </c>
      <c r="Q408">
        <v>1</v>
      </c>
      <c r="R408">
        <v>3</v>
      </c>
      <c r="S408">
        <v>99.778667857100004</v>
      </c>
      <c r="T408">
        <v>2480000</v>
      </c>
      <c r="U408">
        <v>2480000</v>
      </c>
      <c r="V408">
        <v>1</v>
      </c>
      <c r="W408">
        <v>29477398.82</v>
      </c>
      <c r="X408">
        <v>2303423281.519999</v>
      </c>
      <c r="Y408">
        <v>2332900680.3399992</v>
      </c>
    </row>
    <row r="409" spans="1:25" x14ac:dyDescent="0.25">
      <c r="A409">
        <v>20</v>
      </c>
      <c r="B409" t="s">
        <v>25</v>
      </c>
      <c r="C409" t="s">
        <v>26</v>
      </c>
      <c r="D409" t="s">
        <v>465</v>
      </c>
      <c r="E409">
        <v>216347</v>
      </c>
      <c r="F409" t="s">
        <v>466</v>
      </c>
      <c r="G409" t="s">
        <v>467</v>
      </c>
      <c r="H409" t="s">
        <v>463</v>
      </c>
      <c r="I409" t="s">
        <v>468</v>
      </c>
      <c r="J409" t="s">
        <v>466</v>
      </c>
      <c r="K409" t="s">
        <v>469</v>
      </c>
      <c r="L409" t="b">
        <v>1</v>
      </c>
      <c r="M409" t="s">
        <v>44</v>
      </c>
      <c r="N409" t="s">
        <v>32</v>
      </c>
      <c r="O409" t="s">
        <v>26</v>
      </c>
      <c r="P409" t="s">
        <v>33</v>
      </c>
      <c r="Q409">
        <v>1</v>
      </c>
      <c r="R409">
        <v>3</v>
      </c>
      <c r="S409">
        <v>98.451099999999997</v>
      </c>
      <c r="T409">
        <v>3000000</v>
      </c>
      <c r="U409">
        <v>3000000</v>
      </c>
      <c r="V409">
        <v>1</v>
      </c>
      <c r="W409">
        <v>35372680</v>
      </c>
      <c r="X409">
        <v>2749325728.3800001</v>
      </c>
      <c r="Y409">
        <v>2784698408.3800001</v>
      </c>
    </row>
    <row r="410" spans="1:25" x14ac:dyDescent="0.25">
      <c r="A410">
        <v>20</v>
      </c>
      <c r="B410" t="s">
        <v>25</v>
      </c>
      <c r="C410" t="s">
        <v>26</v>
      </c>
      <c r="D410" t="s">
        <v>984</v>
      </c>
      <c r="E410">
        <v>177297</v>
      </c>
      <c r="F410" t="s">
        <v>985</v>
      </c>
      <c r="G410" t="s">
        <v>986</v>
      </c>
      <c r="H410" t="s">
        <v>987</v>
      </c>
      <c r="I410" t="s">
        <v>986</v>
      </c>
      <c r="L410" t="b">
        <v>0</v>
      </c>
      <c r="M410" t="s">
        <v>112</v>
      </c>
      <c r="N410" t="s">
        <v>32</v>
      </c>
      <c r="O410" t="s">
        <v>32</v>
      </c>
      <c r="P410" t="s">
        <v>33</v>
      </c>
      <c r="Q410">
        <v>1</v>
      </c>
      <c r="R410">
        <v>3</v>
      </c>
      <c r="S410">
        <v>100</v>
      </c>
      <c r="T410">
        <v>3048000</v>
      </c>
      <c r="U410">
        <v>3048000</v>
      </c>
      <c r="V410">
        <v>1</v>
      </c>
      <c r="W410">
        <v>16191041.140000001</v>
      </c>
      <c r="X410">
        <v>2837261280</v>
      </c>
      <c r="Y410">
        <v>2853452321.1399999</v>
      </c>
    </row>
    <row r="411" spans="1:25" x14ac:dyDescent="0.25">
      <c r="A411">
        <v>16</v>
      </c>
      <c r="B411" t="s">
        <v>578</v>
      </c>
      <c r="C411" t="s">
        <v>32</v>
      </c>
      <c r="D411" t="s">
        <v>1464</v>
      </c>
      <c r="E411">
        <v>123483</v>
      </c>
      <c r="F411" t="s">
        <v>1465</v>
      </c>
      <c r="G411" t="s">
        <v>1466</v>
      </c>
      <c r="H411" t="s">
        <v>1297</v>
      </c>
      <c r="I411" t="s">
        <v>1467</v>
      </c>
      <c r="L411" t="b">
        <v>1</v>
      </c>
      <c r="M411" t="s">
        <v>31</v>
      </c>
      <c r="N411" t="s">
        <v>32</v>
      </c>
      <c r="P411" t="s">
        <v>579</v>
      </c>
      <c r="Q411">
        <v>1</v>
      </c>
      <c r="R411">
        <v>3</v>
      </c>
      <c r="S411">
        <v>52.537999999999997</v>
      </c>
      <c r="T411">
        <v>14689000</v>
      </c>
      <c r="U411">
        <v>14689000</v>
      </c>
      <c r="V411">
        <v>1</v>
      </c>
      <c r="W411">
        <v>0</v>
      </c>
      <c r="X411">
        <v>7717306.8200000003</v>
      </c>
      <c r="Y411">
        <v>7717306.8200000003</v>
      </c>
    </row>
    <row r="412" spans="1:25" x14ac:dyDescent="0.25">
      <c r="A412">
        <v>16</v>
      </c>
      <c r="B412" t="s">
        <v>578</v>
      </c>
      <c r="C412" t="s">
        <v>32</v>
      </c>
      <c r="D412" t="s">
        <v>1468</v>
      </c>
      <c r="E412">
        <v>1653</v>
      </c>
      <c r="F412" t="s">
        <v>1469</v>
      </c>
      <c r="G412" t="s">
        <v>1470</v>
      </c>
      <c r="H412" t="s">
        <v>1471</v>
      </c>
      <c r="I412" t="s">
        <v>1472</v>
      </c>
      <c r="L412" t="b">
        <v>1</v>
      </c>
      <c r="M412" t="s">
        <v>31</v>
      </c>
      <c r="N412" t="s">
        <v>32</v>
      </c>
      <c r="P412" t="s">
        <v>579</v>
      </c>
      <c r="Q412">
        <v>1</v>
      </c>
      <c r="R412">
        <v>3</v>
      </c>
      <c r="S412">
        <v>98.882189999999994</v>
      </c>
      <c r="T412">
        <v>550000</v>
      </c>
      <c r="U412">
        <v>550000</v>
      </c>
      <c r="V412">
        <v>1</v>
      </c>
      <c r="W412">
        <v>1058.75</v>
      </c>
      <c r="X412">
        <v>543852.04</v>
      </c>
      <c r="Y412">
        <v>544910.79</v>
      </c>
    </row>
    <row r="413" spans="1:25" x14ac:dyDescent="0.25">
      <c r="A413">
        <v>16</v>
      </c>
      <c r="B413" t="s">
        <v>578</v>
      </c>
      <c r="C413" t="s">
        <v>32</v>
      </c>
      <c r="D413" t="s">
        <v>1473</v>
      </c>
      <c r="E413">
        <v>1062</v>
      </c>
      <c r="F413" t="s">
        <v>1474</v>
      </c>
      <c r="G413" t="s">
        <v>1475</v>
      </c>
      <c r="H413" t="s">
        <v>1476</v>
      </c>
      <c r="I413" t="s">
        <v>1477</v>
      </c>
      <c r="L413" t="b">
        <v>1</v>
      </c>
      <c r="M413" t="s">
        <v>31</v>
      </c>
      <c r="N413" t="s">
        <v>32</v>
      </c>
      <c r="P413" t="s">
        <v>579</v>
      </c>
      <c r="Q413">
        <v>1</v>
      </c>
      <c r="R413">
        <v>3</v>
      </c>
      <c r="S413">
        <v>102.2604333333</v>
      </c>
      <c r="T413">
        <v>86850</v>
      </c>
      <c r="U413">
        <v>250000</v>
      </c>
      <c r="V413">
        <v>0.34739999999999999</v>
      </c>
      <c r="W413">
        <v>494.56</v>
      </c>
      <c r="X413">
        <v>88813.19</v>
      </c>
      <c r="Y413">
        <v>89307.75</v>
      </c>
    </row>
    <row r="414" spans="1:25" x14ac:dyDescent="0.25">
      <c r="A414">
        <v>16</v>
      </c>
      <c r="B414" t="s">
        <v>578</v>
      </c>
      <c r="C414" t="s">
        <v>32</v>
      </c>
      <c r="D414" t="s">
        <v>1478</v>
      </c>
      <c r="E414">
        <v>132062</v>
      </c>
      <c r="F414" t="s">
        <v>596</v>
      </c>
      <c r="G414" t="s">
        <v>1479</v>
      </c>
      <c r="H414" t="s">
        <v>594</v>
      </c>
      <c r="I414" t="s">
        <v>595</v>
      </c>
      <c r="J414" t="s">
        <v>592</v>
      </c>
      <c r="K414" t="s">
        <v>592</v>
      </c>
      <c r="L414" t="b">
        <v>1</v>
      </c>
      <c r="M414" t="s">
        <v>31</v>
      </c>
      <c r="N414" t="s">
        <v>32</v>
      </c>
      <c r="P414" t="s">
        <v>579</v>
      </c>
      <c r="Q414">
        <v>1</v>
      </c>
      <c r="R414">
        <v>3</v>
      </c>
      <c r="S414">
        <v>100.744</v>
      </c>
      <c r="T414">
        <v>35991</v>
      </c>
      <c r="U414">
        <v>35991</v>
      </c>
      <c r="V414">
        <v>1</v>
      </c>
      <c r="W414">
        <v>278.92</v>
      </c>
      <c r="X414">
        <v>36258.769999999997</v>
      </c>
      <c r="Y414">
        <v>36537.69</v>
      </c>
    </row>
    <row r="415" spans="1:25" x14ac:dyDescent="0.25">
      <c r="A415">
        <v>16</v>
      </c>
      <c r="B415" t="s">
        <v>578</v>
      </c>
      <c r="C415" t="s">
        <v>32</v>
      </c>
      <c r="D415" t="s">
        <v>591</v>
      </c>
      <c r="E415">
        <v>114867</v>
      </c>
      <c r="F415" t="s">
        <v>592</v>
      </c>
      <c r="G415" t="s">
        <v>593</v>
      </c>
      <c r="H415" t="s">
        <v>594</v>
      </c>
      <c r="I415" t="s">
        <v>595</v>
      </c>
      <c r="J415" t="s">
        <v>592</v>
      </c>
      <c r="K415" t="s">
        <v>596</v>
      </c>
      <c r="L415" t="b">
        <v>1</v>
      </c>
      <c r="M415" t="s">
        <v>31</v>
      </c>
      <c r="N415" t="s">
        <v>32</v>
      </c>
      <c r="P415" t="s">
        <v>579</v>
      </c>
      <c r="Q415">
        <v>1</v>
      </c>
      <c r="R415">
        <v>3</v>
      </c>
      <c r="S415">
        <v>100.744</v>
      </c>
      <c r="T415">
        <v>45849439</v>
      </c>
      <c r="U415">
        <v>45849439</v>
      </c>
      <c r="V415">
        <v>1</v>
      </c>
      <c r="W415">
        <v>355333.15000000008</v>
      </c>
      <c r="X415">
        <v>46190558.830000013</v>
      </c>
      <c r="Y415">
        <v>46545891.980000012</v>
      </c>
    </row>
    <row r="416" spans="1:25" x14ac:dyDescent="0.25">
      <c r="A416">
        <v>16</v>
      </c>
      <c r="B416" t="s">
        <v>578</v>
      </c>
      <c r="C416" t="s">
        <v>32</v>
      </c>
      <c r="D416" t="s">
        <v>1480</v>
      </c>
      <c r="E416">
        <v>203890</v>
      </c>
      <c r="F416" t="s">
        <v>1481</v>
      </c>
      <c r="G416" t="s">
        <v>1482</v>
      </c>
      <c r="H416" t="s">
        <v>1483</v>
      </c>
      <c r="I416" t="s">
        <v>1484</v>
      </c>
      <c r="J416" t="s">
        <v>1481</v>
      </c>
      <c r="K416" t="s">
        <v>1485</v>
      </c>
      <c r="L416" t="b">
        <v>1</v>
      </c>
      <c r="M416" t="s">
        <v>31</v>
      </c>
      <c r="N416" t="s">
        <v>32</v>
      </c>
      <c r="P416" t="s">
        <v>579</v>
      </c>
      <c r="Q416">
        <v>1</v>
      </c>
      <c r="R416">
        <v>3</v>
      </c>
      <c r="S416">
        <v>95.389588888899993</v>
      </c>
      <c r="T416">
        <v>2200000</v>
      </c>
      <c r="U416">
        <v>2200000</v>
      </c>
      <c r="V416">
        <v>1</v>
      </c>
      <c r="W416">
        <v>62547.22</v>
      </c>
      <c r="X416">
        <v>2098570.96</v>
      </c>
      <c r="Y416">
        <v>2161118.1800000002</v>
      </c>
    </row>
    <row r="417" spans="1:25" x14ac:dyDescent="0.25">
      <c r="A417">
        <v>16</v>
      </c>
      <c r="B417" t="s">
        <v>578</v>
      </c>
      <c r="C417" t="s">
        <v>32</v>
      </c>
      <c r="D417" t="s">
        <v>1486</v>
      </c>
      <c r="E417">
        <v>203892</v>
      </c>
      <c r="F417" t="s">
        <v>1487</v>
      </c>
      <c r="G417" t="s">
        <v>1488</v>
      </c>
      <c r="H417" t="s">
        <v>1483</v>
      </c>
      <c r="I417" t="s">
        <v>1489</v>
      </c>
      <c r="J417" t="s">
        <v>1487</v>
      </c>
      <c r="K417" t="s">
        <v>1490</v>
      </c>
      <c r="L417" t="b">
        <v>1</v>
      </c>
      <c r="M417" t="s">
        <v>31</v>
      </c>
      <c r="N417" t="s">
        <v>32</v>
      </c>
      <c r="P417" t="s">
        <v>579</v>
      </c>
      <c r="Q417">
        <v>1</v>
      </c>
      <c r="R417">
        <v>3</v>
      </c>
      <c r="S417">
        <v>91.288349999999994</v>
      </c>
      <c r="T417">
        <v>1800000</v>
      </c>
      <c r="U417">
        <v>1800000</v>
      </c>
      <c r="V417">
        <v>1</v>
      </c>
      <c r="W417">
        <v>57850</v>
      </c>
      <c r="X417">
        <v>1643190.3</v>
      </c>
      <c r="Y417">
        <v>1701040.3</v>
      </c>
    </row>
    <row r="418" spans="1:25" x14ac:dyDescent="0.25">
      <c r="A418">
        <v>16</v>
      </c>
      <c r="B418" t="s">
        <v>578</v>
      </c>
      <c r="C418" t="s">
        <v>32</v>
      </c>
      <c r="D418" t="s">
        <v>1491</v>
      </c>
      <c r="E418">
        <v>203105</v>
      </c>
      <c r="F418" t="s">
        <v>1492</v>
      </c>
      <c r="G418" t="s">
        <v>1493</v>
      </c>
      <c r="H418" t="s">
        <v>1494</v>
      </c>
      <c r="I418" t="s">
        <v>1495</v>
      </c>
      <c r="L418" t="b">
        <v>1</v>
      </c>
      <c r="M418" t="s">
        <v>112</v>
      </c>
      <c r="N418" t="s">
        <v>32</v>
      </c>
      <c r="P418" t="s">
        <v>579</v>
      </c>
      <c r="Q418">
        <v>1</v>
      </c>
      <c r="R418">
        <v>3</v>
      </c>
      <c r="S418">
        <v>65.2</v>
      </c>
      <c r="T418">
        <v>2000000</v>
      </c>
      <c r="U418">
        <v>2000000</v>
      </c>
      <c r="V418">
        <v>1</v>
      </c>
      <c r="W418">
        <v>20444.439999999999</v>
      </c>
      <c r="X418">
        <v>1304000</v>
      </c>
      <c r="Y418">
        <v>1324444.44</v>
      </c>
    </row>
    <row r="419" spans="1:25" x14ac:dyDescent="0.25">
      <c r="A419">
        <v>16</v>
      </c>
      <c r="B419" t="s">
        <v>578</v>
      </c>
      <c r="C419" t="s">
        <v>32</v>
      </c>
      <c r="D419" t="s">
        <v>1496</v>
      </c>
      <c r="E419">
        <v>119726</v>
      </c>
      <c r="F419" t="s">
        <v>1497</v>
      </c>
      <c r="G419" t="s">
        <v>1498</v>
      </c>
      <c r="H419" t="s">
        <v>1499</v>
      </c>
      <c r="I419" t="s">
        <v>1498</v>
      </c>
      <c r="L419" t="b">
        <v>0</v>
      </c>
      <c r="M419" t="s">
        <v>31</v>
      </c>
      <c r="N419" t="s">
        <v>32</v>
      </c>
      <c r="P419" t="s">
        <v>579</v>
      </c>
      <c r="Q419">
        <v>1</v>
      </c>
      <c r="R419">
        <v>3</v>
      </c>
      <c r="S419">
        <v>2.944</v>
      </c>
      <c r="T419">
        <v>1485943</v>
      </c>
      <c r="U419">
        <v>1485943</v>
      </c>
      <c r="V419">
        <v>1</v>
      </c>
      <c r="W419">
        <v>0</v>
      </c>
      <c r="X419">
        <v>43746.170000000187</v>
      </c>
      <c r="Y419">
        <v>43746.170000000187</v>
      </c>
    </row>
    <row r="420" spans="1:25" x14ac:dyDescent="0.25">
      <c r="A420">
        <v>16</v>
      </c>
      <c r="B420" t="s">
        <v>578</v>
      </c>
      <c r="C420" t="s">
        <v>32</v>
      </c>
      <c r="D420" t="s">
        <v>1500</v>
      </c>
      <c r="E420">
        <v>202993</v>
      </c>
      <c r="F420" t="s">
        <v>1501</v>
      </c>
      <c r="G420" t="s">
        <v>1502</v>
      </c>
      <c r="H420" t="s">
        <v>1503</v>
      </c>
      <c r="I420" t="s">
        <v>1504</v>
      </c>
      <c r="J420" t="s">
        <v>1501</v>
      </c>
      <c r="K420" t="s">
        <v>1505</v>
      </c>
      <c r="L420" t="b">
        <v>1</v>
      </c>
      <c r="M420" t="s">
        <v>112</v>
      </c>
      <c r="N420" t="s">
        <v>32</v>
      </c>
      <c r="P420" t="s">
        <v>579</v>
      </c>
      <c r="Q420">
        <v>1</v>
      </c>
      <c r="R420">
        <v>3</v>
      </c>
      <c r="S420">
        <v>104.41974</v>
      </c>
      <c r="T420">
        <v>10500000</v>
      </c>
      <c r="U420">
        <v>10500000</v>
      </c>
      <c r="V420">
        <v>1</v>
      </c>
      <c r="W420">
        <v>27270.83</v>
      </c>
      <c r="X420">
        <v>10964072.699999999</v>
      </c>
      <c r="Y420">
        <v>10991343.529999999</v>
      </c>
    </row>
    <row r="421" spans="1:25" x14ac:dyDescent="0.25">
      <c r="A421">
        <v>16</v>
      </c>
      <c r="B421" t="s">
        <v>578</v>
      </c>
      <c r="C421" t="s">
        <v>32</v>
      </c>
      <c r="D421" t="s">
        <v>1506</v>
      </c>
      <c r="E421">
        <v>173052</v>
      </c>
      <c r="F421" t="s">
        <v>1507</v>
      </c>
      <c r="G421" t="s">
        <v>1508</v>
      </c>
      <c r="H421" t="s">
        <v>1503</v>
      </c>
      <c r="I421" t="s">
        <v>1509</v>
      </c>
      <c r="J421" t="s">
        <v>1507</v>
      </c>
      <c r="K421" t="s">
        <v>1510</v>
      </c>
      <c r="L421" t="b">
        <v>1</v>
      </c>
      <c r="M421" t="s">
        <v>112</v>
      </c>
      <c r="N421" t="s">
        <v>32</v>
      </c>
      <c r="P421" t="s">
        <v>579</v>
      </c>
      <c r="Q421">
        <v>1</v>
      </c>
      <c r="R421">
        <v>3</v>
      </c>
      <c r="S421">
        <v>107.23609</v>
      </c>
      <c r="T421">
        <v>7050000</v>
      </c>
      <c r="U421">
        <v>7050000</v>
      </c>
      <c r="V421">
        <v>1</v>
      </c>
      <c r="W421">
        <v>114121.88</v>
      </c>
      <c r="X421">
        <v>7560144.3499999996</v>
      </c>
      <c r="Y421">
        <v>7674266.2300000004</v>
      </c>
    </row>
    <row r="422" spans="1:25" x14ac:dyDescent="0.25">
      <c r="A422">
        <v>16</v>
      </c>
      <c r="B422" t="s">
        <v>578</v>
      </c>
      <c r="C422" t="s">
        <v>32</v>
      </c>
      <c r="D422" t="s">
        <v>1511</v>
      </c>
      <c r="E422">
        <v>139012</v>
      </c>
      <c r="F422" t="s">
        <v>1512</v>
      </c>
      <c r="G422" t="s">
        <v>1513</v>
      </c>
      <c r="H422" t="s">
        <v>1503</v>
      </c>
      <c r="I422" t="s">
        <v>1514</v>
      </c>
      <c r="J422" t="s">
        <v>1512</v>
      </c>
      <c r="K422" t="s">
        <v>1515</v>
      </c>
      <c r="L422" t="b">
        <v>1</v>
      </c>
      <c r="M422" t="s">
        <v>112</v>
      </c>
      <c r="N422" t="s">
        <v>32</v>
      </c>
      <c r="P422" t="s">
        <v>579</v>
      </c>
      <c r="Q422">
        <v>1</v>
      </c>
      <c r="R422">
        <v>3</v>
      </c>
      <c r="S422">
        <v>108.4685375</v>
      </c>
      <c r="T422">
        <v>7220000</v>
      </c>
      <c r="U422">
        <v>7220000</v>
      </c>
      <c r="V422">
        <v>1</v>
      </c>
      <c r="W422">
        <v>20958.060000000001</v>
      </c>
      <c r="X422">
        <v>7831428.4100000001</v>
      </c>
      <c r="Y422">
        <v>7852386.4699999997</v>
      </c>
    </row>
    <row r="423" spans="1:25" x14ac:dyDescent="0.25">
      <c r="A423">
        <v>16</v>
      </c>
      <c r="B423" t="s">
        <v>578</v>
      </c>
      <c r="C423" t="s">
        <v>32</v>
      </c>
      <c r="D423" t="s">
        <v>1516</v>
      </c>
      <c r="E423">
        <v>159686</v>
      </c>
      <c r="F423" t="s">
        <v>1517</v>
      </c>
      <c r="G423" t="s">
        <v>1518</v>
      </c>
      <c r="H423" t="s">
        <v>1519</v>
      </c>
      <c r="I423" t="s">
        <v>1520</v>
      </c>
      <c r="J423" t="s">
        <v>1517</v>
      </c>
      <c r="K423" t="s">
        <v>1521</v>
      </c>
      <c r="L423" t="b">
        <v>1</v>
      </c>
      <c r="M423" t="s">
        <v>112</v>
      </c>
      <c r="N423" t="s">
        <v>32</v>
      </c>
      <c r="P423" t="s">
        <v>579</v>
      </c>
      <c r="Q423">
        <v>1</v>
      </c>
      <c r="R423">
        <v>3</v>
      </c>
      <c r="S423">
        <v>103.86499999999999</v>
      </c>
      <c r="T423">
        <v>7710000</v>
      </c>
      <c r="U423">
        <v>7710000</v>
      </c>
      <c r="V423">
        <v>1</v>
      </c>
      <c r="W423">
        <v>14697.19</v>
      </c>
      <c r="X423">
        <v>8007991.5</v>
      </c>
      <c r="Y423">
        <v>8022688.6900000004</v>
      </c>
    </row>
    <row r="424" spans="1:25" x14ac:dyDescent="0.25">
      <c r="A424">
        <v>16</v>
      </c>
      <c r="B424" t="s">
        <v>578</v>
      </c>
      <c r="C424" t="s">
        <v>32</v>
      </c>
      <c r="D424" t="s">
        <v>1522</v>
      </c>
      <c r="E424">
        <v>192587</v>
      </c>
      <c r="F424" t="s">
        <v>1523</v>
      </c>
      <c r="G424" t="s">
        <v>1524</v>
      </c>
      <c r="H424" t="s">
        <v>1519</v>
      </c>
      <c r="I424" t="s">
        <v>1525</v>
      </c>
      <c r="L424" t="b">
        <v>1</v>
      </c>
      <c r="M424" t="s">
        <v>112</v>
      </c>
      <c r="N424" t="s">
        <v>32</v>
      </c>
      <c r="P424" t="s">
        <v>579</v>
      </c>
      <c r="Q424">
        <v>1</v>
      </c>
      <c r="R424">
        <v>3</v>
      </c>
      <c r="S424">
        <v>103.001</v>
      </c>
      <c r="T424">
        <v>6500000</v>
      </c>
      <c r="U424">
        <v>6500000</v>
      </c>
      <c r="V424">
        <v>1</v>
      </c>
      <c r="W424">
        <v>121152.78</v>
      </c>
      <c r="X424">
        <v>6695065</v>
      </c>
      <c r="Y424">
        <v>6816217.7800000003</v>
      </c>
    </row>
    <row r="425" spans="1:25" x14ac:dyDescent="0.25">
      <c r="A425">
        <v>16</v>
      </c>
      <c r="B425" t="s">
        <v>578</v>
      </c>
      <c r="C425" t="s">
        <v>32</v>
      </c>
      <c r="D425" t="s">
        <v>75</v>
      </c>
      <c r="E425">
        <v>147061</v>
      </c>
      <c r="F425" t="s">
        <v>76</v>
      </c>
      <c r="G425" t="s">
        <v>77</v>
      </c>
      <c r="H425" t="s">
        <v>78</v>
      </c>
      <c r="I425" t="s">
        <v>79</v>
      </c>
      <c r="J425" t="s">
        <v>76</v>
      </c>
      <c r="K425" t="s">
        <v>80</v>
      </c>
      <c r="L425" t="b">
        <v>1</v>
      </c>
      <c r="M425" t="s">
        <v>81</v>
      </c>
      <c r="N425" t="s">
        <v>32</v>
      </c>
      <c r="P425" t="s">
        <v>579</v>
      </c>
      <c r="Q425">
        <v>1</v>
      </c>
      <c r="R425">
        <v>3</v>
      </c>
      <c r="S425">
        <v>102.93594</v>
      </c>
      <c r="T425">
        <v>7570000</v>
      </c>
      <c r="U425">
        <v>7570000</v>
      </c>
      <c r="V425">
        <v>1</v>
      </c>
      <c r="W425">
        <v>218373.47</v>
      </c>
      <c r="X425">
        <v>7792250.6600000011</v>
      </c>
      <c r="Y425">
        <v>8010624.1300000008</v>
      </c>
    </row>
    <row r="426" spans="1:25" x14ac:dyDescent="0.25">
      <c r="A426">
        <v>16</v>
      </c>
      <c r="B426" t="s">
        <v>578</v>
      </c>
      <c r="C426" t="s">
        <v>32</v>
      </c>
      <c r="D426" t="s">
        <v>1526</v>
      </c>
      <c r="E426">
        <v>913</v>
      </c>
      <c r="F426" t="s">
        <v>1527</v>
      </c>
      <c r="G426" t="s">
        <v>1528</v>
      </c>
      <c r="H426" t="s">
        <v>141</v>
      </c>
      <c r="I426" t="s">
        <v>1529</v>
      </c>
      <c r="L426" t="b">
        <v>1</v>
      </c>
      <c r="M426" t="s">
        <v>81</v>
      </c>
      <c r="N426" t="s">
        <v>32</v>
      </c>
      <c r="P426" t="s">
        <v>579</v>
      </c>
      <c r="Q426">
        <v>1</v>
      </c>
      <c r="R426">
        <v>3</v>
      </c>
      <c r="S426">
        <v>99.268227777800007</v>
      </c>
      <c r="T426">
        <v>585000</v>
      </c>
      <c r="U426">
        <v>650000</v>
      </c>
      <c r="V426">
        <v>0.9</v>
      </c>
      <c r="W426">
        <v>1332.5</v>
      </c>
      <c r="X426">
        <v>580719.13</v>
      </c>
      <c r="Y426">
        <v>582051.63</v>
      </c>
    </row>
    <row r="427" spans="1:25" x14ac:dyDescent="0.25">
      <c r="A427">
        <v>16</v>
      </c>
      <c r="B427" t="s">
        <v>578</v>
      </c>
      <c r="C427" t="s">
        <v>32</v>
      </c>
      <c r="D427" t="s">
        <v>82</v>
      </c>
      <c r="E427">
        <v>1104</v>
      </c>
      <c r="F427" t="s">
        <v>83</v>
      </c>
      <c r="G427" t="s">
        <v>84</v>
      </c>
      <c r="H427" t="s">
        <v>85</v>
      </c>
      <c r="I427" t="s">
        <v>86</v>
      </c>
      <c r="J427" t="s">
        <v>83</v>
      </c>
      <c r="K427" t="s">
        <v>87</v>
      </c>
      <c r="L427" t="b">
        <v>1</v>
      </c>
      <c r="M427" t="s">
        <v>61</v>
      </c>
      <c r="N427" t="s">
        <v>32</v>
      </c>
      <c r="P427" t="s">
        <v>579</v>
      </c>
      <c r="Q427">
        <v>1</v>
      </c>
      <c r="R427">
        <v>3</v>
      </c>
      <c r="S427">
        <v>100.875</v>
      </c>
      <c r="T427">
        <v>8573116.4179999996</v>
      </c>
      <c r="U427">
        <v>10306000</v>
      </c>
      <c r="V427">
        <v>0.83189999999999997</v>
      </c>
      <c r="W427">
        <v>58047.14</v>
      </c>
      <c r="X427">
        <v>8648131.2100000009</v>
      </c>
      <c r="Y427">
        <v>8706178.3500000015</v>
      </c>
    </row>
    <row r="428" spans="1:25" x14ac:dyDescent="0.25">
      <c r="A428">
        <v>16</v>
      </c>
      <c r="B428" t="s">
        <v>578</v>
      </c>
      <c r="C428" t="s">
        <v>32</v>
      </c>
      <c r="D428" t="s">
        <v>1530</v>
      </c>
      <c r="E428">
        <v>195282</v>
      </c>
      <c r="F428" t="s">
        <v>1531</v>
      </c>
      <c r="G428" t="s">
        <v>1532</v>
      </c>
      <c r="H428" t="s">
        <v>1533</v>
      </c>
      <c r="I428" t="s">
        <v>1534</v>
      </c>
      <c r="L428" t="b">
        <v>1</v>
      </c>
      <c r="M428" t="s">
        <v>112</v>
      </c>
      <c r="N428" t="s">
        <v>32</v>
      </c>
      <c r="P428" t="s">
        <v>579</v>
      </c>
      <c r="Q428">
        <v>1</v>
      </c>
      <c r="R428">
        <v>3</v>
      </c>
      <c r="S428">
        <v>102.9060857143</v>
      </c>
      <c r="T428">
        <v>1950000</v>
      </c>
      <c r="U428">
        <v>1950000</v>
      </c>
      <c r="V428">
        <v>1</v>
      </c>
      <c r="W428">
        <v>29805.200000000001</v>
      </c>
      <c r="X428">
        <v>2006668.67</v>
      </c>
      <c r="Y428">
        <v>2036473.87</v>
      </c>
    </row>
    <row r="429" spans="1:25" x14ac:dyDescent="0.25">
      <c r="A429">
        <v>16</v>
      </c>
      <c r="B429" t="s">
        <v>578</v>
      </c>
      <c r="C429" t="s">
        <v>32</v>
      </c>
      <c r="D429" t="s">
        <v>1535</v>
      </c>
      <c r="E429">
        <v>139465</v>
      </c>
      <c r="F429" t="s">
        <v>1536</v>
      </c>
      <c r="G429" t="s">
        <v>1537</v>
      </c>
      <c r="H429" t="s">
        <v>1533</v>
      </c>
      <c r="I429" t="s">
        <v>1538</v>
      </c>
      <c r="J429" t="s">
        <v>1536</v>
      </c>
      <c r="K429" t="s">
        <v>1539</v>
      </c>
      <c r="L429" t="b">
        <v>1</v>
      </c>
      <c r="M429" t="s">
        <v>112</v>
      </c>
      <c r="N429" t="s">
        <v>32</v>
      </c>
      <c r="P429" t="s">
        <v>579</v>
      </c>
      <c r="Q429">
        <v>1</v>
      </c>
      <c r="R429">
        <v>3</v>
      </c>
      <c r="S429">
        <v>106.04123749999999</v>
      </c>
      <c r="T429">
        <v>3840000</v>
      </c>
      <c r="U429">
        <v>3840000</v>
      </c>
      <c r="V429">
        <v>1</v>
      </c>
      <c r="W429">
        <v>6346.67</v>
      </c>
      <c r="X429">
        <v>4071983.52</v>
      </c>
      <c r="Y429">
        <v>4078330.19</v>
      </c>
    </row>
    <row r="430" spans="1:25" x14ac:dyDescent="0.25">
      <c r="A430">
        <v>16</v>
      </c>
      <c r="B430" t="s">
        <v>578</v>
      </c>
      <c r="C430" t="s">
        <v>32</v>
      </c>
      <c r="D430" t="s">
        <v>1540</v>
      </c>
      <c r="E430">
        <v>2222</v>
      </c>
      <c r="F430" t="s">
        <v>1541</v>
      </c>
      <c r="G430" t="s">
        <v>1542</v>
      </c>
      <c r="H430" t="s">
        <v>1543</v>
      </c>
      <c r="I430" t="s">
        <v>1544</v>
      </c>
      <c r="L430" t="b">
        <v>1</v>
      </c>
      <c r="M430" t="s">
        <v>1030</v>
      </c>
      <c r="N430" t="s">
        <v>32</v>
      </c>
      <c r="P430" t="s">
        <v>579</v>
      </c>
      <c r="Q430">
        <v>1</v>
      </c>
      <c r="R430">
        <v>3</v>
      </c>
      <c r="S430">
        <v>92.05</v>
      </c>
      <c r="T430">
        <v>1466082</v>
      </c>
      <c r="U430">
        <v>1827000</v>
      </c>
      <c r="V430">
        <v>0.80249999999999999</v>
      </c>
      <c r="W430">
        <v>4917.4699999999993</v>
      </c>
      <c r="X430">
        <v>1349528.48</v>
      </c>
      <c r="Y430">
        <v>1354445.95</v>
      </c>
    </row>
    <row r="431" spans="1:25" x14ac:dyDescent="0.25">
      <c r="A431">
        <v>16</v>
      </c>
      <c r="B431" t="s">
        <v>578</v>
      </c>
      <c r="C431" t="s">
        <v>32</v>
      </c>
      <c r="D431" t="s">
        <v>1186</v>
      </c>
      <c r="E431">
        <v>1108</v>
      </c>
      <c r="F431" t="s">
        <v>1187</v>
      </c>
      <c r="G431" t="s">
        <v>1188</v>
      </c>
      <c r="H431" t="s">
        <v>1189</v>
      </c>
      <c r="I431" t="s">
        <v>1190</v>
      </c>
      <c r="L431" t="b">
        <v>1</v>
      </c>
      <c r="M431" t="s">
        <v>81</v>
      </c>
      <c r="N431" t="s">
        <v>32</v>
      </c>
      <c r="P431" t="s">
        <v>579</v>
      </c>
      <c r="Q431">
        <v>1</v>
      </c>
      <c r="R431">
        <v>3</v>
      </c>
      <c r="S431">
        <v>1.7999999999999999E-2</v>
      </c>
      <c r="T431">
        <v>1210000</v>
      </c>
      <c r="U431">
        <v>1210000</v>
      </c>
      <c r="V431">
        <v>1</v>
      </c>
      <c r="W431">
        <v>0</v>
      </c>
      <c r="X431">
        <v>217.80000000000049</v>
      </c>
      <c r="Y431">
        <v>217.80000000000049</v>
      </c>
    </row>
    <row r="432" spans="1:25" x14ac:dyDescent="0.25">
      <c r="A432">
        <v>20</v>
      </c>
      <c r="B432" t="s">
        <v>25</v>
      </c>
      <c r="C432" t="s">
        <v>26</v>
      </c>
      <c r="D432" t="s">
        <v>1003</v>
      </c>
      <c r="E432">
        <v>157995</v>
      </c>
      <c r="F432" t="s">
        <v>1004</v>
      </c>
      <c r="G432" t="s">
        <v>1005</v>
      </c>
      <c r="H432" t="s">
        <v>502</v>
      </c>
      <c r="I432" t="s">
        <v>1006</v>
      </c>
      <c r="J432" t="s">
        <v>1004</v>
      </c>
      <c r="K432" t="s">
        <v>1007</v>
      </c>
      <c r="L432" t="b">
        <v>1</v>
      </c>
      <c r="M432" t="s">
        <v>31</v>
      </c>
      <c r="N432" t="s">
        <v>32</v>
      </c>
      <c r="O432" t="s">
        <v>26</v>
      </c>
      <c r="P432" t="s">
        <v>33</v>
      </c>
      <c r="Q432">
        <v>1</v>
      </c>
      <c r="R432">
        <v>3</v>
      </c>
      <c r="S432">
        <v>124.95099999999999</v>
      </c>
      <c r="T432">
        <v>5569976</v>
      </c>
      <c r="U432">
        <v>5569976</v>
      </c>
      <c r="V432">
        <v>1</v>
      </c>
      <c r="W432">
        <v>81661668.789999992</v>
      </c>
      <c r="X432">
        <v>6478544237.3100004</v>
      </c>
      <c r="Y432">
        <v>6560205906.1000004</v>
      </c>
    </row>
    <row r="433" spans="1:25" x14ac:dyDescent="0.25">
      <c r="A433">
        <v>20</v>
      </c>
      <c r="B433" t="s">
        <v>25</v>
      </c>
      <c r="C433" t="s">
        <v>26</v>
      </c>
      <c r="D433" t="s">
        <v>499</v>
      </c>
      <c r="E433">
        <v>226889</v>
      </c>
      <c r="F433" t="s">
        <v>500</v>
      </c>
      <c r="G433" t="s">
        <v>501</v>
      </c>
      <c r="H433" t="s">
        <v>502</v>
      </c>
      <c r="I433" t="s">
        <v>503</v>
      </c>
      <c r="J433" t="s">
        <v>500</v>
      </c>
      <c r="K433" t="s">
        <v>504</v>
      </c>
      <c r="L433" t="b">
        <v>1</v>
      </c>
      <c r="M433" t="s">
        <v>31</v>
      </c>
      <c r="N433" t="s">
        <v>32</v>
      </c>
      <c r="O433" t="s">
        <v>26</v>
      </c>
      <c r="P433" t="s">
        <v>33</v>
      </c>
      <c r="Q433">
        <v>1</v>
      </c>
      <c r="R433">
        <v>3</v>
      </c>
      <c r="S433">
        <v>100.6296875</v>
      </c>
      <c r="T433">
        <v>9500000</v>
      </c>
      <c r="U433">
        <v>9500000</v>
      </c>
      <c r="V433">
        <v>1</v>
      </c>
      <c r="W433">
        <v>0</v>
      </c>
      <c r="X433">
        <v>8898854333.7700005</v>
      </c>
      <c r="Y433">
        <v>8898854333.7700005</v>
      </c>
    </row>
    <row r="434" spans="1:25" x14ac:dyDescent="0.25">
      <c r="A434">
        <v>20</v>
      </c>
      <c r="B434" t="s">
        <v>25</v>
      </c>
      <c r="C434" t="s">
        <v>26</v>
      </c>
      <c r="D434" t="s">
        <v>505</v>
      </c>
      <c r="E434">
        <v>151819</v>
      </c>
      <c r="F434" t="s">
        <v>506</v>
      </c>
      <c r="G434" t="s">
        <v>507</v>
      </c>
      <c r="H434" t="s">
        <v>502</v>
      </c>
      <c r="I434" t="s">
        <v>508</v>
      </c>
      <c r="J434" t="s">
        <v>506</v>
      </c>
      <c r="K434" t="s">
        <v>509</v>
      </c>
      <c r="L434" t="b">
        <v>1</v>
      </c>
      <c r="M434" t="s">
        <v>31</v>
      </c>
      <c r="N434" t="s">
        <v>32</v>
      </c>
      <c r="O434" t="s">
        <v>26</v>
      </c>
      <c r="P434" t="s">
        <v>33</v>
      </c>
      <c r="Q434">
        <v>1</v>
      </c>
      <c r="R434">
        <v>3</v>
      </c>
      <c r="S434">
        <v>105.80857</v>
      </c>
      <c r="T434">
        <v>10000000</v>
      </c>
      <c r="U434">
        <v>10000000</v>
      </c>
      <c r="V434">
        <v>1</v>
      </c>
      <c r="W434">
        <v>201201510.41999999</v>
      </c>
      <c r="X434">
        <v>9849296547.0200005</v>
      </c>
      <c r="Y434">
        <v>10050498057.440001</v>
      </c>
    </row>
    <row r="435" spans="1:25" x14ac:dyDescent="0.25">
      <c r="A435">
        <v>20</v>
      </c>
      <c r="B435" t="s">
        <v>25</v>
      </c>
      <c r="C435" t="s">
        <v>26</v>
      </c>
      <c r="D435" t="s">
        <v>514</v>
      </c>
      <c r="E435">
        <v>213327</v>
      </c>
      <c r="F435" t="s">
        <v>515</v>
      </c>
      <c r="G435" t="s">
        <v>516</v>
      </c>
      <c r="H435" t="s">
        <v>517</v>
      </c>
      <c r="I435" t="s">
        <v>516</v>
      </c>
      <c r="L435" t="b">
        <v>0</v>
      </c>
      <c r="M435" t="s">
        <v>31</v>
      </c>
      <c r="N435" t="s">
        <v>32</v>
      </c>
      <c r="O435" t="s">
        <v>26</v>
      </c>
      <c r="P435" t="s">
        <v>33</v>
      </c>
      <c r="Q435">
        <v>1</v>
      </c>
      <c r="R435">
        <v>3</v>
      </c>
      <c r="S435">
        <v>100</v>
      </c>
      <c r="T435">
        <v>15000000</v>
      </c>
      <c r="U435">
        <v>15000000</v>
      </c>
      <c r="V435">
        <v>1</v>
      </c>
      <c r="W435">
        <v>473915479.29000002</v>
      </c>
      <c r="X435">
        <v>13962900000</v>
      </c>
      <c r="Y435">
        <v>14436815479.290001</v>
      </c>
    </row>
    <row r="436" spans="1:25" x14ac:dyDescent="0.25">
      <c r="A436">
        <v>20</v>
      </c>
      <c r="B436" t="s">
        <v>25</v>
      </c>
      <c r="C436" t="s">
        <v>26</v>
      </c>
      <c r="D436" t="s">
        <v>528</v>
      </c>
      <c r="E436">
        <v>35708</v>
      </c>
      <c r="F436" t="s">
        <v>529</v>
      </c>
      <c r="G436" t="s">
        <v>530</v>
      </c>
      <c r="H436" t="s">
        <v>531</v>
      </c>
      <c r="I436" t="s">
        <v>530</v>
      </c>
      <c r="L436" t="b">
        <v>0</v>
      </c>
      <c r="M436" t="s">
        <v>81</v>
      </c>
      <c r="N436" t="s">
        <v>32</v>
      </c>
      <c r="O436" t="s">
        <v>26</v>
      </c>
      <c r="P436" t="s">
        <v>33</v>
      </c>
      <c r="Q436">
        <v>1</v>
      </c>
      <c r="R436">
        <v>3</v>
      </c>
      <c r="S436">
        <v>91.088650000000001</v>
      </c>
      <c r="T436">
        <v>6000000</v>
      </c>
      <c r="U436">
        <v>6000000</v>
      </c>
      <c r="V436">
        <v>1</v>
      </c>
      <c r="W436">
        <v>63143336.670000002</v>
      </c>
      <c r="X436">
        <v>5087446844.3399992</v>
      </c>
      <c r="Y436">
        <v>5150590181.0099993</v>
      </c>
    </row>
    <row r="437" spans="1:25" x14ac:dyDescent="0.25">
      <c r="A437">
        <v>20</v>
      </c>
      <c r="B437" t="s">
        <v>25</v>
      </c>
      <c r="C437" t="s">
        <v>26</v>
      </c>
      <c r="D437" t="s">
        <v>532</v>
      </c>
      <c r="E437">
        <v>149965</v>
      </c>
      <c r="F437" t="s">
        <v>533</v>
      </c>
      <c r="G437" t="s">
        <v>534</v>
      </c>
      <c r="H437" t="s">
        <v>531</v>
      </c>
      <c r="I437" t="s">
        <v>534</v>
      </c>
      <c r="L437" t="b">
        <v>0</v>
      </c>
      <c r="M437" t="s">
        <v>81</v>
      </c>
      <c r="N437" t="s">
        <v>32</v>
      </c>
      <c r="O437" t="s">
        <v>26</v>
      </c>
      <c r="P437" t="s">
        <v>33</v>
      </c>
      <c r="Q437">
        <v>1</v>
      </c>
      <c r="R437">
        <v>3</v>
      </c>
      <c r="S437">
        <v>103.2316571429</v>
      </c>
      <c r="T437">
        <v>8200000</v>
      </c>
      <c r="U437">
        <v>8200000</v>
      </c>
      <c r="V437">
        <v>1</v>
      </c>
      <c r="W437">
        <v>294137538.52999997</v>
      </c>
      <c r="X437">
        <v>7879726074.170001</v>
      </c>
      <c r="Y437">
        <v>8173863612.7000008</v>
      </c>
    </row>
    <row r="438" spans="1:25" x14ac:dyDescent="0.25">
      <c r="A438">
        <v>20</v>
      </c>
      <c r="B438" t="s">
        <v>25</v>
      </c>
      <c r="C438" t="s">
        <v>26</v>
      </c>
      <c r="D438" t="s">
        <v>1101</v>
      </c>
      <c r="E438">
        <v>95961</v>
      </c>
      <c r="F438" t="s">
        <v>1102</v>
      </c>
      <c r="G438" t="s">
        <v>1103</v>
      </c>
      <c r="H438" t="s">
        <v>557</v>
      </c>
      <c r="I438" t="s">
        <v>1104</v>
      </c>
      <c r="L438" t="b">
        <v>1</v>
      </c>
      <c r="M438" t="s">
        <v>31</v>
      </c>
      <c r="N438" t="s">
        <v>32</v>
      </c>
      <c r="O438" t="s">
        <v>26</v>
      </c>
      <c r="P438" t="s">
        <v>33</v>
      </c>
      <c r="Q438">
        <v>1</v>
      </c>
      <c r="R438">
        <v>3</v>
      </c>
      <c r="S438">
        <v>97.35</v>
      </c>
      <c r="T438">
        <v>111327</v>
      </c>
      <c r="U438">
        <v>111327</v>
      </c>
      <c r="V438">
        <v>1</v>
      </c>
      <c r="W438">
        <v>76283.08</v>
      </c>
      <c r="X438">
        <v>100883655.97</v>
      </c>
      <c r="Y438">
        <v>100959939.05</v>
      </c>
    </row>
    <row r="439" spans="1:25" x14ac:dyDescent="0.25">
      <c r="A439">
        <v>20</v>
      </c>
      <c r="B439" t="s">
        <v>25</v>
      </c>
      <c r="C439" t="s">
        <v>26</v>
      </c>
      <c r="D439" t="s">
        <v>554</v>
      </c>
      <c r="E439">
        <v>95963</v>
      </c>
      <c r="F439" t="s">
        <v>555</v>
      </c>
      <c r="G439" t="s">
        <v>556</v>
      </c>
      <c r="H439" t="s">
        <v>557</v>
      </c>
      <c r="I439" t="s">
        <v>558</v>
      </c>
      <c r="L439" t="b">
        <v>1</v>
      </c>
      <c r="M439" t="s">
        <v>31</v>
      </c>
      <c r="N439" t="s">
        <v>32</v>
      </c>
      <c r="O439" t="s">
        <v>26</v>
      </c>
      <c r="P439" t="s">
        <v>33</v>
      </c>
      <c r="Q439">
        <v>1</v>
      </c>
      <c r="R439">
        <v>3</v>
      </c>
      <c r="S439">
        <v>99.377883333300005</v>
      </c>
      <c r="T439">
        <v>20000000</v>
      </c>
      <c r="U439">
        <v>20000000</v>
      </c>
      <c r="V439">
        <v>1</v>
      </c>
      <c r="W439">
        <v>174536250</v>
      </c>
      <c r="X439">
        <v>18501379299.040001</v>
      </c>
      <c r="Y439">
        <v>18675915549.040001</v>
      </c>
    </row>
    <row r="440" spans="1:25" x14ac:dyDescent="0.25">
      <c r="A440">
        <v>20</v>
      </c>
      <c r="B440" t="s">
        <v>25</v>
      </c>
      <c r="C440" t="s">
        <v>26</v>
      </c>
      <c r="D440" t="s">
        <v>1105</v>
      </c>
      <c r="E440">
        <v>187236</v>
      </c>
      <c r="F440" t="s">
        <v>1106</v>
      </c>
      <c r="G440" t="s">
        <v>1107</v>
      </c>
      <c r="H440" t="s">
        <v>1108</v>
      </c>
      <c r="I440" t="s">
        <v>1109</v>
      </c>
      <c r="L440" t="b">
        <v>1</v>
      </c>
      <c r="M440" t="s">
        <v>50</v>
      </c>
      <c r="N440" t="s">
        <v>32</v>
      </c>
      <c r="O440" t="s">
        <v>26</v>
      </c>
      <c r="P440" t="s">
        <v>33</v>
      </c>
      <c r="Q440">
        <v>1</v>
      </c>
      <c r="R440">
        <v>3</v>
      </c>
      <c r="S440">
        <v>100.396</v>
      </c>
      <c r="T440">
        <v>7155753</v>
      </c>
      <c r="U440">
        <v>7155753</v>
      </c>
      <c r="V440">
        <v>1</v>
      </c>
      <c r="W440">
        <v>33305021.190000001</v>
      </c>
      <c r="X440">
        <v>6687381812.6099997</v>
      </c>
      <c r="Y440">
        <v>6720686833.7999992</v>
      </c>
    </row>
    <row r="441" spans="1:25" x14ac:dyDescent="0.25">
      <c r="A441">
        <v>20</v>
      </c>
      <c r="B441" t="s">
        <v>25</v>
      </c>
      <c r="C441" t="s">
        <v>26</v>
      </c>
      <c r="D441" t="s">
        <v>1203</v>
      </c>
      <c r="E441">
        <v>213322</v>
      </c>
      <c r="F441" t="s">
        <v>1204</v>
      </c>
      <c r="G441" t="s">
        <v>1205</v>
      </c>
      <c r="H441" t="s">
        <v>30</v>
      </c>
      <c r="I441" t="s">
        <v>1205</v>
      </c>
      <c r="L441" t="b">
        <v>0</v>
      </c>
      <c r="M441" t="s">
        <v>31</v>
      </c>
      <c r="N441" t="s">
        <v>32</v>
      </c>
      <c r="O441" t="s">
        <v>26</v>
      </c>
      <c r="P441" t="s">
        <v>33</v>
      </c>
      <c r="Q441">
        <v>1</v>
      </c>
      <c r="R441">
        <v>3</v>
      </c>
      <c r="S441">
        <v>93.275000000000006</v>
      </c>
      <c r="T441">
        <v>3168270</v>
      </c>
      <c r="U441">
        <v>3168270</v>
      </c>
      <c r="V441">
        <v>1</v>
      </c>
      <c r="W441">
        <v>63899675.93</v>
      </c>
      <c r="X441">
        <v>2750881046.5</v>
      </c>
      <c r="Y441">
        <v>2814780722.4299998</v>
      </c>
    </row>
    <row r="442" spans="1:25" x14ac:dyDescent="0.25">
      <c r="A442">
        <v>68</v>
      </c>
      <c r="B442" t="s">
        <v>1545</v>
      </c>
      <c r="C442" t="s">
        <v>32</v>
      </c>
      <c r="D442" t="s">
        <v>721</v>
      </c>
      <c r="E442">
        <v>151394</v>
      </c>
      <c r="F442" t="s">
        <v>722</v>
      </c>
      <c r="G442" t="s">
        <v>723</v>
      </c>
      <c r="H442" t="s">
        <v>724</v>
      </c>
      <c r="I442" t="s">
        <v>725</v>
      </c>
      <c r="J442" t="s">
        <v>722</v>
      </c>
      <c r="K442" t="s">
        <v>726</v>
      </c>
      <c r="L442" t="b">
        <v>1</v>
      </c>
      <c r="M442" t="s">
        <v>81</v>
      </c>
      <c r="N442" t="s">
        <v>32</v>
      </c>
      <c r="P442" t="s">
        <v>579</v>
      </c>
      <c r="Q442">
        <v>1</v>
      </c>
      <c r="R442">
        <v>3</v>
      </c>
      <c r="S442">
        <v>98.257000000000005</v>
      </c>
      <c r="T442">
        <v>4003372</v>
      </c>
      <c r="U442">
        <v>4003372</v>
      </c>
      <c r="V442">
        <v>1</v>
      </c>
      <c r="W442">
        <v>48262.87</v>
      </c>
      <c r="X442">
        <v>3933593.23</v>
      </c>
      <c r="Y442">
        <v>3981856.100000001</v>
      </c>
    </row>
    <row r="443" spans="1:25" x14ac:dyDescent="0.25">
      <c r="A443">
        <v>68</v>
      </c>
      <c r="B443" t="s">
        <v>1545</v>
      </c>
      <c r="C443" t="s">
        <v>32</v>
      </c>
      <c r="D443" t="s">
        <v>735</v>
      </c>
      <c r="E443">
        <v>35524</v>
      </c>
      <c r="F443" t="s">
        <v>736</v>
      </c>
      <c r="G443" t="s">
        <v>737</v>
      </c>
      <c r="H443" t="s">
        <v>730</v>
      </c>
      <c r="I443" t="s">
        <v>738</v>
      </c>
      <c r="J443" t="s">
        <v>736</v>
      </c>
      <c r="K443" t="s">
        <v>739</v>
      </c>
      <c r="L443" t="b">
        <v>1</v>
      </c>
      <c r="M443" t="s">
        <v>39</v>
      </c>
      <c r="N443" t="s">
        <v>32</v>
      </c>
      <c r="P443" t="s">
        <v>579</v>
      </c>
      <c r="Q443">
        <v>1</v>
      </c>
      <c r="R443">
        <v>3</v>
      </c>
      <c r="S443">
        <v>100</v>
      </c>
      <c r="T443">
        <v>5119415</v>
      </c>
      <c r="U443">
        <v>5350000</v>
      </c>
      <c r="V443">
        <v>0.95689999999999997</v>
      </c>
      <c r="W443">
        <v>60615.289999999994</v>
      </c>
      <c r="X443">
        <v>5119415</v>
      </c>
      <c r="Y443">
        <v>5180030.29</v>
      </c>
    </row>
    <row r="444" spans="1:25" x14ac:dyDescent="0.25">
      <c r="A444">
        <v>68</v>
      </c>
      <c r="B444" t="s">
        <v>1545</v>
      </c>
      <c r="C444" t="s">
        <v>32</v>
      </c>
      <c r="D444" t="s">
        <v>746</v>
      </c>
      <c r="E444">
        <v>36160</v>
      </c>
      <c r="F444" t="s">
        <v>745</v>
      </c>
      <c r="G444" t="s">
        <v>744</v>
      </c>
      <c r="H444" t="s">
        <v>743</v>
      </c>
      <c r="I444" t="s">
        <v>744</v>
      </c>
      <c r="J444" t="s">
        <v>741</v>
      </c>
      <c r="K444" t="s">
        <v>741</v>
      </c>
      <c r="L444" t="b">
        <v>0</v>
      </c>
      <c r="M444" t="s">
        <v>31</v>
      </c>
      <c r="N444" t="s">
        <v>32</v>
      </c>
      <c r="P444" t="s">
        <v>579</v>
      </c>
      <c r="Q444">
        <v>1</v>
      </c>
      <c r="R444">
        <v>3</v>
      </c>
      <c r="S444">
        <v>102.7582</v>
      </c>
      <c r="T444">
        <v>2804206</v>
      </c>
      <c r="U444">
        <v>3500000</v>
      </c>
      <c r="V444">
        <v>0.80120000000000002</v>
      </c>
      <c r="W444">
        <v>9931.5799999999981</v>
      </c>
      <c r="X444">
        <v>2881551.59</v>
      </c>
      <c r="Y444">
        <v>2891483.17</v>
      </c>
    </row>
    <row r="445" spans="1:25" x14ac:dyDescent="0.25">
      <c r="A445">
        <v>68</v>
      </c>
      <c r="B445" t="s">
        <v>1545</v>
      </c>
      <c r="C445" t="s">
        <v>32</v>
      </c>
      <c r="D445" t="s">
        <v>747</v>
      </c>
      <c r="E445">
        <v>106547</v>
      </c>
      <c r="F445" t="s">
        <v>748</v>
      </c>
      <c r="G445" t="s">
        <v>749</v>
      </c>
      <c r="H445" t="s">
        <v>750</v>
      </c>
      <c r="I445" t="s">
        <v>751</v>
      </c>
      <c r="L445" t="b">
        <v>1</v>
      </c>
      <c r="M445" t="s">
        <v>31</v>
      </c>
      <c r="N445" t="s">
        <v>32</v>
      </c>
      <c r="P445" t="s">
        <v>579</v>
      </c>
      <c r="Q445">
        <v>1</v>
      </c>
      <c r="R445">
        <v>3</v>
      </c>
      <c r="S445">
        <v>97.332144999999997</v>
      </c>
      <c r="T445">
        <v>1950000</v>
      </c>
      <c r="U445">
        <v>1950000</v>
      </c>
      <c r="V445">
        <v>1</v>
      </c>
      <c r="W445">
        <v>4875</v>
      </c>
      <c r="X445">
        <v>1897976.83</v>
      </c>
      <c r="Y445">
        <v>1902851.83</v>
      </c>
    </row>
    <row r="446" spans="1:25" x14ac:dyDescent="0.25">
      <c r="A446">
        <v>68</v>
      </c>
      <c r="B446" t="s">
        <v>1545</v>
      </c>
      <c r="C446" t="s">
        <v>32</v>
      </c>
      <c r="D446" t="s">
        <v>752</v>
      </c>
      <c r="E446">
        <v>137445</v>
      </c>
      <c r="F446" t="s">
        <v>753</v>
      </c>
      <c r="G446" t="s">
        <v>754</v>
      </c>
      <c r="H446" t="s">
        <v>755</v>
      </c>
      <c r="I446" t="s">
        <v>756</v>
      </c>
      <c r="J446" t="s">
        <v>753</v>
      </c>
      <c r="K446" t="s">
        <v>757</v>
      </c>
      <c r="L446" t="b">
        <v>1</v>
      </c>
      <c r="M446" t="s">
        <v>681</v>
      </c>
      <c r="N446" t="s">
        <v>32</v>
      </c>
      <c r="P446" t="s">
        <v>579</v>
      </c>
      <c r="Q446">
        <v>1</v>
      </c>
      <c r="R446">
        <v>3</v>
      </c>
      <c r="S446">
        <v>102.574</v>
      </c>
      <c r="T446">
        <v>350000</v>
      </c>
      <c r="U446">
        <v>350000</v>
      </c>
      <c r="V446">
        <v>1</v>
      </c>
      <c r="W446">
        <v>2041.67</v>
      </c>
      <c r="X446">
        <v>359009</v>
      </c>
      <c r="Y446">
        <v>361050.67</v>
      </c>
    </row>
    <row r="447" spans="1:25" x14ac:dyDescent="0.25">
      <c r="A447">
        <v>68</v>
      </c>
      <c r="B447" t="s">
        <v>1545</v>
      </c>
      <c r="C447" t="s">
        <v>32</v>
      </c>
      <c r="D447" t="s">
        <v>1546</v>
      </c>
      <c r="E447">
        <v>33420</v>
      </c>
      <c r="F447" t="s">
        <v>1547</v>
      </c>
      <c r="G447" t="s">
        <v>1548</v>
      </c>
      <c r="H447" t="s">
        <v>761</v>
      </c>
      <c r="I447" t="s">
        <v>762</v>
      </c>
      <c r="J447" t="s">
        <v>759</v>
      </c>
      <c r="K447" t="s">
        <v>1549</v>
      </c>
      <c r="L447" t="b">
        <v>1</v>
      </c>
      <c r="M447" t="s">
        <v>112</v>
      </c>
      <c r="N447" t="s">
        <v>32</v>
      </c>
      <c r="P447" t="s">
        <v>579</v>
      </c>
      <c r="Q447">
        <v>1</v>
      </c>
      <c r="R447">
        <v>3</v>
      </c>
      <c r="S447">
        <v>100</v>
      </c>
      <c r="T447">
        <v>282375</v>
      </c>
      <c r="U447">
        <v>3012000</v>
      </c>
      <c r="V447">
        <v>9.3799999999999994E-2</v>
      </c>
      <c r="W447">
        <v>4799.3900000000003</v>
      </c>
      <c r="X447">
        <v>282375</v>
      </c>
      <c r="Y447">
        <v>287174.39</v>
      </c>
    </row>
    <row r="448" spans="1:25" x14ac:dyDescent="0.25">
      <c r="A448">
        <v>68</v>
      </c>
      <c r="B448" t="s">
        <v>1545</v>
      </c>
      <c r="C448" t="s">
        <v>32</v>
      </c>
      <c r="D448" t="s">
        <v>798</v>
      </c>
      <c r="E448">
        <v>152069</v>
      </c>
      <c r="F448" t="s">
        <v>799</v>
      </c>
      <c r="G448" t="s">
        <v>800</v>
      </c>
      <c r="H448" t="s">
        <v>362</v>
      </c>
      <c r="I448" t="s">
        <v>801</v>
      </c>
      <c r="J448" t="s">
        <v>799</v>
      </c>
      <c r="K448" t="s">
        <v>802</v>
      </c>
      <c r="L448" t="b">
        <v>1</v>
      </c>
      <c r="M448" t="s">
        <v>44</v>
      </c>
      <c r="N448" t="s">
        <v>32</v>
      </c>
      <c r="P448" t="s">
        <v>579</v>
      </c>
      <c r="Q448">
        <v>1</v>
      </c>
      <c r="R448">
        <v>3</v>
      </c>
      <c r="S448">
        <v>100.898</v>
      </c>
      <c r="T448">
        <v>3020000</v>
      </c>
      <c r="U448">
        <v>3020000</v>
      </c>
      <c r="V448">
        <v>1</v>
      </c>
      <c r="W448">
        <v>51906.25</v>
      </c>
      <c r="X448">
        <v>3047119.6</v>
      </c>
      <c r="Y448">
        <v>3099025.85</v>
      </c>
    </row>
    <row r="449" spans="1:25" x14ac:dyDescent="0.25">
      <c r="A449">
        <v>68</v>
      </c>
      <c r="B449" t="s">
        <v>1545</v>
      </c>
      <c r="C449" t="s">
        <v>32</v>
      </c>
      <c r="D449" t="s">
        <v>359</v>
      </c>
      <c r="E449">
        <v>152071</v>
      </c>
      <c r="F449" t="s">
        <v>360</v>
      </c>
      <c r="G449" t="s">
        <v>361</v>
      </c>
      <c r="H449" t="s">
        <v>362</v>
      </c>
      <c r="I449" t="s">
        <v>363</v>
      </c>
      <c r="J449" t="s">
        <v>360</v>
      </c>
      <c r="K449" t="s">
        <v>364</v>
      </c>
      <c r="L449" t="b">
        <v>1</v>
      </c>
      <c r="M449" t="s">
        <v>44</v>
      </c>
      <c r="N449" t="s">
        <v>32</v>
      </c>
      <c r="P449" t="s">
        <v>579</v>
      </c>
      <c r="Q449">
        <v>1</v>
      </c>
      <c r="R449">
        <v>3</v>
      </c>
      <c r="S449">
        <v>101</v>
      </c>
      <c r="T449">
        <v>2500000</v>
      </c>
      <c r="U449">
        <v>2500000</v>
      </c>
      <c r="V449">
        <v>1</v>
      </c>
      <c r="W449">
        <v>44921.88</v>
      </c>
      <c r="X449">
        <v>2525000</v>
      </c>
      <c r="Y449">
        <v>2569921.88</v>
      </c>
    </row>
    <row r="450" spans="1:25" x14ac:dyDescent="0.25">
      <c r="A450">
        <v>68</v>
      </c>
      <c r="B450" t="s">
        <v>1545</v>
      </c>
      <c r="C450" t="s">
        <v>32</v>
      </c>
      <c r="D450" t="s">
        <v>1550</v>
      </c>
      <c r="E450">
        <v>3663</v>
      </c>
      <c r="F450" t="s">
        <v>1551</v>
      </c>
      <c r="G450" t="s">
        <v>1552</v>
      </c>
      <c r="H450" t="s">
        <v>1553</v>
      </c>
      <c r="I450" t="s">
        <v>1554</v>
      </c>
      <c r="L450" t="b">
        <v>1</v>
      </c>
      <c r="M450" t="s">
        <v>452</v>
      </c>
      <c r="N450" t="s">
        <v>32</v>
      </c>
      <c r="P450" t="s">
        <v>579</v>
      </c>
      <c r="Q450">
        <v>1</v>
      </c>
      <c r="R450">
        <v>3</v>
      </c>
      <c r="S450">
        <v>94.034499999999994</v>
      </c>
      <c r="T450">
        <v>1518134</v>
      </c>
      <c r="U450">
        <v>1640000</v>
      </c>
      <c r="V450">
        <v>0.92569999999999997</v>
      </c>
      <c r="W450">
        <v>11069.73</v>
      </c>
      <c r="X450">
        <v>1427569.72</v>
      </c>
      <c r="Y450">
        <v>1438639.45</v>
      </c>
    </row>
    <row r="451" spans="1:25" x14ac:dyDescent="0.25">
      <c r="A451">
        <v>68</v>
      </c>
      <c r="B451" t="s">
        <v>1545</v>
      </c>
      <c r="C451" t="s">
        <v>32</v>
      </c>
      <c r="D451" t="s">
        <v>803</v>
      </c>
      <c r="E451">
        <v>31626</v>
      </c>
      <c r="F451" t="s">
        <v>804</v>
      </c>
      <c r="G451" t="s">
        <v>805</v>
      </c>
      <c r="H451" t="s">
        <v>806</v>
      </c>
      <c r="I451" t="s">
        <v>807</v>
      </c>
      <c r="L451" t="b">
        <v>1</v>
      </c>
      <c r="M451" t="s">
        <v>681</v>
      </c>
      <c r="N451" t="s">
        <v>32</v>
      </c>
      <c r="P451" t="s">
        <v>579</v>
      </c>
      <c r="Q451">
        <v>1</v>
      </c>
      <c r="R451">
        <v>3</v>
      </c>
      <c r="S451">
        <v>99.371011999999993</v>
      </c>
      <c r="T451">
        <v>744000</v>
      </c>
      <c r="U451">
        <v>744000</v>
      </c>
      <c r="V451">
        <v>1</v>
      </c>
      <c r="W451">
        <v>10248.6</v>
      </c>
      <c r="X451">
        <v>739320.33</v>
      </c>
      <c r="Y451">
        <v>749568.92999999993</v>
      </c>
    </row>
    <row r="452" spans="1:25" x14ac:dyDescent="0.25">
      <c r="A452">
        <v>68</v>
      </c>
      <c r="B452" t="s">
        <v>1545</v>
      </c>
      <c r="C452" t="s">
        <v>32</v>
      </c>
      <c r="D452" t="s">
        <v>808</v>
      </c>
      <c r="E452">
        <v>227438</v>
      </c>
      <c r="F452" t="s">
        <v>809</v>
      </c>
      <c r="G452" t="s">
        <v>810</v>
      </c>
      <c r="H452" t="s">
        <v>806</v>
      </c>
      <c r="I452" t="s">
        <v>811</v>
      </c>
      <c r="J452" t="s">
        <v>809</v>
      </c>
      <c r="K452" t="s">
        <v>812</v>
      </c>
      <c r="L452" t="b">
        <v>1</v>
      </c>
      <c r="M452" t="s">
        <v>681</v>
      </c>
      <c r="N452" t="s">
        <v>32</v>
      </c>
      <c r="P452" t="s">
        <v>579</v>
      </c>
      <c r="Q452">
        <v>1</v>
      </c>
      <c r="R452">
        <v>3</v>
      </c>
      <c r="S452">
        <v>100.53448</v>
      </c>
      <c r="T452">
        <v>4000000</v>
      </c>
      <c r="U452">
        <v>4000000</v>
      </c>
      <c r="V452">
        <v>1</v>
      </c>
      <c r="W452">
        <v>0</v>
      </c>
      <c r="X452">
        <v>4021379.2</v>
      </c>
      <c r="Y452">
        <v>4021379.2</v>
      </c>
    </row>
    <row r="453" spans="1:25" x14ac:dyDescent="0.25">
      <c r="A453">
        <v>68</v>
      </c>
      <c r="B453" t="s">
        <v>1545</v>
      </c>
      <c r="C453" t="s">
        <v>32</v>
      </c>
      <c r="D453" t="s">
        <v>813</v>
      </c>
      <c r="E453">
        <v>116573</v>
      </c>
      <c r="F453" t="s">
        <v>814</v>
      </c>
      <c r="G453" t="s">
        <v>815</v>
      </c>
      <c r="H453" t="s">
        <v>816</v>
      </c>
      <c r="I453" t="s">
        <v>817</v>
      </c>
      <c r="L453" t="b">
        <v>1</v>
      </c>
      <c r="M453" t="s">
        <v>112</v>
      </c>
      <c r="N453" t="s">
        <v>32</v>
      </c>
      <c r="P453" t="s">
        <v>579</v>
      </c>
      <c r="Q453">
        <v>1</v>
      </c>
      <c r="R453">
        <v>3</v>
      </c>
      <c r="S453">
        <v>100.97550099999999</v>
      </c>
      <c r="T453">
        <v>375000</v>
      </c>
      <c r="U453">
        <v>500000</v>
      </c>
      <c r="V453">
        <v>0.75</v>
      </c>
      <c r="W453">
        <v>15140.62</v>
      </c>
      <c r="X453">
        <v>378658.13</v>
      </c>
      <c r="Y453">
        <v>393798.75</v>
      </c>
    </row>
    <row r="454" spans="1:25" x14ac:dyDescent="0.25">
      <c r="A454">
        <v>68</v>
      </c>
      <c r="B454" t="s">
        <v>1545</v>
      </c>
      <c r="C454" t="s">
        <v>32</v>
      </c>
      <c r="D454" t="s">
        <v>1555</v>
      </c>
      <c r="E454">
        <v>36161</v>
      </c>
      <c r="F454" t="s">
        <v>1556</v>
      </c>
      <c r="G454" t="s">
        <v>1557</v>
      </c>
      <c r="H454" t="s">
        <v>1558</v>
      </c>
      <c r="I454" t="s">
        <v>1557</v>
      </c>
      <c r="L454" t="b">
        <v>0</v>
      </c>
      <c r="M454" t="s">
        <v>50</v>
      </c>
      <c r="N454" t="s">
        <v>32</v>
      </c>
      <c r="P454" t="s">
        <v>579</v>
      </c>
      <c r="Q454">
        <v>1</v>
      </c>
      <c r="R454">
        <v>3</v>
      </c>
      <c r="S454">
        <v>94.543499999999995</v>
      </c>
      <c r="T454">
        <v>350000</v>
      </c>
      <c r="U454">
        <v>350000</v>
      </c>
      <c r="V454">
        <v>1</v>
      </c>
      <c r="W454">
        <v>447.23</v>
      </c>
      <c r="X454">
        <v>330902.25</v>
      </c>
      <c r="Y454">
        <v>331349.48</v>
      </c>
    </row>
    <row r="455" spans="1:25" x14ac:dyDescent="0.25">
      <c r="A455">
        <v>68</v>
      </c>
      <c r="B455" t="s">
        <v>1545</v>
      </c>
      <c r="C455" t="s">
        <v>32</v>
      </c>
      <c r="D455" t="s">
        <v>828</v>
      </c>
      <c r="E455">
        <v>452</v>
      </c>
      <c r="F455" t="s">
        <v>829</v>
      </c>
      <c r="G455" t="s">
        <v>830</v>
      </c>
      <c r="H455" t="s">
        <v>826</v>
      </c>
      <c r="I455" t="s">
        <v>831</v>
      </c>
      <c r="L455" t="b">
        <v>1</v>
      </c>
      <c r="M455" t="s">
        <v>81</v>
      </c>
      <c r="N455" t="s">
        <v>32</v>
      </c>
      <c r="P455" t="s">
        <v>579</v>
      </c>
      <c r="Q455">
        <v>1</v>
      </c>
      <c r="R455">
        <v>3</v>
      </c>
      <c r="S455">
        <v>102.317499</v>
      </c>
      <c r="T455">
        <v>546135</v>
      </c>
      <c r="U455">
        <v>1024000</v>
      </c>
      <c r="V455">
        <v>0.5333</v>
      </c>
      <c r="W455">
        <v>5120.0200000000004</v>
      </c>
      <c r="X455">
        <v>558791.68000000005</v>
      </c>
      <c r="Y455">
        <v>563911.70000000007</v>
      </c>
    </row>
    <row r="456" spans="1:25" x14ac:dyDescent="0.25">
      <c r="A456">
        <v>68</v>
      </c>
      <c r="B456" t="s">
        <v>1545</v>
      </c>
      <c r="C456" t="s">
        <v>32</v>
      </c>
      <c r="D456" t="s">
        <v>1559</v>
      </c>
      <c r="E456">
        <v>34542</v>
      </c>
      <c r="F456" t="s">
        <v>1560</v>
      </c>
      <c r="G456" t="s">
        <v>1561</v>
      </c>
      <c r="H456" t="s">
        <v>1562</v>
      </c>
      <c r="I456" t="s">
        <v>1563</v>
      </c>
      <c r="L456" t="b">
        <v>1</v>
      </c>
      <c r="M456" t="s">
        <v>50</v>
      </c>
      <c r="N456" t="s">
        <v>32</v>
      </c>
      <c r="P456" t="s">
        <v>579</v>
      </c>
      <c r="Q456">
        <v>1</v>
      </c>
      <c r="R456">
        <v>3</v>
      </c>
      <c r="S456">
        <v>77.922450999999995</v>
      </c>
      <c r="T456">
        <v>1330000</v>
      </c>
      <c r="U456">
        <v>1330000</v>
      </c>
      <c r="V456">
        <v>1</v>
      </c>
      <c r="W456">
        <v>20675.97</v>
      </c>
      <c r="X456">
        <v>1036368.59</v>
      </c>
      <c r="Y456">
        <v>1057044.56</v>
      </c>
    </row>
    <row r="457" spans="1:25" x14ac:dyDescent="0.25">
      <c r="A457">
        <v>68</v>
      </c>
      <c r="B457" t="s">
        <v>1545</v>
      </c>
      <c r="C457" t="s">
        <v>32</v>
      </c>
      <c r="D457" t="s">
        <v>1564</v>
      </c>
      <c r="E457">
        <v>40901</v>
      </c>
      <c r="F457" t="s">
        <v>1565</v>
      </c>
      <c r="G457" t="s">
        <v>1566</v>
      </c>
      <c r="H457" t="s">
        <v>1567</v>
      </c>
      <c r="I457" t="s">
        <v>1568</v>
      </c>
      <c r="L457" t="b">
        <v>1</v>
      </c>
      <c r="M457" t="s">
        <v>50</v>
      </c>
      <c r="N457" t="s">
        <v>32</v>
      </c>
      <c r="P457" t="s">
        <v>579</v>
      </c>
      <c r="Q457">
        <v>1</v>
      </c>
      <c r="R457">
        <v>3</v>
      </c>
      <c r="S457">
        <v>101.3698</v>
      </c>
      <c r="T457">
        <v>550000</v>
      </c>
      <c r="U457">
        <v>550000</v>
      </c>
      <c r="V457">
        <v>1</v>
      </c>
      <c r="W457">
        <v>6617.19</v>
      </c>
      <c r="X457">
        <v>557533.9</v>
      </c>
      <c r="Y457">
        <v>564151.09</v>
      </c>
    </row>
    <row r="458" spans="1:25" x14ac:dyDescent="0.25">
      <c r="A458">
        <v>68</v>
      </c>
      <c r="B458" t="s">
        <v>1545</v>
      </c>
      <c r="C458" t="s">
        <v>32</v>
      </c>
      <c r="D458" t="s">
        <v>1569</v>
      </c>
      <c r="E458">
        <v>130725</v>
      </c>
      <c r="F458" t="s">
        <v>1570</v>
      </c>
      <c r="G458" t="s">
        <v>1571</v>
      </c>
      <c r="H458" t="s">
        <v>1567</v>
      </c>
      <c r="I458" t="s">
        <v>1572</v>
      </c>
      <c r="L458" t="b">
        <v>1</v>
      </c>
      <c r="M458" t="s">
        <v>50</v>
      </c>
      <c r="N458" t="s">
        <v>32</v>
      </c>
      <c r="P458" t="s">
        <v>579</v>
      </c>
      <c r="Q458">
        <v>1</v>
      </c>
      <c r="R458">
        <v>3</v>
      </c>
      <c r="S458">
        <v>103.77719999999999</v>
      </c>
      <c r="T458">
        <v>1250000</v>
      </c>
      <c r="U458">
        <v>1250000</v>
      </c>
      <c r="V458">
        <v>1</v>
      </c>
      <c r="W458">
        <v>18663.2</v>
      </c>
      <c r="X458">
        <v>1297215</v>
      </c>
      <c r="Y458">
        <v>1315878.2</v>
      </c>
    </row>
    <row r="459" spans="1:25" x14ac:dyDescent="0.25">
      <c r="A459">
        <v>68</v>
      </c>
      <c r="B459" t="s">
        <v>1545</v>
      </c>
      <c r="C459" t="s">
        <v>32</v>
      </c>
      <c r="D459" t="s">
        <v>369</v>
      </c>
      <c r="E459">
        <v>160292</v>
      </c>
      <c r="F459" t="s">
        <v>370</v>
      </c>
      <c r="G459" t="s">
        <v>371</v>
      </c>
      <c r="H459" t="s">
        <v>372</v>
      </c>
      <c r="I459" t="s">
        <v>373</v>
      </c>
      <c r="J459" t="s">
        <v>370</v>
      </c>
      <c r="K459" t="s">
        <v>374</v>
      </c>
      <c r="L459" t="b">
        <v>1</v>
      </c>
      <c r="M459" t="s">
        <v>81</v>
      </c>
      <c r="N459" t="s">
        <v>32</v>
      </c>
      <c r="P459" t="s">
        <v>579</v>
      </c>
      <c r="Q459">
        <v>1</v>
      </c>
      <c r="R459">
        <v>3</v>
      </c>
      <c r="S459">
        <v>102.16072</v>
      </c>
      <c r="T459">
        <v>500000</v>
      </c>
      <c r="U459">
        <v>500000</v>
      </c>
      <c r="V459">
        <v>1</v>
      </c>
      <c r="W459">
        <v>19468.75</v>
      </c>
      <c r="X459">
        <v>510803.6</v>
      </c>
      <c r="Y459">
        <v>530272.35</v>
      </c>
    </row>
    <row r="460" spans="1:25" x14ac:dyDescent="0.25">
      <c r="A460">
        <v>68</v>
      </c>
      <c r="B460" t="s">
        <v>1545</v>
      </c>
      <c r="C460" t="s">
        <v>32</v>
      </c>
      <c r="D460" t="s">
        <v>839</v>
      </c>
      <c r="E460">
        <v>116576</v>
      </c>
      <c r="F460" t="s">
        <v>840</v>
      </c>
      <c r="G460" t="s">
        <v>841</v>
      </c>
      <c r="H460" t="s">
        <v>378</v>
      </c>
      <c r="I460" t="s">
        <v>842</v>
      </c>
      <c r="L460" t="b">
        <v>1</v>
      </c>
      <c r="M460" t="s">
        <v>61</v>
      </c>
      <c r="N460" t="s">
        <v>32</v>
      </c>
      <c r="P460" t="s">
        <v>579</v>
      </c>
      <c r="Q460">
        <v>1</v>
      </c>
      <c r="R460">
        <v>3</v>
      </c>
      <c r="S460">
        <v>105.880011</v>
      </c>
      <c r="T460">
        <v>1090000</v>
      </c>
      <c r="U460">
        <v>1090000</v>
      </c>
      <c r="V460">
        <v>1</v>
      </c>
      <c r="W460">
        <v>13625</v>
      </c>
      <c r="X460">
        <v>1154092.1200000001</v>
      </c>
      <c r="Y460">
        <v>1167717.1200000001</v>
      </c>
    </row>
    <row r="461" spans="1:25" x14ac:dyDescent="0.25">
      <c r="A461">
        <v>68</v>
      </c>
      <c r="B461" t="s">
        <v>1545</v>
      </c>
      <c r="C461" t="s">
        <v>32</v>
      </c>
      <c r="D461" t="s">
        <v>375</v>
      </c>
      <c r="E461">
        <v>193917</v>
      </c>
      <c r="F461" t="s">
        <v>376</v>
      </c>
      <c r="G461" t="s">
        <v>377</v>
      </c>
      <c r="H461" t="s">
        <v>378</v>
      </c>
      <c r="I461" t="s">
        <v>379</v>
      </c>
      <c r="J461" t="s">
        <v>376</v>
      </c>
      <c r="K461" t="s">
        <v>380</v>
      </c>
      <c r="L461" t="b">
        <v>1</v>
      </c>
      <c r="M461" t="s">
        <v>61</v>
      </c>
      <c r="N461" t="s">
        <v>32</v>
      </c>
      <c r="P461" t="s">
        <v>579</v>
      </c>
      <c r="Q461">
        <v>1</v>
      </c>
      <c r="R461">
        <v>3</v>
      </c>
      <c r="S461">
        <v>99.787499999999994</v>
      </c>
      <c r="T461">
        <v>1000000</v>
      </c>
      <c r="U461">
        <v>1000000</v>
      </c>
      <c r="V461">
        <v>1</v>
      </c>
      <c r="W461">
        <v>20416.669999999998</v>
      </c>
      <c r="X461">
        <v>997875</v>
      </c>
      <c r="Y461">
        <v>1018291.67</v>
      </c>
    </row>
    <row r="462" spans="1:25" x14ac:dyDescent="0.25">
      <c r="A462">
        <v>68</v>
      </c>
      <c r="B462" t="s">
        <v>1545</v>
      </c>
      <c r="C462" t="s">
        <v>32</v>
      </c>
      <c r="D462" t="s">
        <v>843</v>
      </c>
      <c r="E462">
        <v>492</v>
      </c>
      <c r="F462" t="s">
        <v>844</v>
      </c>
      <c r="G462" t="s">
        <v>845</v>
      </c>
      <c r="H462" t="s">
        <v>846</v>
      </c>
      <c r="I462" t="s">
        <v>847</v>
      </c>
      <c r="L462" t="b">
        <v>1</v>
      </c>
      <c r="M462" t="s">
        <v>848</v>
      </c>
      <c r="N462" t="s">
        <v>32</v>
      </c>
      <c r="P462" t="s">
        <v>579</v>
      </c>
      <c r="Q462">
        <v>1</v>
      </c>
      <c r="R462">
        <v>3</v>
      </c>
      <c r="S462">
        <v>99.937000999999995</v>
      </c>
      <c r="T462">
        <v>540800</v>
      </c>
      <c r="U462">
        <v>1000000</v>
      </c>
      <c r="V462">
        <v>0.54079999999999995</v>
      </c>
      <c r="W462">
        <v>3323.67</v>
      </c>
      <c r="X462">
        <v>540459.29999999993</v>
      </c>
      <c r="Y462">
        <v>543782.97</v>
      </c>
    </row>
    <row r="463" spans="1:25" x14ac:dyDescent="0.25">
      <c r="A463">
        <v>68</v>
      </c>
      <c r="B463" t="s">
        <v>1545</v>
      </c>
      <c r="C463" t="s">
        <v>32</v>
      </c>
      <c r="D463" t="s">
        <v>849</v>
      </c>
      <c r="E463">
        <v>4290</v>
      </c>
      <c r="F463" t="s">
        <v>850</v>
      </c>
      <c r="G463" t="s">
        <v>851</v>
      </c>
      <c r="H463" t="s">
        <v>852</v>
      </c>
      <c r="I463" t="s">
        <v>853</v>
      </c>
      <c r="L463" t="b">
        <v>1</v>
      </c>
      <c r="M463" t="s">
        <v>81</v>
      </c>
      <c r="N463" t="s">
        <v>32</v>
      </c>
      <c r="P463" t="s">
        <v>579</v>
      </c>
      <c r="Q463">
        <v>1</v>
      </c>
      <c r="R463">
        <v>3</v>
      </c>
      <c r="S463">
        <v>93.72</v>
      </c>
      <c r="T463">
        <v>1200000</v>
      </c>
      <c r="U463">
        <v>1200000</v>
      </c>
      <c r="V463">
        <v>1</v>
      </c>
      <c r="W463">
        <v>25666.66</v>
      </c>
      <c r="X463">
        <v>1124640</v>
      </c>
      <c r="Y463">
        <v>1150306.6599999999</v>
      </c>
    </row>
    <row r="464" spans="1:25" x14ac:dyDescent="0.25">
      <c r="A464">
        <v>68</v>
      </c>
      <c r="B464" t="s">
        <v>1545</v>
      </c>
      <c r="C464" t="s">
        <v>32</v>
      </c>
      <c r="D464" t="s">
        <v>381</v>
      </c>
      <c r="E464">
        <v>223116</v>
      </c>
      <c r="F464" t="s">
        <v>382</v>
      </c>
      <c r="G464" t="s">
        <v>383</v>
      </c>
      <c r="H464" t="s">
        <v>384</v>
      </c>
      <c r="I464" t="s">
        <v>385</v>
      </c>
      <c r="J464" t="s">
        <v>382</v>
      </c>
      <c r="K464" t="s">
        <v>386</v>
      </c>
      <c r="L464" t="b">
        <v>1</v>
      </c>
      <c r="M464" t="s">
        <v>81</v>
      </c>
      <c r="N464" t="s">
        <v>32</v>
      </c>
      <c r="P464" t="s">
        <v>579</v>
      </c>
      <c r="Q464">
        <v>1</v>
      </c>
      <c r="R464">
        <v>3</v>
      </c>
      <c r="S464">
        <v>93.867999999999995</v>
      </c>
      <c r="T464">
        <v>900000</v>
      </c>
      <c r="U464">
        <v>900000</v>
      </c>
      <c r="V464">
        <v>1</v>
      </c>
      <c r="W464">
        <v>5893.75</v>
      </c>
      <c r="X464">
        <v>844812</v>
      </c>
      <c r="Y464">
        <v>850705.75</v>
      </c>
    </row>
    <row r="465" spans="1:25" x14ac:dyDescent="0.25">
      <c r="A465">
        <v>68</v>
      </c>
      <c r="B465" t="s">
        <v>1545</v>
      </c>
      <c r="C465" t="s">
        <v>32</v>
      </c>
      <c r="D465" t="s">
        <v>387</v>
      </c>
      <c r="E465">
        <v>202700</v>
      </c>
      <c r="F465" t="s">
        <v>388</v>
      </c>
      <c r="G465" t="s">
        <v>389</v>
      </c>
      <c r="H465" t="s">
        <v>384</v>
      </c>
      <c r="I465" t="s">
        <v>390</v>
      </c>
      <c r="J465" t="s">
        <v>388</v>
      </c>
      <c r="K465" t="s">
        <v>391</v>
      </c>
      <c r="L465" t="b">
        <v>1</v>
      </c>
      <c r="M465" t="s">
        <v>81</v>
      </c>
      <c r="N465" t="s">
        <v>32</v>
      </c>
      <c r="P465" t="s">
        <v>579</v>
      </c>
      <c r="Q465">
        <v>1</v>
      </c>
      <c r="R465">
        <v>3</v>
      </c>
      <c r="S465">
        <v>93.649277999999995</v>
      </c>
      <c r="T465">
        <v>1550000</v>
      </c>
      <c r="U465">
        <v>1550000</v>
      </c>
      <c r="V465">
        <v>1</v>
      </c>
      <c r="W465">
        <v>818.06</v>
      </c>
      <c r="X465">
        <v>1451563.81</v>
      </c>
      <c r="Y465">
        <v>1452381.87</v>
      </c>
    </row>
    <row r="466" spans="1:25" x14ac:dyDescent="0.25">
      <c r="A466">
        <v>68</v>
      </c>
      <c r="B466" t="s">
        <v>1545</v>
      </c>
      <c r="C466" t="s">
        <v>32</v>
      </c>
      <c r="D466" t="s">
        <v>854</v>
      </c>
      <c r="E466">
        <v>160668</v>
      </c>
      <c r="F466" t="s">
        <v>855</v>
      </c>
      <c r="G466" t="s">
        <v>856</v>
      </c>
      <c r="H466" t="s">
        <v>384</v>
      </c>
      <c r="I466" t="s">
        <v>857</v>
      </c>
      <c r="J466" t="s">
        <v>855</v>
      </c>
      <c r="K466" t="s">
        <v>858</v>
      </c>
      <c r="L466" t="b">
        <v>1</v>
      </c>
      <c r="M466" t="s">
        <v>81</v>
      </c>
      <c r="N466" t="s">
        <v>32</v>
      </c>
      <c r="P466" t="s">
        <v>579</v>
      </c>
      <c r="Q466">
        <v>1</v>
      </c>
      <c r="R466">
        <v>3</v>
      </c>
      <c r="S466">
        <v>96.686000000000007</v>
      </c>
      <c r="T466">
        <v>1700000</v>
      </c>
      <c r="U466">
        <v>1700000</v>
      </c>
      <c r="V466">
        <v>1</v>
      </c>
      <c r="W466">
        <v>75449.31</v>
      </c>
      <c r="X466">
        <v>1643662</v>
      </c>
      <c r="Y466">
        <v>1719111.31</v>
      </c>
    </row>
    <row r="467" spans="1:25" x14ac:dyDescent="0.25">
      <c r="A467">
        <v>68</v>
      </c>
      <c r="B467" t="s">
        <v>1545</v>
      </c>
      <c r="C467" t="s">
        <v>32</v>
      </c>
      <c r="D467" t="s">
        <v>859</v>
      </c>
      <c r="E467">
        <v>204148</v>
      </c>
      <c r="F467" t="s">
        <v>860</v>
      </c>
      <c r="G467" t="s">
        <v>861</v>
      </c>
      <c r="H467" t="s">
        <v>862</v>
      </c>
      <c r="I467" t="s">
        <v>863</v>
      </c>
      <c r="J467" t="s">
        <v>860</v>
      </c>
      <c r="K467" t="s">
        <v>864</v>
      </c>
      <c r="L467" t="b">
        <v>1</v>
      </c>
      <c r="M467" t="s">
        <v>31</v>
      </c>
      <c r="N467" t="s">
        <v>32</v>
      </c>
      <c r="P467" t="s">
        <v>579</v>
      </c>
      <c r="Q467">
        <v>1</v>
      </c>
      <c r="R467">
        <v>3</v>
      </c>
      <c r="S467">
        <v>92.625</v>
      </c>
      <c r="T467">
        <v>2000000</v>
      </c>
      <c r="U467">
        <v>2000000</v>
      </c>
      <c r="V467">
        <v>1</v>
      </c>
      <c r="W467">
        <v>95458.33</v>
      </c>
      <c r="X467">
        <v>1852500</v>
      </c>
      <c r="Y467">
        <v>1947958.33</v>
      </c>
    </row>
    <row r="468" spans="1:25" x14ac:dyDescent="0.25">
      <c r="A468">
        <v>68</v>
      </c>
      <c r="B468" t="s">
        <v>1545</v>
      </c>
      <c r="C468" t="s">
        <v>32</v>
      </c>
      <c r="D468" t="s">
        <v>874</v>
      </c>
      <c r="E468">
        <v>225327</v>
      </c>
      <c r="F468" t="s">
        <v>875</v>
      </c>
      <c r="G468" t="s">
        <v>876</v>
      </c>
      <c r="H468" t="s">
        <v>877</v>
      </c>
      <c r="I468" t="s">
        <v>878</v>
      </c>
      <c r="L468" t="b">
        <v>1</v>
      </c>
      <c r="M468" t="s">
        <v>39</v>
      </c>
      <c r="N468" t="s">
        <v>32</v>
      </c>
      <c r="P468" t="s">
        <v>579</v>
      </c>
      <c r="Q468">
        <v>1</v>
      </c>
      <c r="R468">
        <v>3</v>
      </c>
      <c r="S468">
        <v>100</v>
      </c>
      <c r="T468">
        <v>1000000</v>
      </c>
      <c r="U468">
        <v>1000000</v>
      </c>
      <c r="V468">
        <v>1</v>
      </c>
      <c r="W468">
        <v>4277.78</v>
      </c>
      <c r="X468">
        <v>1000000</v>
      </c>
      <c r="Y468">
        <v>1004277.78</v>
      </c>
    </row>
    <row r="469" spans="1:25" x14ac:dyDescent="0.25">
      <c r="A469">
        <v>68</v>
      </c>
      <c r="B469" t="s">
        <v>1545</v>
      </c>
      <c r="C469" t="s">
        <v>32</v>
      </c>
      <c r="D469" t="s">
        <v>1573</v>
      </c>
      <c r="E469">
        <v>124645</v>
      </c>
      <c r="F469" t="s">
        <v>1574</v>
      </c>
      <c r="G469" t="s">
        <v>1575</v>
      </c>
      <c r="H469" t="s">
        <v>882</v>
      </c>
      <c r="I469" t="s">
        <v>1576</v>
      </c>
      <c r="L469" t="b">
        <v>1</v>
      </c>
      <c r="M469" t="s">
        <v>31</v>
      </c>
      <c r="N469" t="s">
        <v>32</v>
      </c>
      <c r="P469" t="s">
        <v>579</v>
      </c>
      <c r="Q469">
        <v>1</v>
      </c>
      <c r="R469">
        <v>3</v>
      </c>
      <c r="S469">
        <v>100.53100000000001</v>
      </c>
      <c r="T469">
        <v>3050000</v>
      </c>
      <c r="U469">
        <v>3050000</v>
      </c>
      <c r="V469">
        <v>1</v>
      </c>
      <c r="W469">
        <v>67100</v>
      </c>
      <c r="X469">
        <v>3066195.5</v>
      </c>
      <c r="Y469">
        <v>3133295.5</v>
      </c>
    </row>
    <row r="470" spans="1:25" x14ac:dyDescent="0.25">
      <c r="A470">
        <v>68</v>
      </c>
      <c r="B470" t="s">
        <v>1545</v>
      </c>
      <c r="C470" t="s">
        <v>32</v>
      </c>
      <c r="D470" t="s">
        <v>884</v>
      </c>
      <c r="E470">
        <v>130577</v>
      </c>
      <c r="F470" t="s">
        <v>885</v>
      </c>
      <c r="G470" t="s">
        <v>886</v>
      </c>
      <c r="H470" t="s">
        <v>887</v>
      </c>
      <c r="I470" t="s">
        <v>888</v>
      </c>
      <c r="L470" t="b">
        <v>1</v>
      </c>
      <c r="M470" t="s">
        <v>50</v>
      </c>
      <c r="N470" t="s">
        <v>32</v>
      </c>
      <c r="P470" t="s">
        <v>579</v>
      </c>
      <c r="Q470">
        <v>1</v>
      </c>
      <c r="R470">
        <v>3</v>
      </c>
      <c r="S470">
        <v>104.7788</v>
      </c>
      <c r="T470">
        <v>3772000</v>
      </c>
      <c r="U470">
        <v>3772000</v>
      </c>
      <c r="V470">
        <v>1</v>
      </c>
      <c r="W470">
        <v>71636.570000000007</v>
      </c>
      <c r="X470">
        <v>3952256.34</v>
      </c>
      <c r="Y470">
        <v>4023892.91</v>
      </c>
    </row>
    <row r="471" spans="1:25" x14ac:dyDescent="0.25">
      <c r="A471">
        <v>68</v>
      </c>
      <c r="B471" t="s">
        <v>1545</v>
      </c>
      <c r="C471" t="s">
        <v>32</v>
      </c>
      <c r="D471" t="s">
        <v>889</v>
      </c>
      <c r="E471">
        <v>202363</v>
      </c>
      <c r="F471" t="s">
        <v>890</v>
      </c>
      <c r="G471" t="s">
        <v>891</v>
      </c>
      <c r="H471" t="s">
        <v>892</v>
      </c>
      <c r="I471" t="s">
        <v>893</v>
      </c>
      <c r="J471" t="s">
        <v>890</v>
      </c>
      <c r="K471" t="s">
        <v>894</v>
      </c>
      <c r="L471" t="b">
        <v>1</v>
      </c>
      <c r="M471" t="s">
        <v>895</v>
      </c>
      <c r="N471" t="s">
        <v>32</v>
      </c>
      <c r="P471" t="s">
        <v>579</v>
      </c>
      <c r="Q471">
        <v>1</v>
      </c>
      <c r="R471">
        <v>3</v>
      </c>
      <c r="S471">
        <v>100.5</v>
      </c>
      <c r="T471">
        <v>3000000</v>
      </c>
      <c r="U471">
        <v>3000000</v>
      </c>
      <c r="V471">
        <v>1</v>
      </c>
      <c r="W471">
        <v>57312.5</v>
      </c>
      <c r="X471">
        <v>3015000</v>
      </c>
      <c r="Y471">
        <v>3072312.5</v>
      </c>
    </row>
    <row r="472" spans="1:25" x14ac:dyDescent="0.25">
      <c r="A472">
        <v>68</v>
      </c>
      <c r="B472" t="s">
        <v>1545</v>
      </c>
      <c r="C472" t="s">
        <v>32</v>
      </c>
      <c r="D472" t="s">
        <v>392</v>
      </c>
      <c r="E472">
        <v>215023</v>
      </c>
      <c r="F472" t="s">
        <v>393</v>
      </c>
      <c r="G472" t="s">
        <v>394</v>
      </c>
      <c r="H472" t="s">
        <v>300</v>
      </c>
      <c r="I472" t="s">
        <v>395</v>
      </c>
      <c r="J472" t="s">
        <v>393</v>
      </c>
      <c r="K472" t="s">
        <v>396</v>
      </c>
      <c r="L472" t="b">
        <v>1</v>
      </c>
      <c r="M472" t="s">
        <v>44</v>
      </c>
      <c r="N472" t="s">
        <v>32</v>
      </c>
      <c r="P472" t="s">
        <v>579</v>
      </c>
      <c r="Q472">
        <v>1</v>
      </c>
      <c r="R472">
        <v>3</v>
      </c>
      <c r="S472">
        <v>98.625</v>
      </c>
      <c r="T472">
        <v>3700000</v>
      </c>
      <c r="U472">
        <v>3700000</v>
      </c>
      <c r="V472">
        <v>1</v>
      </c>
      <c r="W472">
        <v>57129.13</v>
      </c>
      <c r="X472">
        <v>3649125</v>
      </c>
      <c r="Y472">
        <v>3706254.13</v>
      </c>
    </row>
    <row r="473" spans="1:25" x14ac:dyDescent="0.25">
      <c r="A473">
        <v>68</v>
      </c>
      <c r="B473" t="s">
        <v>1545</v>
      </c>
      <c r="C473" t="s">
        <v>32</v>
      </c>
      <c r="D473" t="s">
        <v>397</v>
      </c>
      <c r="E473">
        <v>131577</v>
      </c>
      <c r="F473" t="s">
        <v>398</v>
      </c>
      <c r="G473" t="s">
        <v>399</v>
      </c>
      <c r="H473" t="s">
        <v>400</v>
      </c>
      <c r="I473" t="s">
        <v>399</v>
      </c>
      <c r="L473" t="b">
        <v>0</v>
      </c>
      <c r="M473" t="s">
        <v>81</v>
      </c>
      <c r="N473" t="s">
        <v>32</v>
      </c>
      <c r="P473" t="s">
        <v>579</v>
      </c>
      <c r="Q473">
        <v>1</v>
      </c>
      <c r="R473">
        <v>3</v>
      </c>
      <c r="S473">
        <v>110.35</v>
      </c>
      <c r="T473">
        <v>1000000</v>
      </c>
      <c r="U473">
        <v>1000000</v>
      </c>
      <c r="V473">
        <v>1</v>
      </c>
      <c r="W473">
        <v>50447.92</v>
      </c>
      <c r="X473">
        <v>1103500</v>
      </c>
      <c r="Y473">
        <v>1153947.92</v>
      </c>
    </row>
    <row r="474" spans="1:25" x14ac:dyDescent="0.25">
      <c r="A474">
        <v>68</v>
      </c>
      <c r="B474" t="s">
        <v>1545</v>
      </c>
      <c r="C474" t="s">
        <v>32</v>
      </c>
      <c r="D474" t="s">
        <v>401</v>
      </c>
      <c r="E474">
        <v>35570</v>
      </c>
      <c r="F474" t="s">
        <v>402</v>
      </c>
      <c r="G474" t="s">
        <v>403</v>
      </c>
      <c r="H474" t="s">
        <v>404</v>
      </c>
      <c r="I474" t="s">
        <v>405</v>
      </c>
      <c r="L474" t="b">
        <v>1</v>
      </c>
      <c r="M474" t="s">
        <v>44</v>
      </c>
      <c r="N474" t="s">
        <v>32</v>
      </c>
      <c r="P474" t="s">
        <v>579</v>
      </c>
      <c r="Q474">
        <v>1</v>
      </c>
      <c r="R474">
        <v>3</v>
      </c>
      <c r="S474">
        <v>95.004369999999994</v>
      </c>
      <c r="T474">
        <v>1560000</v>
      </c>
      <c r="U474">
        <v>1560000</v>
      </c>
      <c r="V474">
        <v>1</v>
      </c>
      <c r="W474">
        <v>1722.49</v>
      </c>
      <c r="X474">
        <v>1482068.17</v>
      </c>
      <c r="Y474">
        <v>1483790.66</v>
      </c>
    </row>
    <row r="475" spans="1:25" x14ac:dyDescent="0.25">
      <c r="A475">
        <v>68</v>
      </c>
      <c r="B475" t="s">
        <v>1545</v>
      </c>
      <c r="C475" t="s">
        <v>32</v>
      </c>
      <c r="D475" t="s">
        <v>406</v>
      </c>
      <c r="E475">
        <v>523</v>
      </c>
      <c r="F475" t="s">
        <v>407</v>
      </c>
      <c r="G475" t="s">
        <v>408</v>
      </c>
      <c r="H475" t="s">
        <v>404</v>
      </c>
      <c r="I475" t="s">
        <v>409</v>
      </c>
      <c r="L475" t="b">
        <v>1</v>
      </c>
      <c r="M475" t="s">
        <v>44</v>
      </c>
      <c r="N475" t="s">
        <v>32</v>
      </c>
      <c r="P475" t="s">
        <v>579</v>
      </c>
      <c r="Q475">
        <v>1</v>
      </c>
      <c r="R475">
        <v>3</v>
      </c>
      <c r="S475">
        <v>99.277000000000001</v>
      </c>
      <c r="T475">
        <v>2500000</v>
      </c>
      <c r="U475">
        <v>2500000</v>
      </c>
      <c r="V475">
        <v>1</v>
      </c>
      <c r="W475">
        <v>17187.5</v>
      </c>
      <c r="X475">
        <v>2481925</v>
      </c>
      <c r="Y475">
        <v>2499112.5</v>
      </c>
    </row>
    <row r="476" spans="1:25" x14ac:dyDescent="0.25">
      <c r="A476">
        <v>68</v>
      </c>
      <c r="B476" t="s">
        <v>1545</v>
      </c>
      <c r="C476" t="s">
        <v>32</v>
      </c>
      <c r="D476" t="s">
        <v>410</v>
      </c>
      <c r="E476">
        <v>524</v>
      </c>
      <c r="F476" t="s">
        <v>411</v>
      </c>
      <c r="G476" t="s">
        <v>412</v>
      </c>
      <c r="H476" t="s">
        <v>404</v>
      </c>
      <c r="I476" t="s">
        <v>413</v>
      </c>
      <c r="L476" t="b">
        <v>1</v>
      </c>
      <c r="M476" t="s">
        <v>44</v>
      </c>
      <c r="N476" t="s">
        <v>32</v>
      </c>
      <c r="P476" t="s">
        <v>579</v>
      </c>
      <c r="Q476">
        <v>1</v>
      </c>
      <c r="R476">
        <v>3</v>
      </c>
      <c r="S476">
        <v>100.18819999999999</v>
      </c>
      <c r="T476">
        <v>250000</v>
      </c>
      <c r="U476">
        <v>250000</v>
      </c>
      <c r="V476">
        <v>1</v>
      </c>
      <c r="W476">
        <v>1270.83</v>
      </c>
      <c r="X476">
        <v>250470.5</v>
      </c>
      <c r="Y476">
        <v>251741.33</v>
      </c>
    </row>
    <row r="477" spans="1:25" x14ac:dyDescent="0.25">
      <c r="A477">
        <v>68</v>
      </c>
      <c r="B477" t="s">
        <v>1545</v>
      </c>
      <c r="C477" t="s">
        <v>32</v>
      </c>
      <c r="D477" t="s">
        <v>1577</v>
      </c>
      <c r="E477">
        <v>154802</v>
      </c>
      <c r="F477" t="s">
        <v>900</v>
      </c>
      <c r="G477" t="s">
        <v>1578</v>
      </c>
      <c r="H477" t="s">
        <v>404</v>
      </c>
      <c r="I477" t="s">
        <v>899</v>
      </c>
      <c r="J477" t="s">
        <v>897</v>
      </c>
      <c r="K477" t="s">
        <v>897</v>
      </c>
      <c r="L477" t="b">
        <v>1</v>
      </c>
      <c r="M477" t="s">
        <v>44</v>
      </c>
      <c r="N477" t="s">
        <v>32</v>
      </c>
      <c r="P477" t="s">
        <v>579</v>
      </c>
      <c r="Q477">
        <v>1</v>
      </c>
      <c r="R477">
        <v>3</v>
      </c>
      <c r="S477">
        <v>101.625</v>
      </c>
      <c r="T477">
        <v>3600000</v>
      </c>
      <c r="U477">
        <v>3600000</v>
      </c>
      <c r="V477">
        <v>1</v>
      </c>
      <c r="W477">
        <v>58625</v>
      </c>
      <c r="X477">
        <v>3658500</v>
      </c>
      <c r="Y477">
        <v>3717125</v>
      </c>
    </row>
    <row r="478" spans="1:25" x14ac:dyDescent="0.25">
      <c r="A478">
        <v>68</v>
      </c>
      <c r="B478" t="s">
        <v>1545</v>
      </c>
      <c r="C478" t="s">
        <v>32</v>
      </c>
      <c r="D478" t="s">
        <v>419</v>
      </c>
      <c r="E478">
        <v>548</v>
      </c>
      <c r="F478" t="s">
        <v>420</v>
      </c>
      <c r="G478" t="s">
        <v>421</v>
      </c>
      <c r="H478" t="s">
        <v>422</v>
      </c>
      <c r="I478" t="s">
        <v>423</v>
      </c>
      <c r="L478" t="b">
        <v>1</v>
      </c>
      <c r="M478" t="s">
        <v>44</v>
      </c>
      <c r="N478" t="s">
        <v>32</v>
      </c>
      <c r="P478" t="s">
        <v>579</v>
      </c>
      <c r="Q478">
        <v>1</v>
      </c>
      <c r="R478">
        <v>3</v>
      </c>
      <c r="S478">
        <v>97.384001999999995</v>
      </c>
      <c r="T478">
        <v>1300000</v>
      </c>
      <c r="U478">
        <v>1300000</v>
      </c>
      <c r="V478">
        <v>1</v>
      </c>
      <c r="W478">
        <v>2405.9</v>
      </c>
      <c r="X478">
        <v>1265992.03</v>
      </c>
      <c r="Y478">
        <v>1268397.93</v>
      </c>
    </row>
    <row r="479" spans="1:25" x14ac:dyDescent="0.25">
      <c r="A479">
        <v>68</v>
      </c>
      <c r="B479" t="s">
        <v>1545</v>
      </c>
      <c r="C479" t="s">
        <v>32</v>
      </c>
      <c r="D479" t="s">
        <v>428</v>
      </c>
      <c r="E479">
        <v>161093</v>
      </c>
      <c r="F479" t="s">
        <v>429</v>
      </c>
      <c r="G479" t="s">
        <v>430</v>
      </c>
      <c r="H479" t="s">
        <v>422</v>
      </c>
      <c r="I479" t="s">
        <v>431</v>
      </c>
      <c r="J479" t="s">
        <v>429</v>
      </c>
      <c r="K479" t="s">
        <v>432</v>
      </c>
      <c r="L479" t="b">
        <v>1</v>
      </c>
      <c r="M479" t="s">
        <v>44</v>
      </c>
      <c r="N479" t="s">
        <v>32</v>
      </c>
      <c r="P479" t="s">
        <v>579</v>
      </c>
      <c r="Q479">
        <v>1</v>
      </c>
      <c r="R479">
        <v>3</v>
      </c>
      <c r="S479">
        <v>102.5</v>
      </c>
      <c r="T479">
        <v>500000</v>
      </c>
      <c r="U479">
        <v>500000</v>
      </c>
      <c r="V479">
        <v>1</v>
      </c>
      <c r="W479">
        <v>17897.57</v>
      </c>
      <c r="X479">
        <v>512500</v>
      </c>
      <c r="Y479">
        <v>530397.56999999995</v>
      </c>
    </row>
    <row r="480" spans="1:25" x14ac:dyDescent="0.25">
      <c r="A480">
        <v>68</v>
      </c>
      <c r="B480" t="s">
        <v>1545</v>
      </c>
      <c r="C480" t="s">
        <v>32</v>
      </c>
      <c r="D480" t="s">
        <v>433</v>
      </c>
      <c r="E480">
        <v>118335</v>
      </c>
      <c r="F480" t="s">
        <v>434</v>
      </c>
      <c r="G480" t="s">
        <v>435</v>
      </c>
      <c r="H480" t="s">
        <v>422</v>
      </c>
      <c r="I480" t="s">
        <v>436</v>
      </c>
      <c r="L480" t="b">
        <v>1</v>
      </c>
      <c r="M480" t="s">
        <v>44</v>
      </c>
      <c r="N480" t="s">
        <v>32</v>
      </c>
      <c r="P480" t="s">
        <v>579</v>
      </c>
      <c r="Q480">
        <v>1</v>
      </c>
      <c r="R480">
        <v>3</v>
      </c>
      <c r="S480">
        <v>105.1735</v>
      </c>
      <c r="T480">
        <v>1580000</v>
      </c>
      <c r="U480">
        <v>1580000</v>
      </c>
      <c r="V480">
        <v>1</v>
      </c>
      <c r="W480">
        <v>7845.14</v>
      </c>
      <c r="X480">
        <v>1661741.3</v>
      </c>
      <c r="Y480">
        <v>1669586.44</v>
      </c>
    </row>
    <row r="481" spans="1:25" x14ac:dyDescent="0.25">
      <c r="A481">
        <v>68</v>
      </c>
      <c r="B481" t="s">
        <v>1545</v>
      </c>
      <c r="C481" t="s">
        <v>32</v>
      </c>
      <c r="D481" t="s">
        <v>437</v>
      </c>
      <c r="E481">
        <v>96458</v>
      </c>
      <c r="F481" t="s">
        <v>438</v>
      </c>
      <c r="G481" t="s">
        <v>439</v>
      </c>
      <c r="H481" t="s">
        <v>422</v>
      </c>
      <c r="I481" t="s">
        <v>440</v>
      </c>
      <c r="L481" t="b">
        <v>1</v>
      </c>
      <c r="M481" t="s">
        <v>44</v>
      </c>
      <c r="N481" t="s">
        <v>32</v>
      </c>
      <c r="P481" t="s">
        <v>579</v>
      </c>
      <c r="Q481">
        <v>1</v>
      </c>
      <c r="R481">
        <v>3</v>
      </c>
      <c r="S481">
        <v>107.2418</v>
      </c>
      <c r="T481">
        <v>4270000</v>
      </c>
      <c r="U481">
        <v>4270000</v>
      </c>
      <c r="V481">
        <v>1</v>
      </c>
      <c r="W481">
        <v>31070.179999999989</v>
      </c>
      <c r="X481">
        <v>4579224.8599999994</v>
      </c>
      <c r="Y481">
        <v>4610295.0399999991</v>
      </c>
    </row>
    <row r="482" spans="1:25" x14ac:dyDescent="0.25">
      <c r="A482">
        <v>68</v>
      </c>
      <c r="B482" t="s">
        <v>1545</v>
      </c>
      <c r="C482" t="s">
        <v>32</v>
      </c>
      <c r="D482" t="s">
        <v>1579</v>
      </c>
      <c r="E482">
        <v>31637</v>
      </c>
      <c r="F482" t="s">
        <v>1580</v>
      </c>
      <c r="G482" t="s">
        <v>1581</v>
      </c>
      <c r="H482" t="s">
        <v>1582</v>
      </c>
      <c r="I482" t="s">
        <v>1583</v>
      </c>
      <c r="L482" t="b">
        <v>1</v>
      </c>
      <c r="M482" t="s">
        <v>50</v>
      </c>
      <c r="N482" t="s">
        <v>32</v>
      </c>
      <c r="P482" t="s">
        <v>579</v>
      </c>
      <c r="Q482">
        <v>1</v>
      </c>
      <c r="R482">
        <v>3</v>
      </c>
      <c r="S482">
        <v>86.125</v>
      </c>
      <c r="T482">
        <v>400000</v>
      </c>
      <c r="U482">
        <v>400000</v>
      </c>
      <c r="V482">
        <v>1</v>
      </c>
      <c r="W482">
        <v>4030</v>
      </c>
      <c r="X482">
        <v>344500</v>
      </c>
      <c r="Y482">
        <v>348530</v>
      </c>
    </row>
    <row r="483" spans="1:25" x14ac:dyDescent="0.25">
      <c r="A483">
        <v>68</v>
      </c>
      <c r="B483" t="s">
        <v>1545</v>
      </c>
      <c r="C483" t="s">
        <v>32</v>
      </c>
      <c r="D483" t="s">
        <v>906</v>
      </c>
      <c r="E483">
        <v>146582</v>
      </c>
      <c r="F483" t="s">
        <v>905</v>
      </c>
      <c r="G483" t="s">
        <v>907</v>
      </c>
      <c r="H483" t="s">
        <v>444</v>
      </c>
      <c r="I483" t="s">
        <v>904</v>
      </c>
      <c r="J483" t="s">
        <v>902</v>
      </c>
      <c r="K483" t="s">
        <v>902</v>
      </c>
      <c r="L483" t="b">
        <v>1</v>
      </c>
      <c r="M483" t="s">
        <v>50</v>
      </c>
      <c r="N483" t="s">
        <v>32</v>
      </c>
      <c r="P483" t="s">
        <v>579</v>
      </c>
      <c r="Q483">
        <v>1</v>
      </c>
      <c r="R483">
        <v>3</v>
      </c>
      <c r="S483">
        <v>104.42</v>
      </c>
      <c r="T483">
        <v>1750000</v>
      </c>
      <c r="U483">
        <v>1750000</v>
      </c>
      <c r="V483">
        <v>1</v>
      </c>
      <c r="W483">
        <v>50312.5</v>
      </c>
      <c r="X483">
        <v>1827350</v>
      </c>
      <c r="Y483">
        <v>1877662.5</v>
      </c>
    </row>
    <row r="484" spans="1:25" x14ac:dyDescent="0.25">
      <c r="A484">
        <v>68</v>
      </c>
      <c r="B484" t="s">
        <v>1545</v>
      </c>
      <c r="C484" t="s">
        <v>32</v>
      </c>
      <c r="D484" t="s">
        <v>441</v>
      </c>
      <c r="E484">
        <v>121311</v>
      </c>
      <c r="F484" t="s">
        <v>442</v>
      </c>
      <c r="G484" t="s">
        <v>443</v>
      </c>
      <c r="H484" t="s">
        <v>444</v>
      </c>
      <c r="I484" t="s">
        <v>445</v>
      </c>
      <c r="L484" t="b">
        <v>1</v>
      </c>
      <c r="M484" t="s">
        <v>50</v>
      </c>
      <c r="N484" t="s">
        <v>32</v>
      </c>
      <c r="P484" t="s">
        <v>579</v>
      </c>
      <c r="Q484">
        <v>1</v>
      </c>
      <c r="R484">
        <v>3</v>
      </c>
      <c r="S484">
        <v>105.46599999999999</v>
      </c>
      <c r="T484">
        <v>1175000</v>
      </c>
      <c r="U484">
        <v>1175000</v>
      </c>
      <c r="V484">
        <v>1</v>
      </c>
      <c r="W484">
        <v>48835.94</v>
      </c>
      <c r="X484">
        <v>1239225.5</v>
      </c>
      <c r="Y484">
        <v>1288061.4399999999</v>
      </c>
    </row>
    <row r="485" spans="1:25" x14ac:dyDescent="0.25">
      <c r="A485">
        <v>68</v>
      </c>
      <c r="B485" t="s">
        <v>1545</v>
      </c>
      <c r="C485" t="s">
        <v>32</v>
      </c>
      <c r="D485" t="s">
        <v>908</v>
      </c>
      <c r="E485">
        <v>135501</v>
      </c>
      <c r="F485" t="s">
        <v>909</v>
      </c>
      <c r="G485" t="s">
        <v>910</v>
      </c>
      <c r="H485" t="s">
        <v>911</v>
      </c>
      <c r="I485" t="s">
        <v>910</v>
      </c>
      <c r="L485" t="b">
        <v>0</v>
      </c>
      <c r="M485" t="s">
        <v>81</v>
      </c>
      <c r="N485" t="s">
        <v>32</v>
      </c>
      <c r="P485" t="s">
        <v>579</v>
      </c>
      <c r="Q485">
        <v>1</v>
      </c>
      <c r="R485">
        <v>3</v>
      </c>
      <c r="S485">
        <v>105.77849999999999</v>
      </c>
      <c r="T485">
        <v>1550000</v>
      </c>
      <c r="U485">
        <v>1550000</v>
      </c>
      <c r="V485">
        <v>1</v>
      </c>
      <c r="W485">
        <v>13368.75</v>
      </c>
      <c r="X485">
        <v>1639566.75</v>
      </c>
      <c r="Y485">
        <v>1652935.5</v>
      </c>
    </row>
    <row r="486" spans="1:25" x14ac:dyDescent="0.25">
      <c r="A486">
        <v>68</v>
      </c>
      <c r="B486" t="s">
        <v>1545</v>
      </c>
      <c r="C486" t="s">
        <v>32</v>
      </c>
      <c r="D486" t="s">
        <v>1584</v>
      </c>
      <c r="E486">
        <v>31484</v>
      </c>
      <c r="F486" t="s">
        <v>1585</v>
      </c>
      <c r="G486" t="s">
        <v>1586</v>
      </c>
      <c r="H486" t="s">
        <v>335</v>
      </c>
      <c r="I486" t="s">
        <v>1587</v>
      </c>
      <c r="L486" t="b">
        <v>1</v>
      </c>
      <c r="M486" t="s">
        <v>61</v>
      </c>
      <c r="N486" t="s">
        <v>32</v>
      </c>
      <c r="P486" t="s">
        <v>579</v>
      </c>
      <c r="Q486">
        <v>1</v>
      </c>
      <c r="R486">
        <v>3</v>
      </c>
      <c r="S486">
        <v>99.204809999999995</v>
      </c>
      <c r="T486">
        <v>1500000</v>
      </c>
      <c r="U486">
        <v>1500000</v>
      </c>
      <c r="V486">
        <v>1</v>
      </c>
      <c r="W486">
        <v>16250</v>
      </c>
      <c r="X486">
        <v>1488072.15</v>
      </c>
      <c r="Y486">
        <v>1504322.15</v>
      </c>
    </row>
    <row r="487" spans="1:25" x14ac:dyDescent="0.25">
      <c r="A487">
        <v>68</v>
      </c>
      <c r="B487" t="s">
        <v>1545</v>
      </c>
      <c r="C487" t="s">
        <v>32</v>
      </c>
      <c r="D487" t="s">
        <v>1588</v>
      </c>
      <c r="E487">
        <v>146333</v>
      </c>
      <c r="F487" t="s">
        <v>1589</v>
      </c>
      <c r="G487" t="s">
        <v>1590</v>
      </c>
      <c r="H487" t="s">
        <v>335</v>
      </c>
      <c r="I487" t="s">
        <v>1591</v>
      </c>
      <c r="L487" t="b">
        <v>1</v>
      </c>
      <c r="M487" t="s">
        <v>61</v>
      </c>
      <c r="N487" t="s">
        <v>32</v>
      </c>
      <c r="P487" t="s">
        <v>579</v>
      </c>
      <c r="Q487">
        <v>1</v>
      </c>
      <c r="R487">
        <v>3</v>
      </c>
      <c r="S487">
        <v>99.275000000000006</v>
      </c>
      <c r="T487">
        <v>1250000</v>
      </c>
      <c r="U487">
        <v>1250000</v>
      </c>
      <c r="V487">
        <v>1</v>
      </c>
      <c r="W487">
        <v>28194.45</v>
      </c>
      <c r="X487">
        <v>1240937.5</v>
      </c>
      <c r="Y487">
        <v>1269131.95</v>
      </c>
    </row>
    <row r="488" spans="1:25" x14ac:dyDescent="0.25">
      <c r="A488">
        <v>68</v>
      </c>
      <c r="B488" t="s">
        <v>1545</v>
      </c>
      <c r="C488" t="s">
        <v>32</v>
      </c>
      <c r="D488" t="s">
        <v>1592</v>
      </c>
      <c r="E488">
        <v>169264</v>
      </c>
      <c r="F488" t="s">
        <v>1593</v>
      </c>
      <c r="G488" t="s">
        <v>1594</v>
      </c>
      <c r="H488" t="s">
        <v>335</v>
      </c>
      <c r="I488" t="s">
        <v>1595</v>
      </c>
      <c r="L488" t="b">
        <v>1</v>
      </c>
      <c r="M488" t="s">
        <v>61</v>
      </c>
      <c r="N488" t="s">
        <v>32</v>
      </c>
      <c r="P488" t="s">
        <v>579</v>
      </c>
      <c r="Q488">
        <v>1</v>
      </c>
      <c r="R488">
        <v>3</v>
      </c>
      <c r="S488">
        <v>101.9905</v>
      </c>
      <c r="T488">
        <v>3300000</v>
      </c>
      <c r="U488">
        <v>3300000</v>
      </c>
      <c r="V488">
        <v>1</v>
      </c>
      <c r="W488">
        <v>0</v>
      </c>
      <c r="X488">
        <v>3365686.5</v>
      </c>
      <c r="Y488">
        <v>3365686.5</v>
      </c>
    </row>
    <row r="489" spans="1:25" x14ac:dyDescent="0.25">
      <c r="A489">
        <v>68</v>
      </c>
      <c r="B489" t="s">
        <v>1545</v>
      </c>
      <c r="C489" t="s">
        <v>32</v>
      </c>
      <c r="D489" t="s">
        <v>1596</v>
      </c>
      <c r="E489">
        <v>31807</v>
      </c>
      <c r="F489" t="s">
        <v>1597</v>
      </c>
      <c r="G489" t="s">
        <v>1598</v>
      </c>
      <c r="H489" t="s">
        <v>1599</v>
      </c>
      <c r="I489" t="s">
        <v>1600</v>
      </c>
      <c r="L489" t="b">
        <v>1</v>
      </c>
      <c r="M489" t="s">
        <v>44</v>
      </c>
      <c r="N489" t="s">
        <v>32</v>
      </c>
      <c r="P489" t="s">
        <v>579</v>
      </c>
      <c r="Q489">
        <v>1</v>
      </c>
      <c r="R489">
        <v>3</v>
      </c>
      <c r="S489">
        <v>73.028985000000006</v>
      </c>
      <c r="T489">
        <v>1400000</v>
      </c>
      <c r="U489">
        <v>1400000</v>
      </c>
      <c r="V489">
        <v>1</v>
      </c>
      <c r="W489">
        <v>11200</v>
      </c>
      <c r="X489">
        <v>1022405.8</v>
      </c>
      <c r="Y489">
        <v>1033605.8</v>
      </c>
    </row>
    <row r="490" spans="1:25" x14ac:dyDescent="0.25">
      <c r="A490">
        <v>68</v>
      </c>
      <c r="B490" t="s">
        <v>1545</v>
      </c>
      <c r="C490" t="s">
        <v>32</v>
      </c>
      <c r="D490" t="s">
        <v>1601</v>
      </c>
      <c r="E490">
        <v>30609</v>
      </c>
      <c r="F490" t="s">
        <v>1602</v>
      </c>
      <c r="G490" t="s">
        <v>1603</v>
      </c>
      <c r="H490" t="s">
        <v>1604</v>
      </c>
      <c r="I490" t="s">
        <v>1605</v>
      </c>
      <c r="L490" t="b">
        <v>1</v>
      </c>
      <c r="M490" t="s">
        <v>44</v>
      </c>
      <c r="N490" t="s">
        <v>32</v>
      </c>
      <c r="P490" t="s">
        <v>579</v>
      </c>
      <c r="Q490">
        <v>1</v>
      </c>
      <c r="R490">
        <v>3</v>
      </c>
      <c r="S490">
        <v>99.741699999999994</v>
      </c>
      <c r="T490">
        <v>1410000</v>
      </c>
      <c r="U490">
        <v>1410000</v>
      </c>
      <c r="V490">
        <v>1</v>
      </c>
      <c r="W490">
        <v>18677.61</v>
      </c>
      <c r="X490">
        <v>1406357.97</v>
      </c>
      <c r="Y490">
        <v>1425035.58</v>
      </c>
    </row>
    <row r="491" spans="1:25" x14ac:dyDescent="0.25">
      <c r="A491">
        <v>68</v>
      </c>
      <c r="B491" t="s">
        <v>1545</v>
      </c>
      <c r="C491" t="s">
        <v>32</v>
      </c>
      <c r="D491" t="s">
        <v>912</v>
      </c>
      <c r="E491">
        <v>160288</v>
      </c>
      <c r="F491" t="s">
        <v>913</v>
      </c>
      <c r="G491" t="s">
        <v>914</v>
      </c>
      <c r="H491" t="s">
        <v>915</v>
      </c>
      <c r="I491" t="s">
        <v>916</v>
      </c>
      <c r="L491" t="b">
        <v>1</v>
      </c>
      <c r="M491" t="s">
        <v>61</v>
      </c>
      <c r="N491" t="s">
        <v>32</v>
      </c>
      <c r="P491" t="s">
        <v>579</v>
      </c>
      <c r="Q491">
        <v>1</v>
      </c>
      <c r="R491">
        <v>3</v>
      </c>
      <c r="S491">
        <v>101.61</v>
      </c>
      <c r="T491">
        <v>1400000</v>
      </c>
      <c r="U491">
        <v>1400000</v>
      </c>
      <c r="V491">
        <v>1</v>
      </c>
      <c r="W491">
        <v>22389.5</v>
      </c>
      <c r="X491">
        <v>1422540</v>
      </c>
      <c r="Y491">
        <v>1444929.5</v>
      </c>
    </row>
    <row r="492" spans="1:25" x14ac:dyDescent="0.25">
      <c r="A492">
        <v>68</v>
      </c>
      <c r="B492" t="s">
        <v>1545</v>
      </c>
      <c r="C492" t="s">
        <v>32</v>
      </c>
      <c r="D492" t="s">
        <v>446</v>
      </c>
      <c r="E492">
        <v>187610</v>
      </c>
      <c r="F492" t="s">
        <v>447</v>
      </c>
      <c r="G492" t="s">
        <v>448</v>
      </c>
      <c r="H492" t="s">
        <v>449</v>
      </c>
      <c r="I492" t="s">
        <v>450</v>
      </c>
      <c r="J492" t="s">
        <v>447</v>
      </c>
      <c r="K492" t="s">
        <v>451</v>
      </c>
      <c r="L492" t="b">
        <v>1</v>
      </c>
      <c r="M492" t="s">
        <v>452</v>
      </c>
      <c r="N492" t="s">
        <v>32</v>
      </c>
      <c r="P492" t="s">
        <v>579</v>
      </c>
      <c r="Q492">
        <v>1</v>
      </c>
      <c r="R492">
        <v>3</v>
      </c>
      <c r="S492">
        <v>103.92201</v>
      </c>
      <c r="T492">
        <v>4000000</v>
      </c>
      <c r="U492">
        <v>4000000</v>
      </c>
      <c r="V492">
        <v>1</v>
      </c>
      <c r="W492">
        <v>110000</v>
      </c>
      <c r="X492">
        <v>4156880.4</v>
      </c>
      <c r="Y492">
        <v>4266880.4000000004</v>
      </c>
    </row>
    <row r="493" spans="1:25" x14ac:dyDescent="0.25">
      <c r="A493">
        <v>68</v>
      </c>
      <c r="B493" t="s">
        <v>1545</v>
      </c>
      <c r="C493" t="s">
        <v>32</v>
      </c>
      <c r="D493" t="s">
        <v>917</v>
      </c>
      <c r="E493">
        <v>203109</v>
      </c>
      <c r="F493" t="s">
        <v>918</v>
      </c>
      <c r="G493" t="s">
        <v>919</v>
      </c>
      <c r="H493" t="s">
        <v>920</v>
      </c>
      <c r="I493" t="s">
        <v>921</v>
      </c>
      <c r="J493" t="s">
        <v>918</v>
      </c>
      <c r="K493" t="s">
        <v>922</v>
      </c>
      <c r="L493" t="b">
        <v>1</v>
      </c>
      <c r="M493" t="s">
        <v>112</v>
      </c>
      <c r="N493" t="s">
        <v>32</v>
      </c>
      <c r="P493" t="s">
        <v>579</v>
      </c>
      <c r="Q493">
        <v>1</v>
      </c>
      <c r="R493">
        <v>3</v>
      </c>
      <c r="S493">
        <v>103.676</v>
      </c>
      <c r="T493">
        <v>1850000</v>
      </c>
      <c r="U493">
        <v>1850000</v>
      </c>
      <c r="V493">
        <v>1</v>
      </c>
      <c r="W493">
        <v>822.22</v>
      </c>
      <c r="X493">
        <v>1918006</v>
      </c>
      <c r="Y493">
        <v>1918828.22</v>
      </c>
    </row>
    <row r="494" spans="1:25" x14ac:dyDescent="0.25">
      <c r="A494">
        <v>68</v>
      </c>
      <c r="B494" t="s">
        <v>1545</v>
      </c>
      <c r="C494" t="s">
        <v>32</v>
      </c>
      <c r="D494" t="s">
        <v>923</v>
      </c>
      <c r="E494">
        <v>175398</v>
      </c>
      <c r="F494" t="s">
        <v>924</v>
      </c>
      <c r="G494" t="s">
        <v>925</v>
      </c>
      <c r="H494" t="s">
        <v>920</v>
      </c>
      <c r="I494" t="s">
        <v>926</v>
      </c>
      <c r="J494" t="s">
        <v>924</v>
      </c>
      <c r="K494" t="s">
        <v>927</v>
      </c>
      <c r="L494" t="b">
        <v>1</v>
      </c>
      <c r="M494" t="s">
        <v>112</v>
      </c>
      <c r="N494" t="s">
        <v>32</v>
      </c>
      <c r="P494" t="s">
        <v>579</v>
      </c>
      <c r="Q494">
        <v>1</v>
      </c>
      <c r="R494">
        <v>3</v>
      </c>
      <c r="S494">
        <v>103</v>
      </c>
      <c r="T494">
        <v>1800000</v>
      </c>
      <c r="U494">
        <v>1800000</v>
      </c>
      <c r="V494">
        <v>1</v>
      </c>
      <c r="W494">
        <v>14800</v>
      </c>
      <c r="X494">
        <v>1854000</v>
      </c>
      <c r="Y494">
        <v>1868800</v>
      </c>
    </row>
    <row r="495" spans="1:25" x14ac:dyDescent="0.25">
      <c r="A495">
        <v>68</v>
      </c>
      <c r="B495" t="s">
        <v>1545</v>
      </c>
      <c r="C495" t="s">
        <v>32</v>
      </c>
      <c r="D495" t="s">
        <v>1606</v>
      </c>
      <c r="E495">
        <v>171266</v>
      </c>
      <c r="F495" t="s">
        <v>1607</v>
      </c>
      <c r="G495" t="s">
        <v>1608</v>
      </c>
      <c r="H495" t="s">
        <v>463</v>
      </c>
      <c r="I495" t="s">
        <v>1609</v>
      </c>
      <c r="L495" t="b">
        <v>1</v>
      </c>
      <c r="M495" t="s">
        <v>44</v>
      </c>
      <c r="N495" t="s">
        <v>32</v>
      </c>
      <c r="P495" t="s">
        <v>579</v>
      </c>
      <c r="Q495">
        <v>1</v>
      </c>
      <c r="R495">
        <v>3</v>
      </c>
      <c r="S495">
        <v>101.04</v>
      </c>
      <c r="T495">
        <v>1000000</v>
      </c>
      <c r="U495">
        <v>1000000</v>
      </c>
      <c r="V495">
        <v>1</v>
      </c>
      <c r="W495">
        <v>13545.14</v>
      </c>
      <c r="X495">
        <v>1010400</v>
      </c>
      <c r="Y495">
        <v>1023945.14</v>
      </c>
    </row>
    <row r="496" spans="1:25" x14ac:dyDescent="0.25">
      <c r="A496">
        <v>68</v>
      </c>
      <c r="B496" t="s">
        <v>1545</v>
      </c>
      <c r="C496" t="s">
        <v>32</v>
      </c>
      <c r="D496" t="s">
        <v>460</v>
      </c>
      <c r="E496">
        <v>32264</v>
      </c>
      <c r="F496" t="s">
        <v>461</v>
      </c>
      <c r="G496" t="s">
        <v>462</v>
      </c>
      <c r="H496" t="s">
        <v>463</v>
      </c>
      <c r="I496" t="s">
        <v>464</v>
      </c>
      <c r="L496" t="b">
        <v>1</v>
      </c>
      <c r="M496" t="s">
        <v>44</v>
      </c>
      <c r="N496" t="s">
        <v>32</v>
      </c>
      <c r="P496" t="s">
        <v>579</v>
      </c>
      <c r="Q496">
        <v>1</v>
      </c>
      <c r="R496">
        <v>3</v>
      </c>
      <c r="S496">
        <v>100.034295</v>
      </c>
      <c r="T496">
        <v>2000000</v>
      </c>
      <c r="U496">
        <v>2000000</v>
      </c>
      <c r="V496">
        <v>1</v>
      </c>
      <c r="W496">
        <v>25537.78</v>
      </c>
      <c r="X496">
        <v>2000685.9</v>
      </c>
      <c r="Y496">
        <v>2026223.68</v>
      </c>
    </row>
    <row r="497" spans="1:25" x14ac:dyDescent="0.25">
      <c r="A497">
        <v>68</v>
      </c>
      <c r="B497" t="s">
        <v>1545</v>
      </c>
      <c r="C497" t="s">
        <v>32</v>
      </c>
      <c r="D497" t="s">
        <v>465</v>
      </c>
      <c r="E497">
        <v>216347</v>
      </c>
      <c r="F497" t="s">
        <v>466</v>
      </c>
      <c r="G497" t="s">
        <v>467</v>
      </c>
      <c r="H497" t="s">
        <v>463</v>
      </c>
      <c r="I497" t="s">
        <v>468</v>
      </c>
      <c r="J497" t="s">
        <v>466</v>
      </c>
      <c r="K497" t="s">
        <v>469</v>
      </c>
      <c r="L497" t="b">
        <v>1</v>
      </c>
      <c r="M497" t="s">
        <v>44</v>
      </c>
      <c r="N497" t="s">
        <v>32</v>
      </c>
      <c r="P497" t="s">
        <v>579</v>
      </c>
      <c r="Q497">
        <v>1</v>
      </c>
      <c r="R497">
        <v>3</v>
      </c>
      <c r="S497">
        <v>98.363</v>
      </c>
      <c r="T497">
        <v>900000</v>
      </c>
      <c r="U497">
        <v>900000</v>
      </c>
      <c r="V497">
        <v>1</v>
      </c>
      <c r="W497">
        <v>11400</v>
      </c>
      <c r="X497">
        <v>885267</v>
      </c>
      <c r="Y497">
        <v>896667</v>
      </c>
    </row>
    <row r="498" spans="1:25" x14ac:dyDescent="0.25">
      <c r="A498">
        <v>68</v>
      </c>
      <c r="B498" t="s">
        <v>1545</v>
      </c>
      <c r="C498" t="s">
        <v>32</v>
      </c>
      <c r="D498" t="s">
        <v>470</v>
      </c>
      <c r="E498">
        <v>176054</v>
      </c>
      <c r="F498" t="s">
        <v>471</v>
      </c>
      <c r="G498" t="s">
        <v>472</v>
      </c>
      <c r="H498" t="s">
        <v>473</v>
      </c>
      <c r="I498" t="s">
        <v>474</v>
      </c>
      <c r="L498" t="b">
        <v>1</v>
      </c>
      <c r="M498" t="s">
        <v>61</v>
      </c>
      <c r="N498" t="s">
        <v>32</v>
      </c>
      <c r="P498" t="s">
        <v>579</v>
      </c>
      <c r="Q498">
        <v>1</v>
      </c>
      <c r="R498">
        <v>3</v>
      </c>
      <c r="S498">
        <v>101.5</v>
      </c>
      <c r="T498">
        <v>1000000</v>
      </c>
      <c r="U498">
        <v>1000000</v>
      </c>
      <c r="V498">
        <v>1</v>
      </c>
      <c r="W498">
        <v>20163.89</v>
      </c>
      <c r="X498">
        <v>1015000</v>
      </c>
      <c r="Y498">
        <v>1035163.89</v>
      </c>
    </row>
    <row r="499" spans="1:25" x14ac:dyDescent="0.25">
      <c r="A499">
        <v>68</v>
      </c>
      <c r="B499" t="s">
        <v>1545</v>
      </c>
      <c r="C499" t="s">
        <v>32</v>
      </c>
      <c r="D499" t="s">
        <v>1610</v>
      </c>
      <c r="E499">
        <v>219584</v>
      </c>
      <c r="F499" t="s">
        <v>933</v>
      </c>
      <c r="G499" t="s">
        <v>1611</v>
      </c>
      <c r="H499" t="s">
        <v>931</v>
      </c>
      <c r="I499" t="s">
        <v>932</v>
      </c>
      <c r="J499" t="s">
        <v>929</v>
      </c>
      <c r="K499" t="s">
        <v>929</v>
      </c>
      <c r="L499" t="b">
        <v>1</v>
      </c>
      <c r="M499" t="s">
        <v>44</v>
      </c>
      <c r="N499" t="s">
        <v>32</v>
      </c>
      <c r="P499" t="s">
        <v>579</v>
      </c>
      <c r="Q499">
        <v>1</v>
      </c>
      <c r="R499">
        <v>3</v>
      </c>
      <c r="S499">
        <v>97.920002999999994</v>
      </c>
      <c r="T499">
        <v>4000000</v>
      </c>
      <c r="U499">
        <v>4000000</v>
      </c>
      <c r="V499">
        <v>1</v>
      </c>
      <c r="W499">
        <v>48611.11</v>
      </c>
      <c r="X499">
        <v>3916800.12</v>
      </c>
      <c r="Y499">
        <v>3965411.23</v>
      </c>
    </row>
    <row r="500" spans="1:25" x14ac:dyDescent="0.25">
      <c r="A500">
        <v>68</v>
      </c>
      <c r="B500" t="s">
        <v>1545</v>
      </c>
      <c r="C500" t="s">
        <v>32</v>
      </c>
      <c r="D500" t="s">
        <v>1612</v>
      </c>
      <c r="E500">
        <v>219585</v>
      </c>
      <c r="F500" t="s">
        <v>938</v>
      </c>
      <c r="G500" t="s">
        <v>1613</v>
      </c>
      <c r="H500" t="s">
        <v>931</v>
      </c>
      <c r="I500" t="s">
        <v>937</v>
      </c>
      <c r="J500" t="s">
        <v>935</v>
      </c>
      <c r="K500" t="s">
        <v>935</v>
      </c>
      <c r="L500" t="b">
        <v>1</v>
      </c>
      <c r="M500" t="s">
        <v>44</v>
      </c>
      <c r="N500" t="s">
        <v>32</v>
      </c>
      <c r="P500" t="s">
        <v>579</v>
      </c>
      <c r="Q500">
        <v>1</v>
      </c>
      <c r="R500">
        <v>3</v>
      </c>
      <c r="S500">
        <v>98.024844000000002</v>
      </c>
      <c r="T500">
        <v>8000000</v>
      </c>
      <c r="U500">
        <v>8000000</v>
      </c>
      <c r="V500">
        <v>1</v>
      </c>
      <c r="W500">
        <v>100000</v>
      </c>
      <c r="X500">
        <v>7841987.5199999996</v>
      </c>
      <c r="Y500">
        <v>7941987.5199999996</v>
      </c>
    </row>
    <row r="501" spans="1:25" x14ac:dyDescent="0.25">
      <c r="A501">
        <v>68</v>
      </c>
      <c r="B501" t="s">
        <v>1545</v>
      </c>
      <c r="C501" t="s">
        <v>32</v>
      </c>
      <c r="D501" t="s">
        <v>944</v>
      </c>
      <c r="E501">
        <v>647</v>
      </c>
      <c r="F501" t="s">
        <v>945</v>
      </c>
      <c r="G501" t="s">
        <v>946</v>
      </c>
      <c r="H501" t="s">
        <v>478</v>
      </c>
      <c r="I501" t="s">
        <v>947</v>
      </c>
      <c r="L501" t="b">
        <v>1</v>
      </c>
      <c r="M501" t="s">
        <v>31</v>
      </c>
      <c r="N501" t="s">
        <v>32</v>
      </c>
      <c r="P501" t="s">
        <v>579</v>
      </c>
      <c r="Q501">
        <v>1</v>
      </c>
      <c r="R501">
        <v>3</v>
      </c>
      <c r="S501">
        <v>56.57</v>
      </c>
      <c r="T501">
        <v>2300000</v>
      </c>
      <c r="U501">
        <v>2300000</v>
      </c>
      <c r="V501">
        <v>1</v>
      </c>
      <c r="W501">
        <v>0</v>
      </c>
      <c r="X501">
        <v>1301110</v>
      </c>
      <c r="Y501">
        <v>1301110</v>
      </c>
    </row>
    <row r="502" spans="1:25" x14ac:dyDescent="0.25">
      <c r="A502">
        <v>68</v>
      </c>
      <c r="B502" t="s">
        <v>1545</v>
      </c>
      <c r="C502" t="s">
        <v>32</v>
      </c>
      <c r="D502" t="s">
        <v>1614</v>
      </c>
      <c r="E502">
        <v>4240</v>
      </c>
      <c r="F502" t="s">
        <v>1615</v>
      </c>
      <c r="G502" t="s">
        <v>1616</v>
      </c>
      <c r="H502" t="s">
        <v>478</v>
      </c>
      <c r="I502" t="s">
        <v>1617</v>
      </c>
      <c r="L502" t="b">
        <v>1</v>
      </c>
      <c r="M502" t="s">
        <v>31</v>
      </c>
      <c r="N502" t="s">
        <v>32</v>
      </c>
      <c r="P502" t="s">
        <v>579</v>
      </c>
      <c r="Q502">
        <v>1</v>
      </c>
      <c r="R502">
        <v>3</v>
      </c>
      <c r="S502">
        <v>44.227499999999999</v>
      </c>
      <c r="T502">
        <v>200000</v>
      </c>
      <c r="U502">
        <v>200000</v>
      </c>
      <c r="V502">
        <v>1</v>
      </c>
      <c r="W502">
        <v>0</v>
      </c>
      <c r="X502">
        <v>88455</v>
      </c>
      <c r="Y502">
        <v>88455</v>
      </c>
    </row>
    <row r="503" spans="1:25" x14ac:dyDescent="0.25">
      <c r="A503">
        <v>68</v>
      </c>
      <c r="B503" t="s">
        <v>1545</v>
      </c>
      <c r="C503" t="s">
        <v>32</v>
      </c>
      <c r="D503" t="s">
        <v>475</v>
      </c>
      <c r="E503">
        <v>53985</v>
      </c>
      <c r="F503" t="s">
        <v>476</v>
      </c>
      <c r="G503" t="s">
        <v>477</v>
      </c>
      <c r="H503" t="s">
        <v>478</v>
      </c>
      <c r="I503" t="s">
        <v>479</v>
      </c>
      <c r="L503" t="b">
        <v>1</v>
      </c>
      <c r="M503" t="s">
        <v>31</v>
      </c>
      <c r="N503" t="s">
        <v>32</v>
      </c>
      <c r="P503" t="s">
        <v>579</v>
      </c>
      <c r="Q503">
        <v>1</v>
      </c>
      <c r="R503">
        <v>3</v>
      </c>
      <c r="S503">
        <v>54.125</v>
      </c>
      <c r="T503">
        <v>2210000</v>
      </c>
      <c r="U503">
        <v>2210000</v>
      </c>
      <c r="V503">
        <v>1</v>
      </c>
      <c r="W503">
        <v>0</v>
      </c>
      <c r="X503">
        <v>1196162.5</v>
      </c>
      <c r="Y503">
        <v>1196162.5</v>
      </c>
    </row>
    <row r="504" spans="1:25" x14ac:dyDescent="0.25">
      <c r="A504">
        <v>68</v>
      </c>
      <c r="B504" t="s">
        <v>1545</v>
      </c>
      <c r="C504" t="s">
        <v>32</v>
      </c>
      <c r="D504" t="s">
        <v>948</v>
      </c>
      <c r="E504">
        <v>149418</v>
      </c>
      <c r="F504" t="s">
        <v>949</v>
      </c>
      <c r="G504" t="s">
        <v>950</v>
      </c>
      <c r="H504" t="s">
        <v>478</v>
      </c>
      <c r="I504" t="s">
        <v>951</v>
      </c>
      <c r="J504" t="s">
        <v>949</v>
      </c>
      <c r="K504" t="s">
        <v>952</v>
      </c>
      <c r="L504" t="b">
        <v>1</v>
      </c>
      <c r="M504" t="s">
        <v>31</v>
      </c>
      <c r="N504" t="s">
        <v>32</v>
      </c>
      <c r="P504" t="s">
        <v>579</v>
      </c>
      <c r="Q504">
        <v>1</v>
      </c>
      <c r="R504">
        <v>3</v>
      </c>
      <c r="S504">
        <v>54.314</v>
      </c>
      <c r="T504">
        <v>500000</v>
      </c>
      <c r="U504">
        <v>500000</v>
      </c>
      <c r="V504">
        <v>1</v>
      </c>
      <c r="W504">
        <v>0</v>
      </c>
      <c r="X504">
        <v>271570</v>
      </c>
      <c r="Y504">
        <v>271570</v>
      </c>
    </row>
    <row r="505" spans="1:25" x14ac:dyDescent="0.25">
      <c r="A505">
        <v>68</v>
      </c>
      <c r="B505" t="s">
        <v>1545</v>
      </c>
      <c r="C505" t="s">
        <v>32</v>
      </c>
      <c r="D505" t="s">
        <v>953</v>
      </c>
      <c r="E505">
        <v>3575</v>
      </c>
      <c r="F505" t="s">
        <v>954</v>
      </c>
      <c r="G505" t="s">
        <v>955</v>
      </c>
      <c r="H505" t="s">
        <v>478</v>
      </c>
      <c r="I505" t="s">
        <v>956</v>
      </c>
      <c r="L505" t="b">
        <v>1</v>
      </c>
      <c r="M505" t="s">
        <v>31</v>
      </c>
      <c r="N505" t="s">
        <v>32</v>
      </c>
      <c r="P505" t="s">
        <v>579</v>
      </c>
      <c r="Q505">
        <v>1</v>
      </c>
      <c r="R505">
        <v>3</v>
      </c>
      <c r="S505">
        <v>29.5</v>
      </c>
      <c r="T505">
        <v>1000000</v>
      </c>
      <c r="U505">
        <v>1000000</v>
      </c>
      <c r="V505">
        <v>1</v>
      </c>
      <c r="W505">
        <v>0</v>
      </c>
      <c r="X505">
        <v>295000</v>
      </c>
      <c r="Y505">
        <v>295000</v>
      </c>
    </row>
    <row r="506" spans="1:25" x14ac:dyDescent="0.25">
      <c r="A506">
        <v>68</v>
      </c>
      <c r="B506" t="s">
        <v>1545</v>
      </c>
      <c r="C506" t="s">
        <v>32</v>
      </c>
      <c r="D506" t="s">
        <v>1618</v>
      </c>
      <c r="E506">
        <v>4221</v>
      </c>
      <c r="F506" t="s">
        <v>1619</v>
      </c>
      <c r="G506" t="s">
        <v>1620</v>
      </c>
      <c r="H506" t="s">
        <v>960</v>
      </c>
      <c r="I506" t="s">
        <v>1621</v>
      </c>
      <c r="L506" t="b">
        <v>1</v>
      </c>
      <c r="M506" t="s">
        <v>31</v>
      </c>
      <c r="N506" t="s">
        <v>32</v>
      </c>
      <c r="P506" t="s">
        <v>579</v>
      </c>
      <c r="Q506">
        <v>1</v>
      </c>
      <c r="R506">
        <v>3</v>
      </c>
      <c r="S506">
        <v>76.852052999999998</v>
      </c>
      <c r="T506">
        <v>300000</v>
      </c>
      <c r="U506">
        <v>300000</v>
      </c>
      <c r="V506">
        <v>1</v>
      </c>
      <c r="W506">
        <v>6181.25</v>
      </c>
      <c r="X506">
        <v>230556.16</v>
      </c>
      <c r="Y506">
        <v>236737.41</v>
      </c>
    </row>
    <row r="507" spans="1:25" x14ac:dyDescent="0.25">
      <c r="A507">
        <v>68</v>
      </c>
      <c r="B507" t="s">
        <v>1545</v>
      </c>
      <c r="C507" t="s">
        <v>32</v>
      </c>
      <c r="D507" t="s">
        <v>480</v>
      </c>
      <c r="E507">
        <v>160598</v>
      </c>
      <c r="F507" t="s">
        <v>481</v>
      </c>
      <c r="G507" t="s">
        <v>482</v>
      </c>
      <c r="H507" t="s">
        <v>483</v>
      </c>
      <c r="I507" t="s">
        <v>484</v>
      </c>
      <c r="J507" t="s">
        <v>481</v>
      </c>
      <c r="K507" t="s">
        <v>485</v>
      </c>
      <c r="L507" t="b">
        <v>1</v>
      </c>
      <c r="M507" t="s">
        <v>61</v>
      </c>
      <c r="N507" t="s">
        <v>32</v>
      </c>
      <c r="P507" t="s">
        <v>579</v>
      </c>
      <c r="Q507">
        <v>1</v>
      </c>
      <c r="R507">
        <v>3</v>
      </c>
      <c r="S507">
        <v>102.45</v>
      </c>
      <c r="T507">
        <v>1400000</v>
      </c>
      <c r="U507">
        <v>1400000</v>
      </c>
      <c r="V507">
        <v>1</v>
      </c>
      <c r="W507">
        <v>46542.22</v>
      </c>
      <c r="X507">
        <v>1434300</v>
      </c>
      <c r="Y507">
        <v>1480842.22</v>
      </c>
    </row>
    <row r="508" spans="1:25" x14ac:dyDescent="0.25">
      <c r="A508">
        <v>68</v>
      </c>
      <c r="B508" t="s">
        <v>1545</v>
      </c>
      <c r="C508" t="s">
        <v>32</v>
      </c>
      <c r="D508" t="s">
        <v>1622</v>
      </c>
      <c r="E508">
        <v>159230</v>
      </c>
      <c r="F508" t="s">
        <v>1623</v>
      </c>
      <c r="G508" t="s">
        <v>1624</v>
      </c>
      <c r="H508" t="s">
        <v>1625</v>
      </c>
      <c r="I508" t="s">
        <v>1626</v>
      </c>
      <c r="L508" t="b">
        <v>1</v>
      </c>
      <c r="M508" t="s">
        <v>50</v>
      </c>
      <c r="N508" t="s">
        <v>32</v>
      </c>
      <c r="P508" t="s">
        <v>579</v>
      </c>
      <c r="Q508">
        <v>1</v>
      </c>
      <c r="R508">
        <v>3</v>
      </c>
      <c r="S508">
        <v>102.79</v>
      </c>
      <c r="T508">
        <v>200000</v>
      </c>
      <c r="U508">
        <v>200000</v>
      </c>
      <c r="V508">
        <v>1</v>
      </c>
      <c r="W508">
        <v>597.83000000000004</v>
      </c>
      <c r="X508">
        <v>205580</v>
      </c>
      <c r="Y508">
        <v>206177.83</v>
      </c>
    </row>
    <row r="509" spans="1:25" x14ac:dyDescent="0.25">
      <c r="A509">
        <v>68</v>
      </c>
      <c r="B509" t="s">
        <v>1545</v>
      </c>
      <c r="C509" t="s">
        <v>32</v>
      </c>
      <c r="D509" t="s">
        <v>1627</v>
      </c>
      <c r="E509">
        <v>159228</v>
      </c>
      <c r="F509" t="s">
        <v>1628</v>
      </c>
      <c r="G509" t="s">
        <v>1629</v>
      </c>
      <c r="H509" t="s">
        <v>1625</v>
      </c>
      <c r="I509" t="s">
        <v>1630</v>
      </c>
      <c r="L509" t="b">
        <v>1</v>
      </c>
      <c r="M509" t="s">
        <v>50</v>
      </c>
      <c r="N509" t="s">
        <v>32</v>
      </c>
      <c r="P509" t="s">
        <v>579</v>
      </c>
      <c r="Q509">
        <v>1</v>
      </c>
      <c r="R509">
        <v>3</v>
      </c>
      <c r="S509">
        <v>102.645</v>
      </c>
      <c r="T509">
        <v>300000</v>
      </c>
      <c r="U509">
        <v>300000</v>
      </c>
      <c r="V509">
        <v>1</v>
      </c>
      <c r="W509">
        <v>960.5</v>
      </c>
      <c r="X509">
        <v>307935</v>
      </c>
      <c r="Y509">
        <v>308895.5</v>
      </c>
    </row>
    <row r="510" spans="1:25" x14ac:dyDescent="0.25">
      <c r="A510">
        <v>68</v>
      </c>
      <c r="B510" t="s">
        <v>1545</v>
      </c>
      <c r="C510" t="s">
        <v>32</v>
      </c>
      <c r="D510" t="s">
        <v>1631</v>
      </c>
      <c r="E510">
        <v>171267</v>
      </c>
      <c r="F510" t="s">
        <v>1632</v>
      </c>
      <c r="G510" t="s">
        <v>1633</v>
      </c>
      <c r="H510" t="s">
        <v>1634</v>
      </c>
      <c r="I510" t="s">
        <v>1635</v>
      </c>
      <c r="L510" t="b">
        <v>1</v>
      </c>
      <c r="M510" t="s">
        <v>50</v>
      </c>
      <c r="N510" t="s">
        <v>32</v>
      </c>
      <c r="P510" t="s">
        <v>579</v>
      </c>
      <c r="Q510">
        <v>1</v>
      </c>
      <c r="R510">
        <v>3</v>
      </c>
      <c r="S510">
        <v>98.272730999999993</v>
      </c>
      <c r="T510">
        <v>1500000</v>
      </c>
      <c r="U510">
        <v>1500000</v>
      </c>
      <c r="V510">
        <v>1</v>
      </c>
      <c r="W510">
        <v>21887.5</v>
      </c>
      <c r="X510">
        <v>1474090.97</v>
      </c>
      <c r="Y510">
        <v>1495978.47</v>
      </c>
    </row>
    <row r="511" spans="1:25" x14ac:dyDescent="0.25">
      <c r="A511">
        <v>68</v>
      </c>
      <c r="B511" t="s">
        <v>1545</v>
      </c>
      <c r="C511" t="s">
        <v>32</v>
      </c>
      <c r="D511" t="s">
        <v>962</v>
      </c>
      <c r="E511">
        <v>177952</v>
      </c>
      <c r="F511" t="s">
        <v>963</v>
      </c>
      <c r="G511" t="s">
        <v>964</v>
      </c>
      <c r="H511" t="s">
        <v>965</v>
      </c>
      <c r="I511" t="s">
        <v>966</v>
      </c>
      <c r="J511" t="s">
        <v>963</v>
      </c>
      <c r="K511" t="s">
        <v>967</v>
      </c>
      <c r="L511" t="b">
        <v>1</v>
      </c>
      <c r="M511" t="s">
        <v>968</v>
      </c>
      <c r="N511" t="s">
        <v>32</v>
      </c>
      <c r="P511" t="s">
        <v>579</v>
      </c>
      <c r="Q511">
        <v>1</v>
      </c>
      <c r="R511">
        <v>3</v>
      </c>
      <c r="S511">
        <v>107.49</v>
      </c>
      <c r="T511">
        <v>2000000</v>
      </c>
      <c r="U511">
        <v>2000000</v>
      </c>
      <c r="V511">
        <v>1</v>
      </c>
      <c r="W511">
        <v>2883.33</v>
      </c>
      <c r="X511">
        <v>2149800</v>
      </c>
      <c r="Y511">
        <v>2152683.33</v>
      </c>
    </row>
    <row r="512" spans="1:25" x14ac:dyDescent="0.25">
      <c r="A512">
        <v>68</v>
      </c>
      <c r="B512" t="s">
        <v>1545</v>
      </c>
      <c r="C512" t="s">
        <v>32</v>
      </c>
      <c r="D512" t="s">
        <v>969</v>
      </c>
      <c r="E512">
        <v>174399</v>
      </c>
      <c r="F512" t="s">
        <v>970</v>
      </c>
      <c r="G512" t="s">
        <v>971</v>
      </c>
      <c r="H512" t="s">
        <v>210</v>
      </c>
      <c r="I512" t="s">
        <v>972</v>
      </c>
      <c r="J512" t="s">
        <v>970</v>
      </c>
      <c r="K512" t="s">
        <v>973</v>
      </c>
      <c r="L512" t="b">
        <v>1</v>
      </c>
      <c r="M512" t="s">
        <v>44</v>
      </c>
      <c r="N512" t="s">
        <v>32</v>
      </c>
      <c r="P512" t="s">
        <v>579</v>
      </c>
      <c r="Q512">
        <v>1</v>
      </c>
      <c r="R512">
        <v>3</v>
      </c>
      <c r="S512">
        <v>103.325</v>
      </c>
      <c r="T512">
        <v>900000</v>
      </c>
      <c r="U512">
        <v>900000</v>
      </c>
      <c r="V512">
        <v>1</v>
      </c>
      <c r="W512">
        <v>25200</v>
      </c>
      <c r="X512">
        <v>929925</v>
      </c>
      <c r="Y512">
        <v>955125</v>
      </c>
    </row>
    <row r="513" spans="1:25" x14ac:dyDescent="0.25">
      <c r="A513">
        <v>68</v>
      </c>
      <c r="B513" t="s">
        <v>1545</v>
      </c>
      <c r="C513" t="s">
        <v>32</v>
      </c>
      <c r="D513" t="s">
        <v>1636</v>
      </c>
      <c r="E513">
        <v>132870</v>
      </c>
      <c r="F513" t="s">
        <v>1637</v>
      </c>
      <c r="G513" t="s">
        <v>1638</v>
      </c>
      <c r="H513" t="s">
        <v>1639</v>
      </c>
      <c r="I513" t="s">
        <v>1640</v>
      </c>
      <c r="L513" t="b">
        <v>1</v>
      </c>
      <c r="M513" t="s">
        <v>50</v>
      </c>
      <c r="N513" t="s">
        <v>32</v>
      </c>
      <c r="P513" t="s">
        <v>579</v>
      </c>
      <c r="Q513">
        <v>1</v>
      </c>
      <c r="R513">
        <v>3</v>
      </c>
      <c r="S513">
        <v>101.8524</v>
      </c>
      <c r="T513">
        <v>1500000</v>
      </c>
      <c r="U513">
        <v>1500000</v>
      </c>
      <c r="V513">
        <v>1</v>
      </c>
      <c r="W513">
        <v>15370.83</v>
      </c>
      <c r="X513">
        <v>1527786</v>
      </c>
      <c r="Y513">
        <v>1543156.83</v>
      </c>
    </row>
    <row r="514" spans="1:25" x14ac:dyDescent="0.25">
      <c r="A514">
        <v>68</v>
      </c>
      <c r="B514" t="s">
        <v>1545</v>
      </c>
      <c r="C514" t="s">
        <v>32</v>
      </c>
      <c r="D514" t="s">
        <v>1641</v>
      </c>
      <c r="E514">
        <v>30618</v>
      </c>
      <c r="F514" t="s">
        <v>1642</v>
      </c>
      <c r="G514" t="s">
        <v>1643</v>
      </c>
      <c r="H514" t="s">
        <v>1639</v>
      </c>
      <c r="I514" t="s">
        <v>1644</v>
      </c>
      <c r="L514" t="b">
        <v>1</v>
      </c>
      <c r="M514" t="s">
        <v>50</v>
      </c>
      <c r="N514" t="s">
        <v>32</v>
      </c>
      <c r="P514" t="s">
        <v>579</v>
      </c>
      <c r="Q514">
        <v>1</v>
      </c>
      <c r="R514">
        <v>3</v>
      </c>
      <c r="S514">
        <v>105.5185</v>
      </c>
      <c r="T514">
        <v>200000</v>
      </c>
      <c r="U514">
        <v>200000</v>
      </c>
      <c r="V514">
        <v>1</v>
      </c>
      <c r="W514">
        <v>6183.33</v>
      </c>
      <c r="X514">
        <v>211037</v>
      </c>
      <c r="Y514">
        <v>217220.33</v>
      </c>
    </row>
    <row r="515" spans="1:25" x14ac:dyDescent="0.25">
      <c r="A515">
        <v>68</v>
      </c>
      <c r="B515" t="s">
        <v>1545</v>
      </c>
      <c r="C515" t="s">
        <v>32</v>
      </c>
      <c r="D515" t="s">
        <v>1645</v>
      </c>
      <c r="E515">
        <v>147839</v>
      </c>
      <c r="F515" t="s">
        <v>1646</v>
      </c>
      <c r="G515" t="s">
        <v>1647</v>
      </c>
      <c r="H515" t="s">
        <v>214</v>
      </c>
      <c r="I515" t="s">
        <v>1648</v>
      </c>
      <c r="L515" t="b">
        <v>1</v>
      </c>
      <c r="M515" t="s">
        <v>44</v>
      </c>
      <c r="N515" t="s">
        <v>32</v>
      </c>
      <c r="P515" t="s">
        <v>579</v>
      </c>
      <c r="Q515">
        <v>1</v>
      </c>
      <c r="R515">
        <v>3</v>
      </c>
      <c r="S515">
        <v>98.272720000000007</v>
      </c>
      <c r="T515">
        <v>2810000</v>
      </c>
      <c r="U515">
        <v>2810000</v>
      </c>
      <c r="V515">
        <v>1</v>
      </c>
      <c r="W515">
        <v>3020.75</v>
      </c>
      <c r="X515">
        <v>2761463.43</v>
      </c>
      <c r="Y515">
        <v>2764484.18</v>
      </c>
    </row>
    <row r="516" spans="1:25" x14ac:dyDescent="0.25">
      <c r="A516">
        <v>68</v>
      </c>
      <c r="B516" t="s">
        <v>1545</v>
      </c>
      <c r="C516" t="s">
        <v>32</v>
      </c>
      <c r="D516" t="s">
        <v>979</v>
      </c>
      <c r="E516">
        <v>196178</v>
      </c>
      <c r="F516" t="s">
        <v>980</v>
      </c>
      <c r="G516" t="s">
        <v>981</v>
      </c>
      <c r="H516" t="s">
        <v>494</v>
      </c>
      <c r="I516" t="s">
        <v>982</v>
      </c>
      <c r="J516" t="s">
        <v>980</v>
      </c>
      <c r="K516" t="s">
        <v>983</v>
      </c>
      <c r="L516" t="b">
        <v>1</v>
      </c>
      <c r="M516" t="s">
        <v>112</v>
      </c>
      <c r="N516" t="s">
        <v>32</v>
      </c>
      <c r="P516" t="s">
        <v>579</v>
      </c>
      <c r="Q516">
        <v>1</v>
      </c>
      <c r="R516">
        <v>3</v>
      </c>
      <c r="S516">
        <v>102.25</v>
      </c>
      <c r="T516">
        <v>650000</v>
      </c>
      <c r="U516">
        <v>650000</v>
      </c>
      <c r="V516">
        <v>1</v>
      </c>
      <c r="W516">
        <v>13293.4</v>
      </c>
      <c r="X516">
        <v>664625</v>
      </c>
      <c r="Y516">
        <v>677918.4</v>
      </c>
    </row>
    <row r="517" spans="1:25" x14ac:dyDescent="0.25">
      <c r="A517">
        <v>68</v>
      </c>
      <c r="B517" t="s">
        <v>1545</v>
      </c>
      <c r="C517" t="s">
        <v>32</v>
      </c>
      <c r="D517" t="s">
        <v>984</v>
      </c>
      <c r="E517">
        <v>177297</v>
      </c>
      <c r="F517" t="s">
        <v>985</v>
      </c>
      <c r="G517" t="s">
        <v>986</v>
      </c>
      <c r="H517" t="s">
        <v>987</v>
      </c>
      <c r="I517" t="s">
        <v>986</v>
      </c>
      <c r="L517" t="b">
        <v>0</v>
      </c>
      <c r="M517" t="s">
        <v>112</v>
      </c>
      <c r="N517" t="s">
        <v>32</v>
      </c>
      <c r="P517" t="s">
        <v>579</v>
      </c>
      <c r="Q517">
        <v>1</v>
      </c>
      <c r="R517">
        <v>3</v>
      </c>
      <c r="S517">
        <v>100</v>
      </c>
      <c r="T517">
        <v>2772000</v>
      </c>
      <c r="U517">
        <v>2772000</v>
      </c>
      <c r="V517">
        <v>1</v>
      </c>
      <c r="W517">
        <v>15818.61</v>
      </c>
      <c r="X517">
        <v>2772000</v>
      </c>
      <c r="Y517">
        <v>2787818.61</v>
      </c>
    </row>
    <row r="518" spans="1:25" x14ac:dyDescent="0.25">
      <c r="A518">
        <v>68</v>
      </c>
      <c r="B518" t="s">
        <v>1545</v>
      </c>
      <c r="C518" t="s">
        <v>32</v>
      </c>
      <c r="D518" t="s">
        <v>988</v>
      </c>
      <c r="E518">
        <v>31569</v>
      </c>
      <c r="F518" t="s">
        <v>989</v>
      </c>
      <c r="G518" t="s">
        <v>990</v>
      </c>
      <c r="H518" t="s">
        <v>991</v>
      </c>
      <c r="I518" t="s">
        <v>992</v>
      </c>
      <c r="L518" t="b">
        <v>1</v>
      </c>
      <c r="M518" t="s">
        <v>895</v>
      </c>
      <c r="N518" t="s">
        <v>32</v>
      </c>
      <c r="P518" t="s">
        <v>579</v>
      </c>
      <c r="Q518">
        <v>1</v>
      </c>
      <c r="R518">
        <v>3</v>
      </c>
      <c r="S518">
        <v>98.240319999999997</v>
      </c>
      <c r="T518">
        <v>550000</v>
      </c>
      <c r="U518">
        <v>550000</v>
      </c>
      <c r="V518">
        <v>1</v>
      </c>
      <c r="W518">
        <v>8975.69</v>
      </c>
      <c r="X518">
        <v>540321.76</v>
      </c>
      <c r="Y518">
        <v>549297.44999999995</v>
      </c>
    </row>
    <row r="519" spans="1:25" x14ac:dyDescent="0.25">
      <c r="A519">
        <v>68</v>
      </c>
      <c r="B519" t="s">
        <v>1545</v>
      </c>
      <c r="C519" t="s">
        <v>32</v>
      </c>
      <c r="D519" t="s">
        <v>1649</v>
      </c>
      <c r="E519">
        <v>96446</v>
      </c>
      <c r="F519" t="s">
        <v>1650</v>
      </c>
      <c r="G519" t="s">
        <v>1651</v>
      </c>
      <c r="H519" t="s">
        <v>218</v>
      </c>
      <c r="I519" t="s">
        <v>1652</v>
      </c>
      <c r="L519" t="b">
        <v>1</v>
      </c>
      <c r="M519" t="s">
        <v>50</v>
      </c>
      <c r="N519" t="s">
        <v>32</v>
      </c>
      <c r="P519" t="s">
        <v>579</v>
      </c>
      <c r="Q519">
        <v>1</v>
      </c>
      <c r="R519">
        <v>3</v>
      </c>
      <c r="S519">
        <v>98.065010000000001</v>
      </c>
      <c r="T519">
        <v>2450000</v>
      </c>
      <c r="U519">
        <v>2450000</v>
      </c>
      <c r="V519">
        <v>1</v>
      </c>
      <c r="W519">
        <v>15423.09</v>
      </c>
      <c r="X519">
        <v>2402592.75</v>
      </c>
      <c r="Y519">
        <v>2418015.84</v>
      </c>
    </row>
    <row r="520" spans="1:25" x14ac:dyDescent="0.25">
      <c r="A520">
        <v>68</v>
      </c>
      <c r="B520" t="s">
        <v>1545</v>
      </c>
      <c r="C520" t="s">
        <v>32</v>
      </c>
      <c r="D520" t="s">
        <v>993</v>
      </c>
      <c r="E520">
        <v>187071</v>
      </c>
      <c r="F520" t="s">
        <v>994</v>
      </c>
      <c r="G520" t="s">
        <v>995</v>
      </c>
      <c r="H520" t="s">
        <v>218</v>
      </c>
      <c r="I520" t="s">
        <v>996</v>
      </c>
      <c r="J520" t="s">
        <v>994</v>
      </c>
      <c r="K520" t="s">
        <v>997</v>
      </c>
      <c r="L520" t="b">
        <v>1</v>
      </c>
      <c r="M520" t="s">
        <v>50</v>
      </c>
      <c r="N520" t="s">
        <v>32</v>
      </c>
      <c r="P520" t="s">
        <v>579</v>
      </c>
      <c r="Q520">
        <v>1</v>
      </c>
      <c r="R520">
        <v>3</v>
      </c>
      <c r="S520">
        <v>97.513000000000005</v>
      </c>
      <c r="T520">
        <v>4000000</v>
      </c>
      <c r="U520">
        <v>4000000</v>
      </c>
      <c r="V520">
        <v>1</v>
      </c>
      <c r="W520">
        <v>37966.67</v>
      </c>
      <c r="X520">
        <v>3900520</v>
      </c>
      <c r="Y520">
        <v>3938486.67</v>
      </c>
    </row>
    <row r="521" spans="1:25" x14ac:dyDescent="0.25">
      <c r="A521">
        <v>68</v>
      </c>
      <c r="B521" t="s">
        <v>1545</v>
      </c>
      <c r="C521" t="s">
        <v>32</v>
      </c>
      <c r="D521" t="s">
        <v>499</v>
      </c>
      <c r="E521">
        <v>226889</v>
      </c>
      <c r="F521" t="s">
        <v>500</v>
      </c>
      <c r="G521" t="s">
        <v>501</v>
      </c>
      <c r="H521" t="s">
        <v>502</v>
      </c>
      <c r="I521" t="s">
        <v>503</v>
      </c>
      <c r="J521" t="s">
        <v>500</v>
      </c>
      <c r="K521" t="s">
        <v>504</v>
      </c>
      <c r="L521" t="b">
        <v>1</v>
      </c>
      <c r="M521" t="s">
        <v>31</v>
      </c>
      <c r="N521" t="s">
        <v>32</v>
      </c>
      <c r="P521" t="s">
        <v>579</v>
      </c>
      <c r="Q521">
        <v>1</v>
      </c>
      <c r="R521">
        <v>3</v>
      </c>
      <c r="S521">
        <v>100.75</v>
      </c>
      <c r="T521">
        <v>8350000</v>
      </c>
      <c r="U521">
        <v>8350000</v>
      </c>
      <c r="V521">
        <v>1</v>
      </c>
      <c r="W521">
        <v>0</v>
      </c>
      <c r="X521">
        <v>8412625</v>
      </c>
      <c r="Y521">
        <v>8412625</v>
      </c>
    </row>
    <row r="522" spans="1:25" x14ac:dyDescent="0.25">
      <c r="A522">
        <v>68</v>
      </c>
      <c r="B522" t="s">
        <v>1545</v>
      </c>
      <c r="C522" t="s">
        <v>32</v>
      </c>
      <c r="D522" t="s">
        <v>505</v>
      </c>
      <c r="E522">
        <v>151819</v>
      </c>
      <c r="F522" t="s">
        <v>506</v>
      </c>
      <c r="G522" t="s">
        <v>507</v>
      </c>
      <c r="H522" t="s">
        <v>502</v>
      </c>
      <c r="I522" t="s">
        <v>508</v>
      </c>
      <c r="J522" t="s">
        <v>506</v>
      </c>
      <c r="K522" t="s">
        <v>509</v>
      </c>
      <c r="L522" t="b">
        <v>1</v>
      </c>
      <c r="M522" t="s">
        <v>31</v>
      </c>
      <c r="N522" t="s">
        <v>32</v>
      </c>
      <c r="P522" t="s">
        <v>579</v>
      </c>
      <c r="Q522">
        <v>1</v>
      </c>
      <c r="R522">
        <v>3</v>
      </c>
      <c r="S522">
        <v>105.6</v>
      </c>
      <c r="T522">
        <v>4500000</v>
      </c>
      <c r="U522">
        <v>4500000</v>
      </c>
      <c r="V522">
        <v>1</v>
      </c>
      <c r="W522">
        <v>97265.62</v>
      </c>
      <c r="X522">
        <v>4752000</v>
      </c>
      <c r="Y522">
        <v>4849265.62</v>
      </c>
    </row>
    <row r="523" spans="1:25" x14ac:dyDescent="0.25">
      <c r="A523">
        <v>16</v>
      </c>
      <c r="B523" t="s">
        <v>578</v>
      </c>
      <c r="C523" t="s">
        <v>32</v>
      </c>
      <c r="D523" t="s">
        <v>1653</v>
      </c>
      <c r="E523">
        <v>160999</v>
      </c>
      <c r="F523" t="s">
        <v>1654</v>
      </c>
      <c r="G523" t="s">
        <v>1655</v>
      </c>
      <c r="H523" t="s">
        <v>1656</v>
      </c>
      <c r="I523" t="s">
        <v>1657</v>
      </c>
      <c r="L523" t="b">
        <v>1</v>
      </c>
      <c r="M523" t="s">
        <v>31</v>
      </c>
      <c r="N523" t="s">
        <v>32</v>
      </c>
      <c r="P523" t="s">
        <v>579</v>
      </c>
      <c r="Q523">
        <v>1</v>
      </c>
      <c r="R523">
        <v>3</v>
      </c>
      <c r="S523">
        <v>2.5</v>
      </c>
      <c r="T523">
        <v>10346546</v>
      </c>
      <c r="U523">
        <v>10346546</v>
      </c>
      <c r="V523">
        <v>1</v>
      </c>
      <c r="W523">
        <v>0</v>
      </c>
      <c r="X523">
        <v>258663.65999999951</v>
      </c>
      <c r="Y523">
        <v>258663.65999999951</v>
      </c>
    </row>
    <row r="524" spans="1:25" x14ac:dyDescent="0.25">
      <c r="A524">
        <v>16</v>
      </c>
      <c r="B524" t="s">
        <v>578</v>
      </c>
      <c r="C524" t="s">
        <v>32</v>
      </c>
      <c r="D524" t="s">
        <v>1658</v>
      </c>
      <c r="E524">
        <v>159992</v>
      </c>
      <c r="F524" t="s">
        <v>1659</v>
      </c>
      <c r="G524" t="s">
        <v>1660</v>
      </c>
      <c r="H524" t="s">
        <v>1661</v>
      </c>
      <c r="I524" t="s">
        <v>1662</v>
      </c>
      <c r="J524" t="s">
        <v>1659</v>
      </c>
      <c r="K524" t="s">
        <v>1663</v>
      </c>
      <c r="L524" t="b">
        <v>1</v>
      </c>
      <c r="M524" t="s">
        <v>31</v>
      </c>
      <c r="N524" t="s">
        <v>32</v>
      </c>
      <c r="P524" t="s">
        <v>579</v>
      </c>
      <c r="Q524">
        <v>1</v>
      </c>
      <c r="R524">
        <v>3</v>
      </c>
      <c r="S524">
        <v>103.066</v>
      </c>
      <c r="T524">
        <v>2070000</v>
      </c>
      <c r="U524">
        <v>2070000</v>
      </c>
      <c r="V524">
        <v>1</v>
      </c>
      <c r="W524">
        <v>1725</v>
      </c>
      <c r="X524">
        <v>2133466.2000000002</v>
      </c>
      <c r="Y524">
        <v>2135191.2000000002</v>
      </c>
    </row>
    <row r="525" spans="1:25" x14ac:dyDescent="0.25">
      <c r="A525">
        <v>16</v>
      </c>
      <c r="B525" t="s">
        <v>578</v>
      </c>
      <c r="C525" t="s">
        <v>32</v>
      </c>
      <c r="D525" t="s">
        <v>1664</v>
      </c>
      <c r="E525">
        <v>189331</v>
      </c>
      <c r="F525" t="s">
        <v>1665</v>
      </c>
      <c r="G525" t="s">
        <v>1666</v>
      </c>
      <c r="H525" t="s">
        <v>1667</v>
      </c>
      <c r="I525" t="s">
        <v>1668</v>
      </c>
      <c r="J525" t="s">
        <v>1665</v>
      </c>
      <c r="K525" t="s">
        <v>1669</v>
      </c>
      <c r="L525" t="b">
        <v>1</v>
      </c>
      <c r="M525" t="s">
        <v>31</v>
      </c>
      <c r="N525" t="s">
        <v>32</v>
      </c>
      <c r="P525" t="s">
        <v>579</v>
      </c>
      <c r="Q525">
        <v>1</v>
      </c>
      <c r="R525">
        <v>3</v>
      </c>
      <c r="S525">
        <v>95.956649999999996</v>
      </c>
      <c r="T525">
        <v>4950000</v>
      </c>
      <c r="U525">
        <v>4950000</v>
      </c>
      <c r="V525">
        <v>1</v>
      </c>
      <c r="W525">
        <v>6325</v>
      </c>
      <c r="X525">
        <v>4749854.1800000006</v>
      </c>
      <c r="Y525">
        <v>4756179.1800000006</v>
      </c>
    </row>
    <row r="526" spans="1:25" x14ac:dyDescent="0.25">
      <c r="A526">
        <v>16</v>
      </c>
      <c r="B526" t="s">
        <v>578</v>
      </c>
      <c r="C526" t="s">
        <v>32</v>
      </c>
      <c r="D526" t="s">
        <v>1670</v>
      </c>
      <c r="E526">
        <v>155346</v>
      </c>
      <c r="F526" t="s">
        <v>1671</v>
      </c>
      <c r="G526" t="s">
        <v>1672</v>
      </c>
      <c r="H526" t="s">
        <v>1673</v>
      </c>
      <c r="I526" t="s">
        <v>1674</v>
      </c>
      <c r="J526" t="s">
        <v>1671</v>
      </c>
      <c r="K526" t="s">
        <v>1675</v>
      </c>
      <c r="L526" t="b">
        <v>1</v>
      </c>
      <c r="M526" t="s">
        <v>112</v>
      </c>
      <c r="N526" t="s">
        <v>32</v>
      </c>
      <c r="P526" t="s">
        <v>579</v>
      </c>
      <c r="Q526">
        <v>1</v>
      </c>
      <c r="R526">
        <v>3</v>
      </c>
      <c r="S526">
        <v>103.6500714286</v>
      </c>
      <c r="T526">
        <v>2090000</v>
      </c>
      <c r="U526">
        <v>2090000</v>
      </c>
      <c r="V526">
        <v>1</v>
      </c>
      <c r="W526">
        <v>22576.35</v>
      </c>
      <c r="X526">
        <v>2166286.4900000002</v>
      </c>
      <c r="Y526">
        <v>2188862.84</v>
      </c>
    </row>
    <row r="527" spans="1:25" x14ac:dyDescent="0.25">
      <c r="A527">
        <v>16</v>
      </c>
      <c r="B527" t="s">
        <v>578</v>
      </c>
      <c r="C527" t="s">
        <v>32</v>
      </c>
      <c r="D527" t="s">
        <v>1676</v>
      </c>
      <c r="E527">
        <v>176271</v>
      </c>
      <c r="F527" t="s">
        <v>1677</v>
      </c>
      <c r="G527" t="s">
        <v>1678</v>
      </c>
      <c r="H527" t="s">
        <v>1673</v>
      </c>
      <c r="I527" t="s">
        <v>1679</v>
      </c>
      <c r="L527" t="b">
        <v>1</v>
      </c>
      <c r="M527" t="s">
        <v>112</v>
      </c>
      <c r="N527" t="s">
        <v>32</v>
      </c>
      <c r="P527" t="s">
        <v>579</v>
      </c>
      <c r="Q527">
        <v>1</v>
      </c>
      <c r="R527">
        <v>3</v>
      </c>
      <c r="S527">
        <v>106.12184000000001</v>
      </c>
      <c r="T527">
        <v>900000</v>
      </c>
      <c r="U527">
        <v>900000</v>
      </c>
      <c r="V527">
        <v>1</v>
      </c>
      <c r="W527">
        <v>10837.5</v>
      </c>
      <c r="X527">
        <v>955096.56</v>
      </c>
      <c r="Y527">
        <v>965934.06</v>
      </c>
    </row>
    <row r="528" spans="1:25" x14ac:dyDescent="0.25">
      <c r="A528">
        <v>16</v>
      </c>
      <c r="B528" t="s">
        <v>578</v>
      </c>
      <c r="C528" t="s">
        <v>32</v>
      </c>
      <c r="D528" t="s">
        <v>1680</v>
      </c>
      <c r="E528">
        <v>126886</v>
      </c>
      <c r="F528" t="s">
        <v>1681</v>
      </c>
      <c r="G528" t="s">
        <v>1682</v>
      </c>
      <c r="H528" t="s">
        <v>1683</v>
      </c>
      <c r="I528" t="s">
        <v>1682</v>
      </c>
      <c r="L528" t="b">
        <v>0</v>
      </c>
      <c r="M528" t="s">
        <v>31</v>
      </c>
      <c r="N528" t="s">
        <v>32</v>
      </c>
      <c r="P528" t="s">
        <v>579</v>
      </c>
      <c r="Q528">
        <v>1</v>
      </c>
      <c r="R528">
        <v>3</v>
      </c>
      <c r="S528">
        <v>101.9020833333</v>
      </c>
      <c r="T528">
        <v>2232425</v>
      </c>
      <c r="U528">
        <v>2232425</v>
      </c>
      <c r="V528">
        <v>1</v>
      </c>
      <c r="W528">
        <v>6821.3099999999986</v>
      </c>
      <c r="X528">
        <v>2274887.58</v>
      </c>
      <c r="Y528">
        <v>2281708.89</v>
      </c>
    </row>
    <row r="529" spans="1:25" x14ac:dyDescent="0.25">
      <c r="A529">
        <v>16</v>
      </c>
      <c r="B529" t="s">
        <v>578</v>
      </c>
      <c r="C529" t="s">
        <v>32</v>
      </c>
      <c r="D529" t="s">
        <v>90</v>
      </c>
      <c r="E529">
        <v>166674</v>
      </c>
      <c r="F529" t="s">
        <v>91</v>
      </c>
      <c r="G529" t="s">
        <v>92</v>
      </c>
      <c r="H529" t="s">
        <v>93</v>
      </c>
      <c r="I529" t="s">
        <v>94</v>
      </c>
      <c r="J529" t="s">
        <v>91</v>
      </c>
      <c r="K529" t="s">
        <v>95</v>
      </c>
      <c r="L529" t="b">
        <v>1</v>
      </c>
      <c r="M529" t="s">
        <v>50</v>
      </c>
      <c r="N529" t="s">
        <v>32</v>
      </c>
      <c r="P529" t="s">
        <v>579</v>
      </c>
      <c r="Q529">
        <v>1</v>
      </c>
      <c r="R529">
        <v>3</v>
      </c>
      <c r="S529">
        <v>90.39</v>
      </c>
      <c r="T529">
        <v>29791085</v>
      </c>
      <c r="U529">
        <v>29791085</v>
      </c>
      <c r="V529">
        <v>1</v>
      </c>
      <c r="W529">
        <v>496518.08999999991</v>
      </c>
      <c r="X529">
        <v>26928161.739999998</v>
      </c>
      <c r="Y529">
        <v>27424679.829999998</v>
      </c>
    </row>
    <row r="530" spans="1:25" x14ac:dyDescent="0.25">
      <c r="A530">
        <v>16</v>
      </c>
      <c r="B530" t="s">
        <v>578</v>
      </c>
      <c r="C530" t="s">
        <v>32</v>
      </c>
      <c r="D530" t="s">
        <v>96</v>
      </c>
      <c r="E530">
        <v>166676</v>
      </c>
      <c r="F530" t="s">
        <v>97</v>
      </c>
      <c r="G530" t="s">
        <v>98</v>
      </c>
      <c r="H530" t="s">
        <v>93</v>
      </c>
      <c r="I530" t="s">
        <v>99</v>
      </c>
      <c r="J530" t="s">
        <v>97</v>
      </c>
      <c r="K530" t="s">
        <v>100</v>
      </c>
      <c r="L530" t="b">
        <v>1</v>
      </c>
      <c r="M530" t="s">
        <v>50</v>
      </c>
      <c r="N530" t="s">
        <v>32</v>
      </c>
      <c r="P530" t="s">
        <v>579</v>
      </c>
      <c r="Q530">
        <v>1</v>
      </c>
      <c r="R530">
        <v>3</v>
      </c>
      <c r="S530">
        <v>103.77249999999999</v>
      </c>
      <c r="T530">
        <v>19453553</v>
      </c>
      <c r="U530">
        <v>19453553</v>
      </c>
      <c r="V530">
        <v>1</v>
      </c>
      <c r="W530">
        <v>713296.95</v>
      </c>
      <c r="X530">
        <v>20187438.289999999</v>
      </c>
      <c r="Y530">
        <v>20900735.239999998</v>
      </c>
    </row>
    <row r="531" spans="1:25" x14ac:dyDescent="0.25">
      <c r="A531">
        <v>16</v>
      </c>
      <c r="B531" t="s">
        <v>578</v>
      </c>
      <c r="C531" t="s">
        <v>32</v>
      </c>
      <c r="D531" t="s">
        <v>1684</v>
      </c>
      <c r="E531">
        <v>1144</v>
      </c>
      <c r="F531" t="s">
        <v>1685</v>
      </c>
      <c r="G531" t="s">
        <v>1686</v>
      </c>
      <c r="H531" t="s">
        <v>605</v>
      </c>
      <c r="I531" t="s">
        <v>1687</v>
      </c>
      <c r="L531" t="b">
        <v>1</v>
      </c>
      <c r="M531" t="s">
        <v>112</v>
      </c>
      <c r="N531" t="s">
        <v>32</v>
      </c>
      <c r="P531" t="s">
        <v>579</v>
      </c>
      <c r="Q531">
        <v>1</v>
      </c>
      <c r="R531">
        <v>3</v>
      </c>
      <c r="S531">
        <v>100.65853749999999</v>
      </c>
      <c r="T531">
        <v>6414000</v>
      </c>
      <c r="U531">
        <v>6414000</v>
      </c>
      <c r="V531">
        <v>1</v>
      </c>
      <c r="W531">
        <v>12382.6</v>
      </c>
      <c r="X531">
        <v>6456238.6100000003</v>
      </c>
      <c r="Y531">
        <v>6468621.21</v>
      </c>
    </row>
    <row r="532" spans="1:25" x14ac:dyDescent="0.25">
      <c r="A532">
        <v>16</v>
      </c>
      <c r="B532" t="s">
        <v>578</v>
      </c>
      <c r="C532" t="s">
        <v>32</v>
      </c>
      <c r="D532" t="s">
        <v>1688</v>
      </c>
      <c r="E532">
        <v>1145</v>
      </c>
      <c r="F532" t="s">
        <v>1689</v>
      </c>
      <c r="G532" t="s">
        <v>1690</v>
      </c>
      <c r="H532" t="s">
        <v>605</v>
      </c>
      <c r="I532" t="s">
        <v>1691</v>
      </c>
      <c r="L532" t="b">
        <v>1</v>
      </c>
      <c r="M532" t="s">
        <v>112</v>
      </c>
      <c r="N532" t="s">
        <v>32</v>
      </c>
      <c r="P532" t="s">
        <v>579</v>
      </c>
      <c r="Q532">
        <v>1</v>
      </c>
      <c r="R532">
        <v>3</v>
      </c>
      <c r="S532">
        <v>94.474558333299996</v>
      </c>
      <c r="T532">
        <v>520000</v>
      </c>
      <c r="U532">
        <v>520000</v>
      </c>
      <c r="V532">
        <v>1</v>
      </c>
      <c r="W532">
        <v>4651.1099999999997</v>
      </c>
      <c r="X532">
        <v>491267.7</v>
      </c>
      <c r="Y532">
        <v>495918.81</v>
      </c>
    </row>
    <row r="533" spans="1:25" x14ac:dyDescent="0.25">
      <c r="A533">
        <v>16</v>
      </c>
      <c r="B533" t="s">
        <v>578</v>
      </c>
      <c r="C533" t="s">
        <v>32</v>
      </c>
      <c r="D533" t="s">
        <v>1692</v>
      </c>
      <c r="E533">
        <v>159225</v>
      </c>
      <c r="F533" t="s">
        <v>1693</v>
      </c>
      <c r="G533" t="s">
        <v>1694</v>
      </c>
      <c r="H533" t="s">
        <v>605</v>
      </c>
      <c r="I533" t="s">
        <v>1695</v>
      </c>
      <c r="J533" t="s">
        <v>1693</v>
      </c>
      <c r="K533" t="s">
        <v>1696</v>
      </c>
      <c r="L533" t="b">
        <v>1</v>
      </c>
      <c r="M533" t="s">
        <v>112</v>
      </c>
      <c r="N533" t="s">
        <v>32</v>
      </c>
      <c r="P533" t="s">
        <v>579</v>
      </c>
      <c r="Q533">
        <v>1</v>
      </c>
      <c r="R533">
        <v>3</v>
      </c>
      <c r="S533">
        <v>105.63361666669999</v>
      </c>
      <c r="T533">
        <v>20270000</v>
      </c>
      <c r="U533">
        <v>20270000</v>
      </c>
      <c r="V533">
        <v>1</v>
      </c>
      <c r="W533">
        <v>65032.92</v>
      </c>
      <c r="X533">
        <v>21411934.09</v>
      </c>
      <c r="Y533">
        <v>21476967.010000002</v>
      </c>
    </row>
    <row r="534" spans="1:25" x14ac:dyDescent="0.25">
      <c r="A534">
        <v>16</v>
      </c>
      <c r="B534" t="s">
        <v>578</v>
      </c>
      <c r="C534" t="s">
        <v>32</v>
      </c>
      <c r="D534" t="s">
        <v>1697</v>
      </c>
      <c r="E534">
        <v>1147</v>
      </c>
      <c r="F534" t="s">
        <v>1698</v>
      </c>
      <c r="G534" t="s">
        <v>1699</v>
      </c>
      <c r="H534" t="s">
        <v>605</v>
      </c>
      <c r="I534" t="s">
        <v>1700</v>
      </c>
      <c r="L534" t="b">
        <v>1</v>
      </c>
      <c r="M534" t="s">
        <v>112</v>
      </c>
      <c r="N534" t="s">
        <v>32</v>
      </c>
      <c r="P534" t="s">
        <v>579</v>
      </c>
      <c r="Q534">
        <v>1</v>
      </c>
      <c r="R534">
        <v>3</v>
      </c>
      <c r="S534">
        <v>104.5615107143</v>
      </c>
      <c r="T534">
        <v>4110000</v>
      </c>
      <c r="U534">
        <v>4110000</v>
      </c>
      <c r="V534">
        <v>1</v>
      </c>
      <c r="W534">
        <v>32994.17</v>
      </c>
      <c r="X534">
        <v>4297478.09</v>
      </c>
      <c r="Y534">
        <v>4330472.26</v>
      </c>
    </row>
    <row r="535" spans="1:25" x14ac:dyDescent="0.25">
      <c r="A535">
        <v>16</v>
      </c>
      <c r="B535" t="s">
        <v>578</v>
      </c>
      <c r="C535" t="s">
        <v>32</v>
      </c>
      <c r="D535" t="s">
        <v>1701</v>
      </c>
      <c r="E535">
        <v>146385</v>
      </c>
      <c r="F535" t="s">
        <v>1702</v>
      </c>
      <c r="G535" t="s">
        <v>1703</v>
      </c>
      <c r="H535" t="s">
        <v>605</v>
      </c>
      <c r="I535" t="s">
        <v>1704</v>
      </c>
      <c r="J535" t="s">
        <v>1702</v>
      </c>
      <c r="K535" t="s">
        <v>1705</v>
      </c>
      <c r="L535" t="b">
        <v>1</v>
      </c>
      <c r="M535" t="s">
        <v>112</v>
      </c>
      <c r="N535" t="s">
        <v>32</v>
      </c>
      <c r="P535" t="s">
        <v>579</v>
      </c>
      <c r="Q535">
        <v>1</v>
      </c>
      <c r="R535">
        <v>3</v>
      </c>
      <c r="S535">
        <v>106.325</v>
      </c>
      <c r="T535">
        <v>270000</v>
      </c>
      <c r="U535">
        <v>270000</v>
      </c>
      <c r="V535">
        <v>1</v>
      </c>
      <c r="W535">
        <v>9187.5</v>
      </c>
      <c r="X535">
        <v>287077.5</v>
      </c>
      <c r="Y535">
        <v>296265</v>
      </c>
    </row>
    <row r="536" spans="1:25" x14ac:dyDescent="0.25">
      <c r="A536">
        <v>16</v>
      </c>
      <c r="B536" t="s">
        <v>578</v>
      </c>
      <c r="C536" t="s">
        <v>32</v>
      </c>
      <c r="D536" t="s">
        <v>1706</v>
      </c>
      <c r="E536">
        <v>146386</v>
      </c>
      <c r="F536" t="s">
        <v>1705</v>
      </c>
      <c r="G536" t="s">
        <v>1707</v>
      </c>
      <c r="H536" t="s">
        <v>605</v>
      </c>
      <c r="I536" t="s">
        <v>1704</v>
      </c>
      <c r="J536" t="s">
        <v>1702</v>
      </c>
      <c r="K536" t="s">
        <v>1702</v>
      </c>
      <c r="L536" t="b">
        <v>1</v>
      </c>
      <c r="M536" t="s">
        <v>112</v>
      </c>
      <c r="N536" t="s">
        <v>32</v>
      </c>
      <c r="P536" t="s">
        <v>579</v>
      </c>
      <c r="Q536">
        <v>1</v>
      </c>
      <c r="R536">
        <v>3</v>
      </c>
      <c r="S536">
        <v>106.325</v>
      </c>
      <c r="T536">
        <v>6000000</v>
      </c>
      <c r="U536">
        <v>6000000</v>
      </c>
      <c r="V536">
        <v>1</v>
      </c>
      <c r="W536">
        <v>204166.67</v>
      </c>
      <c r="X536">
        <v>6379500</v>
      </c>
      <c r="Y536">
        <v>6583666.6699999999</v>
      </c>
    </row>
    <row r="537" spans="1:25" x14ac:dyDescent="0.25">
      <c r="A537">
        <v>16</v>
      </c>
      <c r="B537" t="s">
        <v>578</v>
      </c>
      <c r="C537" t="s">
        <v>32</v>
      </c>
      <c r="D537" t="s">
        <v>1708</v>
      </c>
      <c r="E537">
        <v>118893</v>
      </c>
      <c r="F537" t="s">
        <v>1709</v>
      </c>
      <c r="G537" t="s">
        <v>1710</v>
      </c>
      <c r="H537" t="s">
        <v>605</v>
      </c>
      <c r="I537" t="s">
        <v>1711</v>
      </c>
      <c r="L537" t="b">
        <v>1</v>
      </c>
      <c r="M537" t="s">
        <v>112</v>
      </c>
      <c r="N537" t="s">
        <v>32</v>
      </c>
      <c r="P537" t="s">
        <v>579</v>
      </c>
      <c r="Q537">
        <v>1</v>
      </c>
      <c r="R537">
        <v>3</v>
      </c>
      <c r="S537">
        <v>106.39319999999999</v>
      </c>
      <c r="T537">
        <v>2619000</v>
      </c>
      <c r="U537">
        <v>2910000</v>
      </c>
      <c r="V537">
        <v>0.9</v>
      </c>
      <c r="W537">
        <v>9675.75</v>
      </c>
      <c r="X537">
        <v>2786437.9</v>
      </c>
      <c r="Y537">
        <v>2796113.65</v>
      </c>
    </row>
    <row r="538" spans="1:25" x14ac:dyDescent="0.25">
      <c r="A538">
        <v>16</v>
      </c>
      <c r="B538" t="s">
        <v>578</v>
      </c>
      <c r="C538" t="s">
        <v>32</v>
      </c>
      <c r="D538" t="s">
        <v>1712</v>
      </c>
      <c r="E538">
        <v>149417</v>
      </c>
      <c r="F538" t="s">
        <v>1713</v>
      </c>
      <c r="G538" t="s">
        <v>1714</v>
      </c>
      <c r="H538" t="s">
        <v>1715</v>
      </c>
      <c r="I538" t="s">
        <v>1716</v>
      </c>
      <c r="J538" t="s">
        <v>1713</v>
      </c>
      <c r="K538" t="s">
        <v>1717</v>
      </c>
      <c r="L538" t="b">
        <v>1</v>
      </c>
      <c r="M538" t="s">
        <v>112</v>
      </c>
      <c r="N538" t="s">
        <v>32</v>
      </c>
      <c r="P538" t="s">
        <v>579</v>
      </c>
      <c r="Q538">
        <v>1</v>
      </c>
      <c r="R538">
        <v>3</v>
      </c>
      <c r="S538">
        <v>103.6108571429</v>
      </c>
      <c r="T538">
        <v>3860000</v>
      </c>
      <c r="U538">
        <v>3860000</v>
      </c>
      <c r="V538">
        <v>1</v>
      </c>
      <c r="W538">
        <v>88659.38</v>
      </c>
      <c r="X538">
        <v>3999379.08</v>
      </c>
      <c r="Y538">
        <v>4088038.46</v>
      </c>
    </row>
    <row r="539" spans="1:25" x14ac:dyDescent="0.25">
      <c r="A539">
        <v>16</v>
      </c>
      <c r="B539" t="s">
        <v>578</v>
      </c>
      <c r="C539" t="s">
        <v>32</v>
      </c>
      <c r="D539" t="s">
        <v>1718</v>
      </c>
      <c r="E539">
        <v>176141</v>
      </c>
      <c r="F539" t="s">
        <v>1719</v>
      </c>
      <c r="G539" t="s">
        <v>1720</v>
      </c>
      <c r="H539" t="s">
        <v>600</v>
      </c>
      <c r="I539" t="s">
        <v>1721</v>
      </c>
      <c r="J539" t="s">
        <v>1719</v>
      </c>
      <c r="K539" t="s">
        <v>1722</v>
      </c>
      <c r="L539" t="b">
        <v>1</v>
      </c>
      <c r="M539" t="s">
        <v>31</v>
      </c>
      <c r="N539" t="s">
        <v>32</v>
      </c>
      <c r="P539" t="s">
        <v>579</v>
      </c>
      <c r="Q539">
        <v>1</v>
      </c>
      <c r="R539">
        <v>3</v>
      </c>
      <c r="S539">
        <v>107.229</v>
      </c>
      <c r="T539">
        <v>5074316</v>
      </c>
      <c r="U539">
        <v>5200000</v>
      </c>
      <c r="V539">
        <v>0.9758</v>
      </c>
      <c r="W539">
        <v>1197.820000000007</v>
      </c>
      <c r="X539">
        <v>5441138.2999999998</v>
      </c>
      <c r="Y539">
        <v>5442336.1200000001</v>
      </c>
    </row>
    <row r="540" spans="1:25" x14ac:dyDescent="0.25">
      <c r="A540">
        <v>16</v>
      </c>
      <c r="B540" t="s">
        <v>578</v>
      </c>
      <c r="C540" t="s">
        <v>32</v>
      </c>
      <c r="D540" t="s">
        <v>116</v>
      </c>
      <c r="E540">
        <v>3819</v>
      </c>
      <c r="F540" t="s">
        <v>117</v>
      </c>
      <c r="G540" t="s">
        <v>118</v>
      </c>
      <c r="H540" t="s">
        <v>111</v>
      </c>
      <c r="I540" t="s">
        <v>118</v>
      </c>
      <c r="L540" t="b">
        <v>0</v>
      </c>
      <c r="M540" t="s">
        <v>112</v>
      </c>
      <c r="N540" t="s">
        <v>32</v>
      </c>
      <c r="P540" t="s">
        <v>579</v>
      </c>
      <c r="Q540">
        <v>1</v>
      </c>
      <c r="R540">
        <v>3</v>
      </c>
      <c r="S540">
        <v>89.718735714299996</v>
      </c>
      <c r="T540">
        <v>480000</v>
      </c>
      <c r="U540">
        <v>800000</v>
      </c>
      <c r="V540">
        <v>0.6</v>
      </c>
      <c r="W540">
        <v>293.33</v>
      </c>
      <c r="X540">
        <v>430649.93000000011</v>
      </c>
      <c r="Y540">
        <v>430943.26000000013</v>
      </c>
    </row>
    <row r="541" spans="1:25" x14ac:dyDescent="0.25">
      <c r="A541">
        <v>16</v>
      </c>
      <c r="B541" t="s">
        <v>578</v>
      </c>
      <c r="C541" t="s">
        <v>32</v>
      </c>
      <c r="D541" t="s">
        <v>1723</v>
      </c>
      <c r="E541">
        <v>3816</v>
      </c>
      <c r="F541" t="s">
        <v>1724</v>
      </c>
      <c r="G541" t="s">
        <v>1725</v>
      </c>
      <c r="H541" t="s">
        <v>111</v>
      </c>
      <c r="I541" t="s">
        <v>1725</v>
      </c>
      <c r="L541" t="b">
        <v>0</v>
      </c>
      <c r="M541" t="s">
        <v>112</v>
      </c>
      <c r="N541" t="s">
        <v>32</v>
      </c>
      <c r="P541" t="s">
        <v>579</v>
      </c>
      <c r="Q541">
        <v>1</v>
      </c>
      <c r="R541">
        <v>3</v>
      </c>
      <c r="S541">
        <v>82.615949999999998</v>
      </c>
      <c r="T541">
        <v>15500000</v>
      </c>
      <c r="U541">
        <v>15500000</v>
      </c>
      <c r="V541">
        <v>1</v>
      </c>
      <c r="W541">
        <v>47361.11</v>
      </c>
      <c r="X541">
        <v>12805472.25</v>
      </c>
      <c r="Y541">
        <v>12852833.359999999</v>
      </c>
    </row>
    <row r="542" spans="1:25" x14ac:dyDescent="0.25">
      <c r="A542">
        <v>16</v>
      </c>
      <c r="B542" t="s">
        <v>578</v>
      </c>
      <c r="C542" t="s">
        <v>32</v>
      </c>
      <c r="D542" t="s">
        <v>1726</v>
      </c>
      <c r="E542">
        <v>132867</v>
      </c>
      <c r="F542" t="s">
        <v>1727</v>
      </c>
      <c r="G542" t="s">
        <v>1728</v>
      </c>
      <c r="H542" t="s">
        <v>111</v>
      </c>
      <c r="I542" t="s">
        <v>1728</v>
      </c>
      <c r="L542" t="b">
        <v>0</v>
      </c>
      <c r="M542" t="s">
        <v>112</v>
      </c>
      <c r="N542" t="s">
        <v>32</v>
      </c>
      <c r="P542" t="s">
        <v>579</v>
      </c>
      <c r="Q542">
        <v>1</v>
      </c>
      <c r="R542">
        <v>3</v>
      </c>
      <c r="S542">
        <v>98.9221</v>
      </c>
      <c r="T542">
        <v>2710000</v>
      </c>
      <c r="U542">
        <v>2710000</v>
      </c>
      <c r="V542">
        <v>1</v>
      </c>
      <c r="W542">
        <v>34251.39</v>
      </c>
      <c r="X542">
        <v>2680788.91</v>
      </c>
      <c r="Y542">
        <v>2715040.3</v>
      </c>
    </row>
    <row r="543" spans="1:25" x14ac:dyDescent="0.25">
      <c r="A543">
        <v>16</v>
      </c>
      <c r="B543" t="s">
        <v>578</v>
      </c>
      <c r="C543" t="s">
        <v>32</v>
      </c>
      <c r="D543" t="s">
        <v>1729</v>
      </c>
      <c r="E543">
        <v>695</v>
      </c>
      <c r="F543" t="s">
        <v>1730</v>
      </c>
      <c r="G543" t="s">
        <v>1731</v>
      </c>
      <c r="H543" t="s">
        <v>1732</v>
      </c>
      <c r="I543" t="s">
        <v>1733</v>
      </c>
      <c r="L543" t="b">
        <v>1</v>
      </c>
      <c r="M543" t="s">
        <v>112</v>
      </c>
      <c r="N543" t="s">
        <v>32</v>
      </c>
      <c r="P543" t="s">
        <v>579</v>
      </c>
      <c r="Q543">
        <v>1</v>
      </c>
      <c r="R543">
        <v>3</v>
      </c>
      <c r="S543">
        <v>101.51185</v>
      </c>
      <c r="T543">
        <v>283390</v>
      </c>
      <c r="U543">
        <v>850000</v>
      </c>
      <c r="V543">
        <v>0.33339999999999997</v>
      </c>
      <c r="W543">
        <v>3542.38</v>
      </c>
      <c r="X543">
        <v>287674.42999999988</v>
      </c>
      <c r="Y543">
        <v>291216.80999999988</v>
      </c>
    </row>
    <row r="544" spans="1:25" x14ac:dyDescent="0.25">
      <c r="A544">
        <v>16</v>
      </c>
      <c r="B544" t="s">
        <v>578</v>
      </c>
      <c r="C544" t="s">
        <v>32</v>
      </c>
      <c r="D544" t="s">
        <v>1734</v>
      </c>
      <c r="E544">
        <v>216183</v>
      </c>
      <c r="F544" t="s">
        <v>1735</v>
      </c>
      <c r="G544" t="s">
        <v>1736</v>
      </c>
      <c r="H544" t="s">
        <v>1732</v>
      </c>
      <c r="I544" t="s">
        <v>1737</v>
      </c>
      <c r="J544" t="s">
        <v>1735</v>
      </c>
      <c r="K544" t="s">
        <v>1738</v>
      </c>
      <c r="L544" t="b">
        <v>1</v>
      </c>
      <c r="M544" t="s">
        <v>112</v>
      </c>
      <c r="N544" t="s">
        <v>32</v>
      </c>
      <c r="P544" t="s">
        <v>579</v>
      </c>
      <c r="Q544">
        <v>1</v>
      </c>
      <c r="R544">
        <v>3</v>
      </c>
      <c r="S544">
        <v>98.266999999999996</v>
      </c>
      <c r="T544">
        <v>950000</v>
      </c>
      <c r="U544">
        <v>950000</v>
      </c>
      <c r="V544">
        <v>1</v>
      </c>
      <c r="W544">
        <v>14511.25</v>
      </c>
      <c r="X544">
        <v>933536.5</v>
      </c>
      <c r="Y544">
        <v>948047.75</v>
      </c>
    </row>
    <row r="545" spans="1:25" x14ac:dyDescent="0.25">
      <c r="A545">
        <v>16</v>
      </c>
      <c r="B545" t="s">
        <v>578</v>
      </c>
      <c r="C545" t="s">
        <v>32</v>
      </c>
      <c r="D545" t="s">
        <v>1739</v>
      </c>
      <c r="E545">
        <v>195836</v>
      </c>
      <c r="F545" t="s">
        <v>1740</v>
      </c>
      <c r="G545" t="s">
        <v>1741</v>
      </c>
      <c r="H545" t="s">
        <v>1732</v>
      </c>
      <c r="I545" t="s">
        <v>1742</v>
      </c>
      <c r="J545" t="s">
        <v>1740</v>
      </c>
      <c r="K545" t="s">
        <v>1743</v>
      </c>
      <c r="L545" t="b">
        <v>1</v>
      </c>
      <c r="M545" t="s">
        <v>112</v>
      </c>
      <c r="N545" t="s">
        <v>32</v>
      </c>
      <c r="P545" t="s">
        <v>579</v>
      </c>
      <c r="Q545">
        <v>1</v>
      </c>
      <c r="R545">
        <v>3</v>
      </c>
      <c r="S545">
        <v>104.821</v>
      </c>
      <c r="T545">
        <v>4000000</v>
      </c>
      <c r="U545">
        <v>4000000</v>
      </c>
      <c r="V545">
        <v>1</v>
      </c>
      <c r="W545">
        <v>56333.33</v>
      </c>
      <c r="X545">
        <v>4192840</v>
      </c>
      <c r="Y545">
        <v>4249173.33</v>
      </c>
    </row>
    <row r="546" spans="1:25" x14ac:dyDescent="0.25">
      <c r="A546">
        <v>16</v>
      </c>
      <c r="B546" t="s">
        <v>578</v>
      </c>
      <c r="C546" t="s">
        <v>32</v>
      </c>
      <c r="D546" t="s">
        <v>1744</v>
      </c>
      <c r="E546">
        <v>214282</v>
      </c>
      <c r="F546" t="s">
        <v>1745</v>
      </c>
      <c r="G546" t="s">
        <v>1746</v>
      </c>
      <c r="H546" t="s">
        <v>1747</v>
      </c>
      <c r="I546" t="s">
        <v>1748</v>
      </c>
      <c r="J546" t="s">
        <v>1745</v>
      </c>
      <c r="K546" t="s">
        <v>1749</v>
      </c>
      <c r="L546" t="b">
        <v>1</v>
      </c>
      <c r="M546" t="s">
        <v>112</v>
      </c>
      <c r="N546" t="s">
        <v>32</v>
      </c>
      <c r="P546" t="s">
        <v>579</v>
      </c>
      <c r="Q546">
        <v>1</v>
      </c>
      <c r="R546">
        <v>3</v>
      </c>
      <c r="S546">
        <v>106.3120375</v>
      </c>
      <c r="T546">
        <v>4700000</v>
      </c>
      <c r="U546">
        <v>4700000</v>
      </c>
      <c r="V546">
        <v>1</v>
      </c>
      <c r="W546">
        <v>2467.5</v>
      </c>
      <c r="X546">
        <v>4996665.76</v>
      </c>
      <c r="Y546">
        <v>4999133.26</v>
      </c>
    </row>
    <row r="547" spans="1:25" x14ac:dyDescent="0.25">
      <c r="A547">
        <v>16</v>
      </c>
      <c r="B547" t="s">
        <v>578</v>
      </c>
      <c r="C547" t="s">
        <v>32</v>
      </c>
      <c r="D547" t="s">
        <v>784</v>
      </c>
      <c r="E547">
        <v>29877</v>
      </c>
      <c r="F547" t="s">
        <v>785</v>
      </c>
      <c r="G547" t="s">
        <v>786</v>
      </c>
      <c r="H547" t="s">
        <v>787</v>
      </c>
      <c r="I547" t="s">
        <v>786</v>
      </c>
      <c r="L547" t="b">
        <v>0</v>
      </c>
      <c r="M547" t="s">
        <v>112</v>
      </c>
      <c r="N547" t="s">
        <v>32</v>
      </c>
      <c r="P547" t="s">
        <v>579</v>
      </c>
      <c r="Q547">
        <v>1</v>
      </c>
      <c r="R547">
        <v>3</v>
      </c>
      <c r="S547">
        <v>99.1</v>
      </c>
      <c r="T547">
        <v>4309976</v>
      </c>
      <c r="U547">
        <v>11493270</v>
      </c>
      <c r="V547">
        <v>0.375</v>
      </c>
      <c r="W547">
        <v>102242.22</v>
      </c>
      <c r="X547">
        <v>4271186.22</v>
      </c>
      <c r="Y547">
        <v>4373428.4399999985</v>
      </c>
    </row>
    <row r="548" spans="1:25" x14ac:dyDescent="0.25">
      <c r="A548">
        <v>16</v>
      </c>
      <c r="B548" t="s">
        <v>578</v>
      </c>
      <c r="C548" t="s">
        <v>32</v>
      </c>
      <c r="D548" t="s">
        <v>1750</v>
      </c>
      <c r="E548">
        <v>876</v>
      </c>
      <c r="F548" t="s">
        <v>1751</v>
      </c>
      <c r="G548" t="s">
        <v>1752</v>
      </c>
      <c r="H548" t="s">
        <v>1753</v>
      </c>
      <c r="I548" t="s">
        <v>1752</v>
      </c>
      <c r="L548" t="b">
        <v>0</v>
      </c>
      <c r="M548" t="s">
        <v>112</v>
      </c>
      <c r="N548" t="s">
        <v>32</v>
      </c>
      <c r="P548" t="s">
        <v>579</v>
      </c>
      <c r="Q548">
        <v>1</v>
      </c>
      <c r="R548">
        <v>3</v>
      </c>
      <c r="S548">
        <v>99.625</v>
      </c>
      <c r="T548">
        <v>153967</v>
      </c>
      <c r="U548">
        <v>692617</v>
      </c>
      <c r="V548">
        <v>0.2223</v>
      </c>
      <c r="W548">
        <v>4692.25</v>
      </c>
      <c r="X548">
        <v>153389.63</v>
      </c>
      <c r="Y548">
        <v>158081.88</v>
      </c>
    </row>
    <row r="549" spans="1:25" x14ac:dyDescent="0.25">
      <c r="A549">
        <v>16</v>
      </c>
      <c r="B549" t="s">
        <v>578</v>
      </c>
      <c r="C549" t="s">
        <v>32</v>
      </c>
      <c r="D549" t="s">
        <v>1754</v>
      </c>
      <c r="E549">
        <v>4002</v>
      </c>
      <c r="F549" t="s">
        <v>1755</v>
      </c>
      <c r="G549" t="s">
        <v>1756</v>
      </c>
      <c r="H549" t="s">
        <v>1757</v>
      </c>
      <c r="I549" t="s">
        <v>1758</v>
      </c>
      <c r="L549" t="b">
        <v>1</v>
      </c>
      <c r="M549" t="s">
        <v>112</v>
      </c>
      <c r="N549" t="s">
        <v>32</v>
      </c>
      <c r="P549" t="s">
        <v>579</v>
      </c>
      <c r="Q549">
        <v>1</v>
      </c>
      <c r="R549">
        <v>3</v>
      </c>
      <c r="S549">
        <v>97.212500000000006</v>
      </c>
      <c r="T549">
        <v>1002923</v>
      </c>
      <c r="U549">
        <v>2173000</v>
      </c>
      <c r="V549">
        <v>0.46150000000000002</v>
      </c>
      <c r="W549">
        <v>21144.959999999999</v>
      </c>
      <c r="X549">
        <v>974966.5199999999</v>
      </c>
      <c r="Y549">
        <v>996111.47999999986</v>
      </c>
    </row>
    <row r="550" spans="1:25" x14ac:dyDescent="0.25">
      <c r="A550">
        <v>16</v>
      </c>
      <c r="B550" t="s">
        <v>578</v>
      </c>
      <c r="C550" t="s">
        <v>32</v>
      </c>
      <c r="D550" t="s">
        <v>1759</v>
      </c>
      <c r="E550">
        <v>29843</v>
      </c>
      <c r="F550" t="s">
        <v>1760</v>
      </c>
      <c r="G550" t="s">
        <v>1761</v>
      </c>
      <c r="H550" t="s">
        <v>184</v>
      </c>
      <c r="I550" t="s">
        <v>1762</v>
      </c>
      <c r="J550" t="s">
        <v>1760</v>
      </c>
      <c r="K550" t="s">
        <v>1763</v>
      </c>
      <c r="L550" t="b">
        <v>1</v>
      </c>
      <c r="M550" t="s">
        <v>112</v>
      </c>
      <c r="N550" t="s">
        <v>32</v>
      </c>
      <c r="P550" t="s">
        <v>579</v>
      </c>
      <c r="Q550">
        <v>1</v>
      </c>
      <c r="R550">
        <v>3</v>
      </c>
      <c r="S550">
        <v>97.99888</v>
      </c>
      <c r="T550">
        <v>206990</v>
      </c>
      <c r="U550">
        <v>206990</v>
      </c>
      <c r="V550">
        <v>1</v>
      </c>
      <c r="W550">
        <v>7115.28</v>
      </c>
      <c r="X550">
        <v>202847.88</v>
      </c>
      <c r="Y550">
        <v>209963.16</v>
      </c>
    </row>
    <row r="551" spans="1:25" x14ac:dyDescent="0.25">
      <c r="A551">
        <v>16</v>
      </c>
      <c r="B551" t="s">
        <v>578</v>
      </c>
      <c r="C551" t="s">
        <v>32</v>
      </c>
      <c r="D551" t="s">
        <v>1764</v>
      </c>
      <c r="E551">
        <v>133014</v>
      </c>
      <c r="F551" t="s">
        <v>1763</v>
      </c>
      <c r="G551" t="s">
        <v>1765</v>
      </c>
      <c r="H551" t="s">
        <v>184</v>
      </c>
      <c r="I551" t="s">
        <v>1762</v>
      </c>
      <c r="J551" t="s">
        <v>1760</v>
      </c>
      <c r="K551" t="s">
        <v>1760</v>
      </c>
      <c r="L551" t="b">
        <v>1</v>
      </c>
      <c r="M551" t="s">
        <v>112</v>
      </c>
      <c r="N551" t="s">
        <v>32</v>
      </c>
      <c r="P551" t="s">
        <v>579</v>
      </c>
      <c r="Q551">
        <v>1</v>
      </c>
      <c r="R551">
        <v>3</v>
      </c>
      <c r="S551">
        <v>97.99888</v>
      </c>
      <c r="T551">
        <v>540000</v>
      </c>
      <c r="U551">
        <v>540000</v>
      </c>
      <c r="V551">
        <v>1</v>
      </c>
      <c r="W551">
        <v>18562.5</v>
      </c>
      <c r="X551">
        <v>529193.94999999995</v>
      </c>
      <c r="Y551">
        <v>547756.44999999995</v>
      </c>
    </row>
    <row r="552" spans="1:25" x14ac:dyDescent="0.25">
      <c r="A552">
        <v>16</v>
      </c>
      <c r="B552" t="s">
        <v>578</v>
      </c>
      <c r="C552" t="s">
        <v>32</v>
      </c>
      <c r="D552" t="s">
        <v>181</v>
      </c>
      <c r="E552">
        <v>951</v>
      </c>
      <c r="F552" t="s">
        <v>182</v>
      </c>
      <c r="G552" t="s">
        <v>183</v>
      </c>
      <c r="H552" t="s">
        <v>184</v>
      </c>
      <c r="I552" t="s">
        <v>185</v>
      </c>
      <c r="L552" t="b">
        <v>1</v>
      </c>
      <c r="M552" t="s">
        <v>112</v>
      </c>
      <c r="N552" t="s">
        <v>32</v>
      </c>
      <c r="P552" t="s">
        <v>579</v>
      </c>
      <c r="Q552">
        <v>1</v>
      </c>
      <c r="R552">
        <v>3</v>
      </c>
      <c r="S552">
        <v>100.40833333330001</v>
      </c>
      <c r="T552">
        <v>333961</v>
      </c>
      <c r="U552">
        <v>667921</v>
      </c>
      <c r="V552">
        <v>0.5</v>
      </c>
      <c r="W552">
        <v>2783.01</v>
      </c>
      <c r="X552">
        <v>335324.67</v>
      </c>
      <c r="Y552">
        <v>338107.68000000011</v>
      </c>
    </row>
    <row r="553" spans="1:25" x14ac:dyDescent="0.25">
      <c r="A553">
        <v>16</v>
      </c>
      <c r="B553" t="s">
        <v>578</v>
      </c>
      <c r="C553" t="s">
        <v>32</v>
      </c>
      <c r="D553" t="s">
        <v>1766</v>
      </c>
      <c r="E553">
        <v>176138</v>
      </c>
      <c r="F553" t="s">
        <v>1767</v>
      </c>
      <c r="G553" t="s">
        <v>1768</v>
      </c>
      <c r="H553" t="s">
        <v>184</v>
      </c>
      <c r="I553" t="s">
        <v>1769</v>
      </c>
      <c r="J553" t="s">
        <v>1767</v>
      </c>
      <c r="K553" t="s">
        <v>1770</v>
      </c>
      <c r="L553" t="b">
        <v>1</v>
      </c>
      <c r="M553" t="s">
        <v>112</v>
      </c>
      <c r="N553" t="s">
        <v>32</v>
      </c>
      <c r="P553" t="s">
        <v>579</v>
      </c>
      <c r="Q553">
        <v>1</v>
      </c>
      <c r="R553">
        <v>3</v>
      </c>
      <c r="S553">
        <v>106.939425</v>
      </c>
      <c r="T553">
        <v>9750000</v>
      </c>
      <c r="U553">
        <v>9750000</v>
      </c>
      <c r="V553">
        <v>1</v>
      </c>
      <c r="W553">
        <v>76578.13</v>
      </c>
      <c r="X553">
        <v>10426593.939999999</v>
      </c>
      <c r="Y553">
        <v>10503172.07</v>
      </c>
    </row>
    <row r="554" spans="1:25" x14ac:dyDescent="0.25">
      <c r="A554">
        <v>16</v>
      </c>
      <c r="B554" t="s">
        <v>578</v>
      </c>
      <c r="C554" t="s">
        <v>32</v>
      </c>
      <c r="D554" t="s">
        <v>1771</v>
      </c>
      <c r="E554">
        <v>981</v>
      </c>
      <c r="F554" t="s">
        <v>1772</v>
      </c>
      <c r="G554" t="s">
        <v>1773</v>
      </c>
      <c r="H554" t="s">
        <v>1774</v>
      </c>
      <c r="I554" t="s">
        <v>1775</v>
      </c>
      <c r="L554" t="b">
        <v>1</v>
      </c>
      <c r="M554" t="s">
        <v>112</v>
      </c>
      <c r="N554" t="s">
        <v>32</v>
      </c>
      <c r="P554" t="s">
        <v>579</v>
      </c>
      <c r="Q554">
        <v>1</v>
      </c>
      <c r="R554">
        <v>3</v>
      </c>
      <c r="S554">
        <v>98.496750000000006</v>
      </c>
      <c r="T554">
        <v>5256502</v>
      </c>
      <c r="U554">
        <v>11827130</v>
      </c>
      <c r="V554">
        <v>0.44440000000000002</v>
      </c>
      <c r="W554">
        <v>141542.26999999999</v>
      </c>
      <c r="X554">
        <v>5177483.63</v>
      </c>
      <c r="Y554">
        <v>5319025.8999999994</v>
      </c>
    </row>
    <row r="555" spans="1:25" x14ac:dyDescent="0.25">
      <c r="A555">
        <v>16</v>
      </c>
      <c r="B555" t="s">
        <v>578</v>
      </c>
      <c r="C555" t="s">
        <v>32</v>
      </c>
      <c r="D555" t="s">
        <v>1776</v>
      </c>
      <c r="E555">
        <v>1068</v>
      </c>
      <c r="F555" t="s">
        <v>1777</v>
      </c>
      <c r="G555" t="s">
        <v>1778</v>
      </c>
      <c r="H555" t="s">
        <v>1779</v>
      </c>
      <c r="I555" t="s">
        <v>1780</v>
      </c>
      <c r="L555" t="b">
        <v>1</v>
      </c>
      <c r="M555" t="s">
        <v>112</v>
      </c>
      <c r="N555" t="s">
        <v>32</v>
      </c>
      <c r="P555" t="s">
        <v>579</v>
      </c>
      <c r="Q555">
        <v>1</v>
      </c>
      <c r="R555">
        <v>3</v>
      </c>
      <c r="S555">
        <v>100.19499999999999</v>
      </c>
      <c r="T555">
        <v>238383</v>
      </c>
      <c r="U555">
        <v>635686</v>
      </c>
      <c r="V555">
        <v>0.375</v>
      </c>
      <c r="W555">
        <v>3377.09</v>
      </c>
      <c r="X555">
        <v>238847.85</v>
      </c>
      <c r="Y555">
        <v>242224.94</v>
      </c>
    </row>
    <row r="556" spans="1:25" x14ac:dyDescent="0.25">
      <c r="A556">
        <v>11</v>
      </c>
      <c r="B556" t="s">
        <v>1781</v>
      </c>
      <c r="C556" t="s">
        <v>26</v>
      </c>
      <c r="D556" t="s">
        <v>1310</v>
      </c>
      <c r="E556">
        <v>148402</v>
      </c>
      <c r="F556" t="s">
        <v>1311</v>
      </c>
      <c r="G556" t="s">
        <v>1312</v>
      </c>
      <c r="H556" t="s">
        <v>1313</v>
      </c>
      <c r="I556" t="s">
        <v>1312</v>
      </c>
      <c r="L556" t="b">
        <v>0</v>
      </c>
      <c r="M556" t="s">
        <v>50</v>
      </c>
      <c r="N556" t="s">
        <v>26</v>
      </c>
      <c r="P556" t="s">
        <v>33</v>
      </c>
      <c r="Q556">
        <v>1</v>
      </c>
      <c r="R556">
        <v>3</v>
      </c>
      <c r="S556">
        <v>90.579776359199997</v>
      </c>
      <c r="T556">
        <v>279320567</v>
      </c>
      <c r="U556">
        <v>279320567</v>
      </c>
      <c r="V556">
        <v>1</v>
      </c>
      <c r="W556">
        <v>3222505.86</v>
      </c>
      <c r="X556">
        <v>253007944.91</v>
      </c>
      <c r="Y556">
        <v>256230450.77000001</v>
      </c>
    </row>
    <row r="557" spans="1:25" x14ac:dyDescent="0.25">
      <c r="A557">
        <v>11</v>
      </c>
      <c r="B557" t="s">
        <v>1781</v>
      </c>
      <c r="C557" t="s">
        <v>26</v>
      </c>
      <c r="D557" t="s">
        <v>1318</v>
      </c>
      <c r="E557">
        <v>148403</v>
      </c>
      <c r="F557" t="s">
        <v>1319</v>
      </c>
      <c r="G557" t="s">
        <v>1320</v>
      </c>
      <c r="H557" t="s">
        <v>1313</v>
      </c>
      <c r="I557" t="s">
        <v>1320</v>
      </c>
      <c r="L557" t="b">
        <v>0</v>
      </c>
      <c r="M557" t="s">
        <v>50</v>
      </c>
      <c r="N557" t="s">
        <v>26</v>
      </c>
      <c r="P557" t="s">
        <v>33</v>
      </c>
      <c r="Q557">
        <v>1</v>
      </c>
      <c r="R557">
        <v>3</v>
      </c>
      <c r="S557">
        <v>33.751028228499997</v>
      </c>
      <c r="T557">
        <v>428101402</v>
      </c>
      <c r="U557">
        <v>428101402</v>
      </c>
      <c r="V557">
        <v>1</v>
      </c>
      <c r="W557">
        <v>4935081.6100000003</v>
      </c>
      <c r="X557">
        <v>144488625.03</v>
      </c>
      <c r="Y557">
        <v>149423706.63999999</v>
      </c>
    </row>
    <row r="558" spans="1:25" x14ac:dyDescent="0.25">
      <c r="A558">
        <v>11</v>
      </c>
      <c r="B558" t="s">
        <v>1781</v>
      </c>
      <c r="C558" t="s">
        <v>26</v>
      </c>
      <c r="D558" t="s">
        <v>1782</v>
      </c>
      <c r="E558">
        <v>116227</v>
      </c>
      <c r="F558" t="s">
        <v>1783</v>
      </c>
      <c r="G558" t="s">
        <v>1784</v>
      </c>
      <c r="H558" t="s">
        <v>1785</v>
      </c>
      <c r="I558" t="s">
        <v>1784</v>
      </c>
      <c r="L558" t="b">
        <v>0</v>
      </c>
      <c r="M558" t="s">
        <v>50</v>
      </c>
      <c r="N558" t="s">
        <v>26</v>
      </c>
      <c r="P558" t="s">
        <v>33</v>
      </c>
      <c r="Q558">
        <v>1</v>
      </c>
      <c r="R558">
        <v>3</v>
      </c>
      <c r="S558">
        <v>101.6970813458</v>
      </c>
      <c r="T558">
        <v>1100000000</v>
      </c>
      <c r="U558">
        <v>1100000000</v>
      </c>
      <c r="V558">
        <v>1</v>
      </c>
      <c r="W558">
        <v>5683333.3300000001</v>
      </c>
      <c r="X558">
        <v>1118667894.8</v>
      </c>
      <c r="Y558">
        <v>1124351228.1300001</v>
      </c>
    </row>
    <row r="559" spans="1:25" x14ac:dyDescent="0.25">
      <c r="A559">
        <v>11</v>
      </c>
      <c r="B559" t="s">
        <v>1781</v>
      </c>
      <c r="C559" t="s">
        <v>26</v>
      </c>
      <c r="D559" t="s">
        <v>1786</v>
      </c>
      <c r="E559">
        <v>118345</v>
      </c>
      <c r="F559" t="s">
        <v>1787</v>
      </c>
      <c r="G559" t="s">
        <v>1788</v>
      </c>
      <c r="H559" t="s">
        <v>1785</v>
      </c>
      <c r="I559" t="s">
        <v>1788</v>
      </c>
      <c r="L559" t="b">
        <v>0</v>
      </c>
      <c r="M559" t="s">
        <v>50</v>
      </c>
      <c r="N559" t="s">
        <v>26</v>
      </c>
      <c r="P559" t="s">
        <v>33</v>
      </c>
      <c r="Q559">
        <v>1</v>
      </c>
      <c r="R559">
        <v>3</v>
      </c>
      <c r="S559">
        <v>101.5993328453</v>
      </c>
      <c r="T559">
        <v>2500000000</v>
      </c>
      <c r="U559">
        <v>2500000000</v>
      </c>
      <c r="V559">
        <v>1</v>
      </c>
      <c r="W559">
        <v>12916666.67</v>
      </c>
      <c r="X559">
        <v>2539983321.1300001</v>
      </c>
      <c r="Y559">
        <v>2552899987.8000002</v>
      </c>
    </row>
    <row r="560" spans="1:25" x14ac:dyDescent="0.25">
      <c r="A560">
        <v>11</v>
      </c>
      <c r="B560" t="s">
        <v>1781</v>
      </c>
      <c r="C560" t="s">
        <v>26</v>
      </c>
      <c r="D560" t="s">
        <v>1789</v>
      </c>
      <c r="E560">
        <v>135593</v>
      </c>
      <c r="F560" t="s">
        <v>1790</v>
      </c>
      <c r="G560" t="s">
        <v>1791</v>
      </c>
      <c r="H560" t="s">
        <v>444</v>
      </c>
      <c r="I560" t="s">
        <v>1791</v>
      </c>
      <c r="L560" t="b">
        <v>0</v>
      </c>
      <c r="M560" t="s">
        <v>50</v>
      </c>
      <c r="N560" t="s">
        <v>26</v>
      </c>
      <c r="P560" t="s">
        <v>33</v>
      </c>
      <c r="Q560">
        <v>1</v>
      </c>
      <c r="R560">
        <v>3</v>
      </c>
      <c r="S560">
        <v>101.08092441860001</v>
      </c>
      <c r="T560">
        <v>1000000000</v>
      </c>
      <c r="U560">
        <v>1000000000</v>
      </c>
      <c r="V560">
        <v>1</v>
      </c>
      <c r="W560">
        <v>5000000</v>
      </c>
      <c r="X560">
        <v>1010809244.1900001</v>
      </c>
      <c r="Y560">
        <v>1015809244.1900001</v>
      </c>
    </row>
    <row r="561" spans="1:25" x14ac:dyDescent="0.25">
      <c r="A561">
        <v>11</v>
      </c>
      <c r="B561" t="s">
        <v>1781</v>
      </c>
      <c r="C561" t="s">
        <v>26</v>
      </c>
      <c r="D561" t="s">
        <v>1321</v>
      </c>
      <c r="E561">
        <v>116569</v>
      </c>
      <c r="F561" t="s">
        <v>1322</v>
      </c>
      <c r="G561" t="s">
        <v>1323</v>
      </c>
      <c r="H561" t="s">
        <v>1324</v>
      </c>
      <c r="I561" t="s">
        <v>1323</v>
      </c>
      <c r="L561" t="b">
        <v>0</v>
      </c>
      <c r="M561" t="s">
        <v>50</v>
      </c>
      <c r="N561" t="s">
        <v>26</v>
      </c>
      <c r="P561" t="s">
        <v>33</v>
      </c>
      <c r="Q561">
        <v>1</v>
      </c>
      <c r="R561">
        <v>3</v>
      </c>
      <c r="S561">
        <v>101.95765112869999</v>
      </c>
      <c r="T561">
        <v>2590358527</v>
      </c>
      <c r="U561">
        <v>3083760151</v>
      </c>
      <c r="V561">
        <v>0.84</v>
      </c>
      <c r="W561">
        <v>35581200.140000008</v>
      </c>
      <c r="X561">
        <v>2641068709.9400001</v>
      </c>
      <c r="Y561">
        <v>2676649910.079999</v>
      </c>
    </row>
    <row r="562" spans="1:25" x14ac:dyDescent="0.25">
      <c r="A562">
        <v>11</v>
      </c>
      <c r="B562" t="s">
        <v>1781</v>
      </c>
      <c r="C562" t="s">
        <v>26</v>
      </c>
      <c r="D562" t="s">
        <v>1792</v>
      </c>
      <c r="E562">
        <v>91779</v>
      </c>
      <c r="F562" t="s">
        <v>1793</v>
      </c>
      <c r="G562" t="s">
        <v>1794</v>
      </c>
      <c r="H562" t="s">
        <v>1795</v>
      </c>
      <c r="I562" t="s">
        <v>1794</v>
      </c>
      <c r="L562" t="b">
        <v>0</v>
      </c>
      <c r="M562" t="s">
        <v>50</v>
      </c>
      <c r="N562" t="s">
        <v>26</v>
      </c>
      <c r="P562" t="s">
        <v>33</v>
      </c>
      <c r="Q562">
        <v>1</v>
      </c>
      <c r="R562">
        <v>3</v>
      </c>
      <c r="S562">
        <v>100.4746742344</v>
      </c>
      <c r="T562">
        <v>1500000000</v>
      </c>
      <c r="U562">
        <v>1500000000</v>
      </c>
      <c r="V562">
        <v>1</v>
      </c>
      <c r="W562">
        <v>28331208.329999998</v>
      </c>
      <c r="X562">
        <v>1507120113.52</v>
      </c>
      <c r="Y562">
        <v>1535451321.8499999</v>
      </c>
    </row>
    <row r="563" spans="1:25" x14ac:dyDescent="0.25">
      <c r="A563">
        <v>11</v>
      </c>
      <c r="B563" t="s">
        <v>1781</v>
      </c>
      <c r="C563" t="s">
        <v>26</v>
      </c>
      <c r="D563" t="s">
        <v>1796</v>
      </c>
      <c r="E563">
        <v>52890</v>
      </c>
      <c r="F563" t="s">
        <v>1797</v>
      </c>
      <c r="G563" t="s">
        <v>1798</v>
      </c>
      <c r="H563" t="s">
        <v>1795</v>
      </c>
      <c r="I563" t="s">
        <v>1798</v>
      </c>
      <c r="L563" t="b">
        <v>0</v>
      </c>
      <c r="M563" t="s">
        <v>50</v>
      </c>
      <c r="N563" t="s">
        <v>26</v>
      </c>
      <c r="P563" t="s">
        <v>33</v>
      </c>
      <c r="Q563">
        <v>1</v>
      </c>
      <c r="R563">
        <v>3</v>
      </c>
      <c r="S563">
        <v>100.884133996</v>
      </c>
      <c r="T563">
        <v>2000000000</v>
      </c>
      <c r="U563">
        <v>2000000000</v>
      </c>
      <c r="V563">
        <v>1</v>
      </c>
      <c r="W563">
        <v>36461033.340000004</v>
      </c>
      <c r="X563">
        <v>2017682679.9200001</v>
      </c>
      <c r="Y563">
        <v>2054143713.26</v>
      </c>
    </row>
    <row r="564" spans="1:25" x14ac:dyDescent="0.25">
      <c r="A564">
        <v>11</v>
      </c>
      <c r="B564" t="s">
        <v>1781</v>
      </c>
      <c r="C564" t="s">
        <v>26</v>
      </c>
      <c r="D564" t="s">
        <v>1799</v>
      </c>
      <c r="E564">
        <v>91765</v>
      </c>
      <c r="F564" t="s">
        <v>1800</v>
      </c>
      <c r="G564" t="s">
        <v>1801</v>
      </c>
      <c r="H564" t="s">
        <v>1802</v>
      </c>
      <c r="I564" t="s">
        <v>1801</v>
      </c>
      <c r="L564" t="b">
        <v>0</v>
      </c>
      <c r="M564" t="s">
        <v>50</v>
      </c>
      <c r="N564" t="s">
        <v>26</v>
      </c>
      <c r="P564" t="s">
        <v>33</v>
      </c>
      <c r="Q564">
        <v>1</v>
      </c>
      <c r="R564">
        <v>3</v>
      </c>
      <c r="S564">
        <v>102.20345381369999</v>
      </c>
      <c r="T564">
        <v>4000000000</v>
      </c>
      <c r="U564">
        <v>4000000000</v>
      </c>
      <c r="V564">
        <v>1</v>
      </c>
      <c r="W564">
        <v>86666666.670000002</v>
      </c>
      <c r="X564">
        <v>4088138152.5500002</v>
      </c>
      <c r="Y564">
        <v>4174804819.2199998</v>
      </c>
    </row>
    <row r="565" spans="1:25" x14ac:dyDescent="0.25">
      <c r="A565">
        <v>11</v>
      </c>
      <c r="B565" t="s">
        <v>1781</v>
      </c>
      <c r="C565" t="s">
        <v>26</v>
      </c>
      <c r="D565" t="s">
        <v>1803</v>
      </c>
      <c r="E565">
        <v>120832</v>
      </c>
      <c r="F565" t="s">
        <v>1804</v>
      </c>
      <c r="G565" t="s">
        <v>1805</v>
      </c>
      <c r="H565" t="s">
        <v>1806</v>
      </c>
      <c r="I565" t="s">
        <v>1805</v>
      </c>
      <c r="L565" t="b">
        <v>0</v>
      </c>
      <c r="M565" t="s">
        <v>50</v>
      </c>
      <c r="N565" t="s">
        <v>26</v>
      </c>
      <c r="P565" t="s">
        <v>33</v>
      </c>
      <c r="Q565">
        <v>1</v>
      </c>
      <c r="R565">
        <v>3</v>
      </c>
      <c r="S565">
        <v>101.7048171539</v>
      </c>
      <c r="T565">
        <v>500000000</v>
      </c>
      <c r="U565">
        <v>500000000</v>
      </c>
      <c r="V565">
        <v>1</v>
      </c>
      <c r="W565">
        <v>5095890.41</v>
      </c>
      <c r="X565">
        <v>508524085.76999998</v>
      </c>
      <c r="Y565">
        <v>513619976.18000001</v>
      </c>
    </row>
    <row r="566" spans="1:25" x14ac:dyDescent="0.25">
      <c r="A566">
        <v>11</v>
      </c>
      <c r="B566" t="s">
        <v>1781</v>
      </c>
      <c r="C566" t="s">
        <v>26</v>
      </c>
      <c r="D566" t="s">
        <v>1807</v>
      </c>
      <c r="E566">
        <v>194648</v>
      </c>
      <c r="F566" t="s">
        <v>1808</v>
      </c>
      <c r="G566" t="s">
        <v>1809</v>
      </c>
      <c r="H566" t="s">
        <v>1810</v>
      </c>
      <c r="I566" t="s">
        <v>1809</v>
      </c>
      <c r="L566" t="b">
        <v>0</v>
      </c>
      <c r="M566" t="s">
        <v>50</v>
      </c>
      <c r="N566" t="s">
        <v>26</v>
      </c>
      <c r="P566" t="s">
        <v>33</v>
      </c>
      <c r="Q566">
        <v>1</v>
      </c>
      <c r="R566">
        <v>3</v>
      </c>
      <c r="S566">
        <v>98.213049045000005</v>
      </c>
      <c r="T566">
        <v>5000000000</v>
      </c>
      <c r="U566">
        <v>5000000000</v>
      </c>
      <c r="V566">
        <v>1</v>
      </c>
      <c r="W566">
        <v>102777777.78</v>
      </c>
      <c r="X566">
        <v>4910652452.25</v>
      </c>
      <c r="Y566">
        <v>5013430230.0299997</v>
      </c>
    </row>
    <row r="567" spans="1:25" x14ac:dyDescent="0.25">
      <c r="A567">
        <v>11</v>
      </c>
      <c r="B567" t="s">
        <v>1781</v>
      </c>
      <c r="C567" t="s">
        <v>26</v>
      </c>
      <c r="D567" t="s">
        <v>1811</v>
      </c>
      <c r="E567">
        <v>203888</v>
      </c>
      <c r="F567" t="s">
        <v>1812</v>
      </c>
      <c r="G567" t="s">
        <v>1813</v>
      </c>
      <c r="H567" t="s">
        <v>1810</v>
      </c>
      <c r="I567" t="s">
        <v>1813</v>
      </c>
      <c r="L567" t="b">
        <v>0</v>
      </c>
      <c r="M567" t="s">
        <v>50</v>
      </c>
      <c r="N567" t="s">
        <v>26</v>
      </c>
      <c r="P567" t="s">
        <v>33</v>
      </c>
      <c r="Q567">
        <v>1</v>
      </c>
      <c r="R567">
        <v>3</v>
      </c>
      <c r="S567">
        <v>96.534525251999995</v>
      </c>
      <c r="T567">
        <v>2000000000</v>
      </c>
      <c r="U567">
        <v>2000000000</v>
      </c>
      <c r="V567">
        <v>1</v>
      </c>
      <c r="W567">
        <v>26277777.780000001</v>
      </c>
      <c r="X567">
        <v>1930690505.04</v>
      </c>
      <c r="Y567">
        <v>1956968282.8199999</v>
      </c>
    </row>
    <row r="568" spans="1:25" x14ac:dyDescent="0.25">
      <c r="A568">
        <v>11</v>
      </c>
      <c r="B568" t="s">
        <v>1781</v>
      </c>
      <c r="C568" t="s">
        <v>26</v>
      </c>
      <c r="D568" t="s">
        <v>1814</v>
      </c>
      <c r="E568">
        <v>195284</v>
      </c>
      <c r="F568" t="s">
        <v>1815</v>
      </c>
      <c r="G568" t="s">
        <v>1816</v>
      </c>
      <c r="H568" t="s">
        <v>1810</v>
      </c>
      <c r="I568" t="s">
        <v>1816</v>
      </c>
      <c r="L568" t="b">
        <v>0</v>
      </c>
      <c r="M568" t="s">
        <v>50</v>
      </c>
      <c r="N568" t="s">
        <v>26</v>
      </c>
      <c r="P568" t="s">
        <v>33</v>
      </c>
      <c r="Q568">
        <v>1</v>
      </c>
      <c r="R568">
        <v>3</v>
      </c>
      <c r="S568">
        <v>98.609424697799994</v>
      </c>
      <c r="T568">
        <v>3000000000</v>
      </c>
      <c r="U568">
        <v>3000000000</v>
      </c>
      <c r="V568">
        <v>1</v>
      </c>
      <c r="W568">
        <v>78375000</v>
      </c>
      <c r="X568">
        <v>2958282740.9299998</v>
      </c>
      <c r="Y568">
        <v>3036657740.9299998</v>
      </c>
    </row>
    <row r="569" spans="1:25" x14ac:dyDescent="0.25">
      <c r="A569">
        <v>11</v>
      </c>
      <c r="B569" t="s">
        <v>1781</v>
      </c>
      <c r="C569" t="s">
        <v>26</v>
      </c>
      <c r="D569" t="s">
        <v>1817</v>
      </c>
      <c r="E569">
        <v>143858</v>
      </c>
      <c r="F569" t="s">
        <v>1818</v>
      </c>
      <c r="G569" t="s">
        <v>1819</v>
      </c>
      <c r="H569" t="s">
        <v>1785</v>
      </c>
      <c r="I569" t="s">
        <v>1819</v>
      </c>
      <c r="L569" t="b">
        <v>0</v>
      </c>
      <c r="M569" t="s">
        <v>50</v>
      </c>
      <c r="N569" t="s">
        <v>26</v>
      </c>
      <c r="P569" t="s">
        <v>33</v>
      </c>
      <c r="Q569">
        <v>1</v>
      </c>
      <c r="R569">
        <v>3</v>
      </c>
      <c r="S569">
        <v>104.86814737660001</v>
      </c>
      <c r="T569">
        <v>2000000000</v>
      </c>
      <c r="U569">
        <v>2000000000</v>
      </c>
      <c r="V569">
        <v>1</v>
      </c>
      <c r="W569">
        <v>79000000</v>
      </c>
      <c r="X569">
        <v>2097362947.53</v>
      </c>
      <c r="Y569">
        <v>2176362947.5300002</v>
      </c>
    </row>
    <row r="570" spans="1:25" x14ac:dyDescent="0.25">
      <c r="A570">
        <v>11</v>
      </c>
      <c r="B570" t="s">
        <v>1781</v>
      </c>
      <c r="C570" t="s">
        <v>26</v>
      </c>
      <c r="D570" t="s">
        <v>1405</v>
      </c>
      <c r="E570">
        <v>52960</v>
      </c>
      <c r="F570" t="s">
        <v>1406</v>
      </c>
      <c r="G570" t="s">
        <v>1407</v>
      </c>
      <c r="H570" t="s">
        <v>1408</v>
      </c>
      <c r="I570" t="s">
        <v>1407</v>
      </c>
      <c r="L570" t="b">
        <v>0</v>
      </c>
      <c r="M570" t="s">
        <v>50</v>
      </c>
      <c r="N570" t="s">
        <v>241</v>
      </c>
      <c r="P570" t="s">
        <v>33</v>
      </c>
      <c r="Q570">
        <v>1</v>
      </c>
      <c r="R570">
        <v>3</v>
      </c>
      <c r="S570">
        <v>89.277980443499999</v>
      </c>
      <c r="T570">
        <v>38144</v>
      </c>
      <c r="U570">
        <v>51000</v>
      </c>
      <c r="V570">
        <v>0.74790000000000001</v>
      </c>
      <c r="W570">
        <v>11944541.470000001</v>
      </c>
      <c r="X570">
        <v>1390936647.6199999</v>
      </c>
      <c r="Y570">
        <v>1402881189.0899999</v>
      </c>
    </row>
    <row r="571" spans="1:25" x14ac:dyDescent="0.25">
      <c r="A571">
        <v>11</v>
      </c>
      <c r="B571" t="s">
        <v>1781</v>
      </c>
      <c r="C571" t="s">
        <v>26</v>
      </c>
      <c r="D571" t="s">
        <v>1409</v>
      </c>
      <c r="E571">
        <v>3630</v>
      </c>
      <c r="F571" t="s">
        <v>1410</v>
      </c>
      <c r="G571" t="s">
        <v>1411</v>
      </c>
      <c r="H571" t="s">
        <v>1412</v>
      </c>
      <c r="I571" t="s">
        <v>1411</v>
      </c>
      <c r="L571" t="b">
        <v>0</v>
      </c>
      <c r="M571" t="s">
        <v>50</v>
      </c>
      <c r="N571" t="s">
        <v>241</v>
      </c>
      <c r="P571" t="s">
        <v>33</v>
      </c>
      <c r="Q571">
        <v>1</v>
      </c>
      <c r="R571">
        <v>3</v>
      </c>
      <c r="S571">
        <v>103.3608721885</v>
      </c>
      <c r="T571">
        <v>10000</v>
      </c>
      <c r="U571">
        <v>10000</v>
      </c>
      <c r="V571">
        <v>1</v>
      </c>
      <c r="W571">
        <v>5272517.79</v>
      </c>
      <c r="X571">
        <v>422175425.47000003</v>
      </c>
      <c r="Y571">
        <v>427447943.25999999</v>
      </c>
    </row>
    <row r="572" spans="1:25" x14ac:dyDescent="0.25">
      <c r="A572">
        <v>11</v>
      </c>
      <c r="B572" t="s">
        <v>1781</v>
      </c>
      <c r="C572" t="s">
        <v>26</v>
      </c>
      <c r="D572" t="s">
        <v>1413</v>
      </c>
      <c r="E572">
        <v>3631</v>
      </c>
      <c r="F572" t="s">
        <v>1414</v>
      </c>
      <c r="G572" t="s">
        <v>1415</v>
      </c>
      <c r="H572" t="s">
        <v>1416</v>
      </c>
      <c r="I572" t="s">
        <v>1415</v>
      </c>
      <c r="L572" t="b">
        <v>0</v>
      </c>
      <c r="M572" t="s">
        <v>50</v>
      </c>
      <c r="N572" t="s">
        <v>241</v>
      </c>
      <c r="P572" t="s">
        <v>33</v>
      </c>
      <c r="Q572">
        <v>1</v>
      </c>
      <c r="R572">
        <v>3</v>
      </c>
      <c r="S572">
        <v>103.5493520408</v>
      </c>
      <c r="T572">
        <v>5000</v>
      </c>
      <c r="U572">
        <v>5000</v>
      </c>
      <c r="V572">
        <v>1</v>
      </c>
      <c r="W572">
        <v>2636258.9</v>
      </c>
      <c r="X572">
        <v>211472674.88</v>
      </c>
      <c r="Y572">
        <v>214108933.78</v>
      </c>
    </row>
    <row r="573" spans="1:25" x14ac:dyDescent="0.25">
      <c r="A573">
        <v>11</v>
      </c>
      <c r="B573" t="s">
        <v>1781</v>
      </c>
      <c r="C573" t="s">
        <v>26</v>
      </c>
      <c r="D573" t="s">
        <v>1820</v>
      </c>
      <c r="E573">
        <v>121310</v>
      </c>
      <c r="F573" t="s">
        <v>1821</v>
      </c>
      <c r="G573" t="s">
        <v>1822</v>
      </c>
      <c r="H573" t="s">
        <v>887</v>
      </c>
      <c r="I573" t="s">
        <v>1822</v>
      </c>
      <c r="L573" t="b">
        <v>0</v>
      </c>
      <c r="M573" t="s">
        <v>50</v>
      </c>
      <c r="N573" t="s">
        <v>241</v>
      </c>
      <c r="P573" t="s">
        <v>33</v>
      </c>
      <c r="Q573">
        <v>1</v>
      </c>
      <c r="R573">
        <v>3</v>
      </c>
      <c r="S573">
        <v>99.110138226199993</v>
      </c>
      <c r="T573">
        <v>15000</v>
      </c>
      <c r="U573">
        <v>15000</v>
      </c>
      <c r="V573">
        <v>1</v>
      </c>
      <c r="W573">
        <v>3829199.06</v>
      </c>
      <c r="X573">
        <v>607219887.42999983</v>
      </c>
      <c r="Y573">
        <v>611049086.48999977</v>
      </c>
    </row>
    <row r="574" spans="1:25" x14ac:dyDescent="0.25">
      <c r="A574">
        <v>11</v>
      </c>
      <c r="B574" t="s">
        <v>1781</v>
      </c>
      <c r="C574" t="s">
        <v>26</v>
      </c>
      <c r="D574" t="s">
        <v>1823</v>
      </c>
      <c r="E574">
        <v>16599</v>
      </c>
      <c r="F574" t="s">
        <v>1824</v>
      </c>
      <c r="G574" t="s">
        <v>1825</v>
      </c>
      <c r="H574" t="s">
        <v>1634</v>
      </c>
      <c r="I574" t="s">
        <v>1825</v>
      </c>
      <c r="L574" t="b">
        <v>0</v>
      </c>
      <c r="M574" t="s">
        <v>50</v>
      </c>
      <c r="N574" t="s">
        <v>241</v>
      </c>
      <c r="P574" t="s">
        <v>33</v>
      </c>
      <c r="Q574">
        <v>1</v>
      </c>
      <c r="R574">
        <v>3</v>
      </c>
      <c r="S574">
        <v>102.9514503483</v>
      </c>
      <c r="T574">
        <v>53181</v>
      </c>
      <c r="U574">
        <v>90000</v>
      </c>
      <c r="V574">
        <v>0.59089999999999998</v>
      </c>
      <c r="W574">
        <v>18162982.809999999</v>
      </c>
      <c r="X574">
        <v>2236276759.3699999</v>
      </c>
      <c r="Y574">
        <v>2254439742.1799998</v>
      </c>
    </row>
    <row r="575" spans="1:25" x14ac:dyDescent="0.25">
      <c r="A575">
        <v>11</v>
      </c>
      <c r="B575" t="s">
        <v>1781</v>
      </c>
      <c r="C575" t="s">
        <v>26</v>
      </c>
      <c r="D575" t="s">
        <v>1826</v>
      </c>
      <c r="E575">
        <v>526</v>
      </c>
      <c r="F575" t="s">
        <v>1827</v>
      </c>
      <c r="G575" t="s">
        <v>1828</v>
      </c>
      <c r="H575" t="s">
        <v>1634</v>
      </c>
      <c r="I575" t="s">
        <v>1828</v>
      </c>
      <c r="L575" t="b">
        <v>0</v>
      </c>
      <c r="M575" t="s">
        <v>50</v>
      </c>
      <c r="N575" t="s">
        <v>241</v>
      </c>
      <c r="P575" t="s">
        <v>33</v>
      </c>
      <c r="Q575">
        <v>1</v>
      </c>
      <c r="R575">
        <v>3</v>
      </c>
      <c r="S575">
        <v>99.911772590499993</v>
      </c>
      <c r="T575">
        <v>35000</v>
      </c>
      <c r="U575">
        <v>35000</v>
      </c>
      <c r="V575">
        <v>1</v>
      </c>
      <c r="W575">
        <v>7200287.5</v>
      </c>
      <c r="X575">
        <v>1428306362.8900001</v>
      </c>
      <c r="Y575">
        <v>1435506650.3900001</v>
      </c>
    </row>
    <row r="576" spans="1:25" x14ac:dyDescent="0.25">
      <c r="A576">
        <v>11</v>
      </c>
      <c r="B576" t="s">
        <v>1781</v>
      </c>
      <c r="C576" t="s">
        <v>26</v>
      </c>
      <c r="D576" t="s">
        <v>1829</v>
      </c>
      <c r="E576">
        <v>16604</v>
      </c>
      <c r="F576" t="s">
        <v>1830</v>
      </c>
      <c r="G576" t="s">
        <v>1831</v>
      </c>
      <c r="H576" t="s">
        <v>1634</v>
      </c>
      <c r="I576" t="s">
        <v>1831</v>
      </c>
      <c r="L576" t="b">
        <v>0</v>
      </c>
      <c r="M576" t="s">
        <v>50</v>
      </c>
      <c r="N576" t="s">
        <v>241</v>
      </c>
      <c r="P576" t="s">
        <v>33</v>
      </c>
      <c r="Q576">
        <v>1</v>
      </c>
      <c r="R576">
        <v>3</v>
      </c>
      <c r="S576">
        <v>98.720722247400005</v>
      </c>
      <c r="T576">
        <v>48000</v>
      </c>
      <c r="U576">
        <v>48000</v>
      </c>
      <c r="V576">
        <v>1</v>
      </c>
      <c r="W576">
        <v>12628065.41</v>
      </c>
      <c r="X576">
        <v>1935469176.7</v>
      </c>
      <c r="Y576">
        <v>1948097242.1099999</v>
      </c>
    </row>
    <row r="577" spans="1:25" x14ac:dyDescent="0.25">
      <c r="A577">
        <v>11</v>
      </c>
      <c r="B577" t="s">
        <v>1781</v>
      </c>
      <c r="C577" t="s">
        <v>26</v>
      </c>
      <c r="D577" t="s">
        <v>1832</v>
      </c>
      <c r="E577">
        <v>15620</v>
      </c>
      <c r="F577" t="s">
        <v>1833</v>
      </c>
      <c r="G577" t="s">
        <v>1834</v>
      </c>
      <c r="H577" t="s">
        <v>444</v>
      </c>
      <c r="I577" t="s">
        <v>1834</v>
      </c>
      <c r="L577" t="b">
        <v>0</v>
      </c>
      <c r="M577" t="s">
        <v>50</v>
      </c>
      <c r="N577" t="s">
        <v>241</v>
      </c>
      <c r="P577" t="s">
        <v>33</v>
      </c>
      <c r="Q577">
        <v>1</v>
      </c>
      <c r="R577">
        <v>3</v>
      </c>
      <c r="S577">
        <v>98.407845953600003</v>
      </c>
      <c r="T577">
        <v>30000</v>
      </c>
      <c r="U577">
        <v>30000</v>
      </c>
      <c r="V577">
        <v>1</v>
      </c>
      <c r="W577">
        <v>8168958</v>
      </c>
      <c r="X577">
        <v>1205834186.0599999</v>
      </c>
      <c r="Y577">
        <v>1214003144.0599999</v>
      </c>
    </row>
    <row r="578" spans="1:25" x14ac:dyDescent="0.25">
      <c r="A578">
        <v>11</v>
      </c>
      <c r="B578" t="s">
        <v>1781</v>
      </c>
      <c r="C578" t="s">
        <v>26</v>
      </c>
      <c r="D578" t="s">
        <v>1835</v>
      </c>
      <c r="E578">
        <v>46051</v>
      </c>
      <c r="F578" t="s">
        <v>1836</v>
      </c>
      <c r="G578" t="s">
        <v>1837</v>
      </c>
      <c r="H578" t="s">
        <v>444</v>
      </c>
      <c r="I578" t="s">
        <v>1837</v>
      </c>
      <c r="L578" t="b">
        <v>0</v>
      </c>
      <c r="M578" t="s">
        <v>50</v>
      </c>
      <c r="N578" t="s">
        <v>241</v>
      </c>
      <c r="P578" t="s">
        <v>33</v>
      </c>
      <c r="Q578">
        <v>1</v>
      </c>
      <c r="R578">
        <v>3</v>
      </c>
      <c r="S578">
        <v>99.773580743899998</v>
      </c>
      <c r="T578">
        <v>15000</v>
      </c>
      <c r="U578">
        <v>15000</v>
      </c>
      <c r="V578">
        <v>1</v>
      </c>
      <c r="W578">
        <v>6126718.5</v>
      </c>
      <c r="X578">
        <v>611284760.93000007</v>
      </c>
      <c r="Y578">
        <v>617411479.43000007</v>
      </c>
    </row>
    <row r="579" spans="1:25" x14ac:dyDescent="0.25">
      <c r="A579">
        <v>11</v>
      </c>
      <c r="B579" t="s">
        <v>1781</v>
      </c>
      <c r="C579" t="s">
        <v>26</v>
      </c>
      <c r="D579" t="s">
        <v>1838</v>
      </c>
      <c r="E579">
        <v>150527</v>
      </c>
      <c r="F579" t="s">
        <v>1839</v>
      </c>
      <c r="G579" t="s">
        <v>1840</v>
      </c>
      <c r="H579" t="s">
        <v>444</v>
      </c>
      <c r="I579" t="s">
        <v>1840</v>
      </c>
      <c r="L579" t="b">
        <v>0</v>
      </c>
      <c r="M579" t="s">
        <v>50</v>
      </c>
      <c r="N579" t="s">
        <v>241</v>
      </c>
      <c r="P579" t="s">
        <v>33</v>
      </c>
      <c r="Q579">
        <v>1</v>
      </c>
      <c r="R579">
        <v>3</v>
      </c>
      <c r="S579">
        <v>102.87856015360001</v>
      </c>
      <c r="T579">
        <v>75000</v>
      </c>
      <c r="U579">
        <v>75000</v>
      </c>
      <c r="V579">
        <v>1</v>
      </c>
      <c r="W579">
        <v>25910913.66</v>
      </c>
      <c r="X579">
        <v>3151539884.0300002</v>
      </c>
      <c r="Y579">
        <v>3177450797.6900001</v>
      </c>
    </row>
    <row r="580" spans="1:25" x14ac:dyDescent="0.25">
      <c r="A580">
        <v>11</v>
      </c>
      <c r="B580" t="s">
        <v>1781</v>
      </c>
      <c r="C580" t="s">
        <v>26</v>
      </c>
      <c r="D580" t="s">
        <v>1417</v>
      </c>
      <c r="E580">
        <v>43207</v>
      </c>
      <c r="F580" t="s">
        <v>1418</v>
      </c>
      <c r="G580" t="s">
        <v>1419</v>
      </c>
      <c r="H580" t="s">
        <v>1420</v>
      </c>
      <c r="I580" t="s">
        <v>1419</v>
      </c>
      <c r="L580" t="b">
        <v>0</v>
      </c>
      <c r="M580" t="s">
        <v>50</v>
      </c>
      <c r="N580" t="s">
        <v>241</v>
      </c>
      <c r="P580" t="s">
        <v>33</v>
      </c>
      <c r="Q580">
        <v>1</v>
      </c>
      <c r="R580">
        <v>3</v>
      </c>
      <c r="S580">
        <v>99.802820322299993</v>
      </c>
      <c r="T580">
        <v>9375</v>
      </c>
      <c r="U580">
        <v>50000</v>
      </c>
      <c r="V580">
        <v>0.1875</v>
      </c>
      <c r="W580">
        <v>970574.32</v>
      </c>
      <c r="X580">
        <v>382164686.07999998</v>
      </c>
      <c r="Y580">
        <v>383135260.39999998</v>
      </c>
    </row>
    <row r="581" spans="1:25" x14ac:dyDescent="0.25">
      <c r="A581">
        <v>11</v>
      </c>
      <c r="B581" t="s">
        <v>1781</v>
      </c>
      <c r="C581" t="s">
        <v>26</v>
      </c>
      <c r="D581" t="s">
        <v>1841</v>
      </c>
      <c r="E581">
        <v>104489</v>
      </c>
      <c r="F581" t="s">
        <v>1842</v>
      </c>
      <c r="G581" t="s">
        <v>1843</v>
      </c>
      <c r="H581" t="s">
        <v>1802</v>
      </c>
      <c r="I581" t="s">
        <v>1843</v>
      </c>
      <c r="L581" t="b">
        <v>0</v>
      </c>
      <c r="M581" t="s">
        <v>50</v>
      </c>
      <c r="N581" t="s">
        <v>241</v>
      </c>
      <c r="P581" t="s">
        <v>33</v>
      </c>
      <c r="Q581">
        <v>1</v>
      </c>
      <c r="R581">
        <v>3</v>
      </c>
      <c r="S581">
        <v>100.2014253175</v>
      </c>
      <c r="T581">
        <v>30000</v>
      </c>
      <c r="U581">
        <v>30000</v>
      </c>
      <c r="V581">
        <v>1</v>
      </c>
      <c r="W581">
        <v>2517829.52</v>
      </c>
      <c r="X581">
        <v>1227811950.6600001</v>
      </c>
      <c r="Y581">
        <v>1230329780.1800001</v>
      </c>
    </row>
    <row r="582" spans="1:25" x14ac:dyDescent="0.25">
      <c r="A582">
        <v>11</v>
      </c>
      <c r="B582" t="s">
        <v>1781</v>
      </c>
      <c r="C582" t="s">
        <v>26</v>
      </c>
      <c r="D582" t="s">
        <v>1844</v>
      </c>
      <c r="E582">
        <v>29100</v>
      </c>
      <c r="F582" t="s">
        <v>1845</v>
      </c>
      <c r="G582" t="s">
        <v>1846</v>
      </c>
      <c r="H582" t="s">
        <v>1785</v>
      </c>
      <c r="I582" t="s">
        <v>1846</v>
      </c>
      <c r="L582" t="b">
        <v>0</v>
      </c>
      <c r="M582" t="s">
        <v>50</v>
      </c>
      <c r="N582" t="s">
        <v>241</v>
      </c>
      <c r="P582" t="s">
        <v>33</v>
      </c>
      <c r="Q582">
        <v>1</v>
      </c>
      <c r="R582">
        <v>3</v>
      </c>
      <c r="S582">
        <v>99.817555926699995</v>
      </c>
      <c r="T582">
        <v>40000</v>
      </c>
      <c r="U582">
        <v>40000</v>
      </c>
      <c r="V582">
        <v>1</v>
      </c>
      <c r="W582">
        <v>15648590.23</v>
      </c>
      <c r="X582">
        <v>1630810747.23</v>
      </c>
      <c r="Y582">
        <v>1646459337.46</v>
      </c>
    </row>
    <row r="583" spans="1:25" x14ac:dyDescent="0.25">
      <c r="A583">
        <v>11</v>
      </c>
      <c r="B583" t="s">
        <v>1781</v>
      </c>
      <c r="C583" t="s">
        <v>26</v>
      </c>
      <c r="D583" t="s">
        <v>1847</v>
      </c>
      <c r="E583">
        <v>46064</v>
      </c>
      <c r="F583" t="s">
        <v>1848</v>
      </c>
      <c r="G583" t="s">
        <v>1849</v>
      </c>
      <c r="H583" t="s">
        <v>1785</v>
      </c>
      <c r="I583" t="s">
        <v>1849</v>
      </c>
      <c r="L583" t="b">
        <v>0</v>
      </c>
      <c r="M583" t="s">
        <v>50</v>
      </c>
      <c r="N583" t="s">
        <v>241</v>
      </c>
      <c r="P583" t="s">
        <v>33</v>
      </c>
      <c r="Q583">
        <v>1</v>
      </c>
      <c r="R583">
        <v>3</v>
      </c>
      <c r="S583">
        <v>91.022030566300003</v>
      </c>
      <c r="T583">
        <v>89000</v>
      </c>
      <c r="U583">
        <v>89000</v>
      </c>
      <c r="V583">
        <v>1</v>
      </c>
      <c r="W583">
        <v>3150494.8</v>
      </c>
      <c r="X583">
        <v>3308820508.4299998</v>
      </c>
      <c r="Y583">
        <v>3311971003.23</v>
      </c>
    </row>
    <row r="584" spans="1:25" x14ac:dyDescent="0.25">
      <c r="A584">
        <v>11</v>
      </c>
      <c r="B584" t="s">
        <v>1781</v>
      </c>
      <c r="C584" t="s">
        <v>26</v>
      </c>
      <c r="D584" t="s">
        <v>1421</v>
      </c>
      <c r="E584">
        <v>2633</v>
      </c>
      <c r="F584" t="s">
        <v>1422</v>
      </c>
      <c r="G584" t="s">
        <v>1423</v>
      </c>
      <c r="H584" t="s">
        <v>1424</v>
      </c>
      <c r="I584" t="s">
        <v>1423</v>
      </c>
      <c r="L584" t="b">
        <v>0</v>
      </c>
      <c r="M584" t="s">
        <v>50</v>
      </c>
      <c r="N584" t="s">
        <v>241</v>
      </c>
      <c r="P584" t="s">
        <v>33</v>
      </c>
      <c r="Q584">
        <v>1</v>
      </c>
      <c r="R584">
        <v>3</v>
      </c>
      <c r="S584">
        <v>103.0678754234</v>
      </c>
      <c r="T584">
        <v>135200</v>
      </c>
      <c r="U584">
        <v>169000</v>
      </c>
      <c r="V584">
        <v>0.8</v>
      </c>
      <c r="W584">
        <v>30973136.039999999</v>
      </c>
      <c r="X584">
        <v>5691629994.1699991</v>
      </c>
      <c r="Y584">
        <v>5722603130.2099991</v>
      </c>
    </row>
    <row r="585" spans="1:25" x14ac:dyDescent="0.25">
      <c r="A585">
        <v>11</v>
      </c>
      <c r="B585" t="s">
        <v>1781</v>
      </c>
      <c r="C585" t="s">
        <v>26</v>
      </c>
      <c r="D585" t="s">
        <v>1850</v>
      </c>
      <c r="E585">
        <v>3480</v>
      </c>
      <c r="F585" t="s">
        <v>1851</v>
      </c>
      <c r="G585" t="s">
        <v>1852</v>
      </c>
      <c r="H585" t="s">
        <v>1853</v>
      </c>
      <c r="I585" t="s">
        <v>1852</v>
      </c>
      <c r="L585" t="b">
        <v>0</v>
      </c>
      <c r="M585" t="s">
        <v>50</v>
      </c>
      <c r="N585" t="s">
        <v>241</v>
      </c>
      <c r="P585" t="s">
        <v>33</v>
      </c>
      <c r="Q585">
        <v>1</v>
      </c>
      <c r="R585">
        <v>3</v>
      </c>
      <c r="S585">
        <v>96.995962388799995</v>
      </c>
      <c r="T585">
        <v>79000</v>
      </c>
      <c r="U585">
        <v>79000</v>
      </c>
      <c r="V585">
        <v>1</v>
      </c>
      <c r="W585">
        <v>11580405.630000001</v>
      </c>
      <c r="X585">
        <v>3129805962.8200002</v>
      </c>
      <c r="Y585">
        <v>3141386368.4499998</v>
      </c>
    </row>
    <row r="586" spans="1:25" x14ac:dyDescent="0.25">
      <c r="A586">
        <v>11</v>
      </c>
      <c r="B586" t="s">
        <v>1781</v>
      </c>
      <c r="C586" t="s">
        <v>26</v>
      </c>
      <c r="D586" t="s">
        <v>1854</v>
      </c>
      <c r="E586">
        <v>6153</v>
      </c>
      <c r="F586" t="s">
        <v>1855</v>
      </c>
      <c r="G586" t="s">
        <v>1856</v>
      </c>
      <c r="H586" t="s">
        <v>1857</v>
      </c>
      <c r="I586" t="s">
        <v>1856</v>
      </c>
      <c r="L586" t="b">
        <v>0</v>
      </c>
      <c r="M586" t="s">
        <v>50</v>
      </c>
      <c r="N586" t="s">
        <v>241</v>
      </c>
      <c r="P586" t="s">
        <v>33</v>
      </c>
      <c r="Q586">
        <v>1</v>
      </c>
      <c r="R586">
        <v>3</v>
      </c>
      <c r="S586">
        <v>101.0722324123</v>
      </c>
      <c r="T586">
        <v>25000</v>
      </c>
      <c r="U586">
        <v>25000</v>
      </c>
      <c r="V586">
        <v>1</v>
      </c>
      <c r="W586">
        <v>4983353.7</v>
      </c>
      <c r="X586">
        <v>1032068604.41</v>
      </c>
      <c r="Y586">
        <v>1037051958.11</v>
      </c>
    </row>
    <row r="587" spans="1:25" x14ac:dyDescent="0.25">
      <c r="A587">
        <v>68</v>
      </c>
      <c r="B587" t="s">
        <v>1545</v>
      </c>
      <c r="C587" t="s">
        <v>32</v>
      </c>
      <c r="D587" t="s">
        <v>514</v>
      </c>
      <c r="E587">
        <v>213327</v>
      </c>
      <c r="F587" t="s">
        <v>515</v>
      </c>
      <c r="G587" t="s">
        <v>516</v>
      </c>
      <c r="H587" t="s">
        <v>517</v>
      </c>
      <c r="I587" t="s">
        <v>516</v>
      </c>
      <c r="L587" t="b">
        <v>0</v>
      </c>
      <c r="M587" t="s">
        <v>31</v>
      </c>
      <c r="N587" t="s">
        <v>32</v>
      </c>
      <c r="P587" t="s">
        <v>579</v>
      </c>
      <c r="Q587">
        <v>1</v>
      </c>
      <c r="R587">
        <v>3</v>
      </c>
      <c r="S587">
        <v>100</v>
      </c>
      <c r="T587">
        <v>2000000</v>
      </c>
      <c r="U587">
        <v>2000000</v>
      </c>
      <c r="V587">
        <v>1</v>
      </c>
      <c r="W587">
        <v>67882.100000000006</v>
      </c>
      <c r="X587">
        <v>2000000</v>
      </c>
      <c r="Y587">
        <v>2067882.1</v>
      </c>
    </row>
    <row r="588" spans="1:25" x14ac:dyDescent="0.25">
      <c r="A588">
        <v>68</v>
      </c>
      <c r="B588" t="s">
        <v>1545</v>
      </c>
      <c r="C588" t="s">
        <v>32</v>
      </c>
      <c r="D588" t="s">
        <v>1008</v>
      </c>
      <c r="E588">
        <v>31968</v>
      </c>
      <c r="F588" t="s">
        <v>1009</v>
      </c>
      <c r="G588" t="s">
        <v>1010</v>
      </c>
      <c r="H588" t="s">
        <v>517</v>
      </c>
      <c r="I588" t="s">
        <v>1011</v>
      </c>
      <c r="L588" t="b">
        <v>1</v>
      </c>
      <c r="M588" t="s">
        <v>31</v>
      </c>
      <c r="N588" t="s">
        <v>32</v>
      </c>
      <c r="P588" t="s">
        <v>579</v>
      </c>
      <c r="Q588">
        <v>1</v>
      </c>
      <c r="R588">
        <v>3</v>
      </c>
      <c r="S588">
        <v>61.83719</v>
      </c>
      <c r="T588">
        <v>1000000</v>
      </c>
      <c r="U588">
        <v>1000000</v>
      </c>
      <c r="V588">
        <v>1</v>
      </c>
      <c r="W588">
        <v>6423.61</v>
      </c>
      <c r="X588">
        <v>618371.9</v>
      </c>
      <c r="Y588">
        <v>624795.51</v>
      </c>
    </row>
    <row r="589" spans="1:25" x14ac:dyDescent="0.25">
      <c r="A589">
        <v>68</v>
      </c>
      <c r="B589" t="s">
        <v>1545</v>
      </c>
      <c r="C589" t="s">
        <v>32</v>
      </c>
      <c r="D589" t="s">
        <v>1016</v>
      </c>
      <c r="E589">
        <v>4244</v>
      </c>
      <c r="F589" t="s">
        <v>1017</v>
      </c>
      <c r="G589" t="s">
        <v>1018</v>
      </c>
      <c r="H589" t="s">
        <v>517</v>
      </c>
      <c r="I589" t="s">
        <v>1019</v>
      </c>
      <c r="L589" t="b">
        <v>1</v>
      </c>
      <c r="M589" t="s">
        <v>31</v>
      </c>
      <c r="N589" t="s">
        <v>32</v>
      </c>
      <c r="P589" t="s">
        <v>579</v>
      </c>
      <c r="Q589">
        <v>1</v>
      </c>
      <c r="R589">
        <v>3</v>
      </c>
      <c r="S589">
        <v>83.910499999999999</v>
      </c>
      <c r="T589">
        <v>9000000</v>
      </c>
      <c r="U589">
        <v>9000000</v>
      </c>
      <c r="V589">
        <v>1</v>
      </c>
      <c r="W589">
        <v>3375.01</v>
      </c>
      <c r="X589">
        <v>7551944.9999999991</v>
      </c>
      <c r="Y589">
        <v>7555320.0099999988</v>
      </c>
    </row>
    <row r="590" spans="1:25" x14ac:dyDescent="0.25">
      <c r="A590">
        <v>68</v>
      </c>
      <c r="B590" t="s">
        <v>1545</v>
      </c>
      <c r="C590" t="s">
        <v>32</v>
      </c>
      <c r="D590" t="s">
        <v>518</v>
      </c>
      <c r="E590">
        <v>114779</v>
      </c>
      <c r="F590" t="s">
        <v>519</v>
      </c>
      <c r="G590" t="s">
        <v>520</v>
      </c>
      <c r="H590" t="s">
        <v>517</v>
      </c>
      <c r="I590" t="s">
        <v>521</v>
      </c>
      <c r="J590" t="s">
        <v>519</v>
      </c>
      <c r="K590" t="s">
        <v>522</v>
      </c>
      <c r="L590" t="b">
        <v>1</v>
      </c>
      <c r="M590" t="s">
        <v>31</v>
      </c>
      <c r="N590" t="s">
        <v>32</v>
      </c>
      <c r="P590" t="s">
        <v>579</v>
      </c>
      <c r="Q590">
        <v>1</v>
      </c>
      <c r="R590">
        <v>3</v>
      </c>
      <c r="S590">
        <v>70.6815</v>
      </c>
      <c r="T590">
        <v>3490000</v>
      </c>
      <c r="U590">
        <v>3490000</v>
      </c>
      <c r="V590">
        <v>1</v>
      </c>
      <c r="W590">
        <v>47321.01</v>
      </c>
      <c r="X590">
        <v>2466784.35</v>
      </c>
      <c r="Y590">
        <v>2514105.36</v>
      </c>
    </row>
    <row r="591" spans="1:25" x14ac:dyDescent="0.25">
      <c r="A591">
        <v>68</v>
      </c>
      <c r="B591" t="s">
        <v>1545</v>
      </c>
      <c r="C591" t="s">
        <v>32</v>
      </c>
      <c r="D591" t="s">
        <v>1858</v>
      </c>
      <c r="E591">
        <v>148391</v>
      </c>
      <c r="F591" t="s">
        <v>1859</v>
      </c>
      <c r="G591" t="s">
        <v>1860</v>
      </c>
      <c r="H591" t="s">
        <v>1861</v>
      </c>
      <c r="I591" t="s">
        <v>1862</v>
      </c>
      <c r="L591" t="b">
        <v>1</v>
      </c>
      <c r="M591" t="s">
        <v>452</v>
      </c>
      <c r="N591" t="s">
        <v>32</v>
      </c>
      <c r="P591" t="s">
        <v>579</v>
      </c>
      <c r="Q591">
        <v>1</v>
      </c>
      <c r="R591">
        <v>3</v>
      </c>
      <c r="S591">
        <v>98.880229999999997</v>
      </c>
      <c r="T591">
        <v>500000</v>
      </c>
      <c r="U591">
        <v>500000</v>
      </c>
      <c r="V591">
        <v>1</v>
      </c>
      <c r="W591">
        <v>10390.629999999999</v>
      </c>
      <c r="X591">
        <v>494401.15</v>
      </c>
      <c r="Y591">
        <v>504791.78</v>
      </c>
    </row>
    <row r="592" spans="1:25" x14ac:dyDescent="0.25">
      <c r="A592">
        <v>68</v>
      </c>
      <c r="B592" t="s">
        <v>1545</v>
      </c>
      <c r="C592" t="s">
        <v>32</v>
      </c>
      <c r="D592" t="s">
        <v>1020</v>
      </c>
      <c r="E592">
        <v>31570</v>
      </c>
      <c r="F592" t="s">
        <v>1021</v>
      </c>
      <c r="G592" t="s">
        <v>1022</v>
      </c>
      <c r="H592" t="s">
        <v>526</v>
      </c>
      <c r="I592" t="s">
        <v>1023</v>
      </c>
      <c r="L592" t="b">
        <v>1</v>
      </c>
      <c r="M592" t="s">
        <v>81</v>
      </c>
      <c r="N592" t="s">
        <v>32</v>
      </c>
      <c r="P592" t="s">
        <v>579</v>
      </c>
      <c r="Q592">
        <v>1</v>
      </c>
      <c r="R592">
        <v>3</v>
      </c>
      <c r="S592">
        <v>93.282470000000004</v>
      </c>
      <c r="T592">
        <v>600000</v>
      </c>
      <c r="U592">
        <v>600000</v>
      </c>
      <c r="V592">
        <v>1</v>
      </c>
      <c r="W592">
        <v>10861.67</v>
      </c>
      <c r="X592">
        <v>559694.81999999995</v>
      </c>
      <c r="Y592">
        <v>570556.49</v>
      </c>
    </row>
    <row r="593" spans="1:25" x14ac:dyDescent="0.25">
      <c r="A593">
        <v>68</v>
      </c>
      <c r="B593" t="s">
        <v>1545</v>
      </c>
      <c r="C593" t="s">
        <v>32</v>
      </c>
      <c r="D593" t="s">
        <v>1024</v>
      </c>
      <c r="E593">
        <v>179279</v>
      </c>
      <c r="F593" t="s">
        <v>1025</v>
      </c>
      <c r="G593" t="s">
        <v>1026</v>
      </c>
      <c r="H593" t="s">
        <v>1027</v>
      </c>
      <c r="I593" t="s">
        <v>1028</v>
      </c>
      <c r="J593" t="s">
        <v>1025</v>
      </c>
      <c r="K593" t="s">
        <v>1029</v>
      </c>
      <c r="L593" t="b">
        <v>1</v>
      </c>
      <c r="M593" t="s">
        <v>1030</v>
      </c>
      <c r="N593" t="s">
        <v>32</v>
      </c>
      <c r="P593" t="s">
        <v>579</v>
      </c>
      <c r="Q593">
        <v>1</v>
      </c>
      <c r="R593">
        <v>3</v>
      </c>
      <c r="S593">
        <v>103.3317</v>
      </c>
      <c r="T593">
        <v>1000000</v>
      </c>
      <c r="U593">
        <v>1000000</v>
      </c>
      <c r="V593">
        <v>1</v>
      </c>
      <c r="W593">
        <v>42885.42</v>
      </c>
      <c r="X593">
        <v>1033317</v>
      </c>
      <c r="Y593">
        <v>1076202.42</v>
      </c>
    </row>
    <row r="594" spans="1:25" x14ac:dyDescent="0.25">
      <c r="A594">
        <v>68</v>
      </c>
      <c r="B594" t="s">
        <v>1545</v>
      </c>
      <c r="C594" t="s">
        <v>32</v>
      </c>
      <c r="D594" t="s">
        <v>1863</v>
      </c>
      <c r="E594">
        <v>186437</v>
      </c>
      <c r="F594" t="s">
        <v>1864</v>
      </c>
      <c r="G594" t="s">
        <v>1865</v>
      </c>
      <c r="H594" t="s">
        <v>1866</v>
      </c>
      <c r="I594" t="s">
        <v>1865</v>
      </c>
      <c r="L594" t="b">
        <v>0</v>
      </c>
      <c r="M594" t="s">
        <v>31</v>
      </c>
      <c r="N594" t="s">
        <v>32</v>
      </c>
      <c r="P594" t="s">
        <v>579</v>
      </c>
      <c r="Q594">
        <v>1</v>
      </c>
      <c r="R594">
        <v>3</v>
      </c>
      <c r="S594">
        <v>103.46875</v>
      </c>
      <c r="T594">
        <v>2000000</v>
      </c>
      <c r="U594">
        <v>2000000</v>
      </c>
      <c r="V594">
        <v>1</v>
      </c>
      <c r="W594">
        <v>60993.15</v>
      </c>
      <c r="X594">
        <v>2069375</v>
      </c>
      <c r="Y594">
        <v>2130368.15</v>
      </c>
    </row>
    <row r="595" spans="1:25" x14ac:dyDescent="0.25">
      <c r="A595">
        <v>68</v>
      </c>
      <c r="B595" t="s">
        <v>1545</v>
      </c>
      <c r="C595" t="s">
        <v>32</v>
      </c>
      <c r="D595" t="s">
        <v>1867</v>
      </c>
      <c r="E595">
        <v>129275</v>
      </c>
      <c r="F595" t="s">
        <v>1868</v>
      </c>
      <c r="G595" t="s">
        <v>1869</v>
      </c>
      <c r="H595" t="s">
        <v>1870</v>
      </c>
      <c r="I595" t="s">
        <v>1871</v>
      </c>
      <c r="L595" t="b">
        <v>1</v>
      </c>
      <c r="M595" t="s">
        <v>50</v>
      </c>
      <c r="N595" t="s">
        <v>32</v>
      </c>
      <c r="P595" t="s">
        <v>579</v>
      </c>
      <c r="Q595">
        <v>1</v>
      </c>
      <c r="R595">
        <v>3</v>
      </c>
      <c r="S595">
        <v>103.81489999999999</v>
      </c>
      <c r="T595">
        <v>5340000</v>
      </c>
      <c r="U595">
        <v>5340000</v>
      </c>
      <c r="V595">
        <v>1</v>
      </c>
      <c r="W595">
        <v>97399.37999999999</v>
      </c>
      <c r="X595">
        <v>5543715.6600000001</v>
      </c>
      <c r="Y595">
        <v>5641115.04</v>
      </c>
    </row>
    <row r="596" spans="1:25" x14ac:dyDescent="0.25">
      <c r="A596">
        <v>68</v>
      </c>
      <c r="B596" t="s">
        <v>1545</v>
      </c>
      <c r="C596" t="s">
        <v>32</v>
      </c>
      <c r="D596" t="s">
        <v>528</v>
      </c>
      <c r="E596">
        <v>35708</v>
      </c>
      <c r="F596" t="s">
        <v>529</v>
      </c>
      <c r="G596" t="s">
        <v>530</v>
      </c>
      <c r="H596" t="s">
        <v>531</v>
      </c>
      <c r="I596" t="s">
        <v>530</v>
      </c>
      <c r="L596" t="b">
        <v>0</v>
      </c>
      <c r="M596" t="s">
        <v>81</v>
      </c>
      <c r="N596" t="s">
        <v>32</v>
      </c>
      <c r="P596" t="s">
        <v>579</v>
      </c>
      <c r="Q596">
        <v>1</v>
      </c>
      <c r="R596">
        <v>3</v>
      </c>
      <c r="S596">
        <v>91.244900000000001</v>
      </c>
      <c r="T596">
        <v>300000</v>
      </c>
      <c r="U596">
        <v>300000</v>
      </c>
      <c r="V596">
        <v>1</v>
      </c>
      <c r="W596">
        <v>3391.67</v>
      </c>
      <c r="X596">
        <v>273734.7</v>
      </c>
      <c r="Y596">
        <v>277126.37</v>
      </c>
    </row>
    <row r="597" spans="1:25" x14ac:dyDescent="0.25">
      <c r="A597">
        <v>68</v>
      </c>
      <c r="B597" t="s">
        <v>1545</v>
      </c>
      <c r="C597" t="s">
        <v>32</v>
      </c>
      <c r="D597" t="s">
        <v>1039</v>
      </c>
      <c r="E597">
        <v>30502</v>
      </c>
      <c r="F597" t="s">
        <v>1040</v>
      </c>
      <c r="G597" t="s">
        <v>1041</v>
      </c>
      <c r="H597" t="s">
        <v>531</v>
      </c>
      <c r="I597" t="s">
        <v>1041</v>
      </c>
      <c r="L597" t="b">
        <v>0</v>
      </c>
      <c r="M597" t="s">
        <v>81</v>
      </c>
      <c r="N597" t="s">
        <v>32</v>
      </c>
      <c r="P597" t="s">
        <v>579</v>
      </c>
      <c r="Q597">
        <v>1</v>
      </c>
      <c r="R597">
        <v>3</v>
      </c>
      <c r="S597">
        <v>79.492226000000002</v>
      </c>
      <c r="T597">
        <v>8590000</v>
      </c>
      <c r="U597">
        <v>8590000</v>
      </c>
      <c r="V597">
        <v>1</v>
      </c>
      <c r="W597">
        <v>86914.109999999986</v>
      </c>
      <c r="X597">
        <v>6828382.2199999997</v>
      </c>
      <c r="Y597">
        <v>6915296.3300000001</v>
      </c>
    </row>
    <row r="598" spans="1:25" x14ac:dyDescent="0.25">
      <c r="A598">
        <v>68</v>
      </c>
      <c r="B598" t="s">
        <v>1545</v>
      </c>
      <c r="C598" t="s">
        <v>32</v>
      </c>
      <c r="D598" t="s">
        <v>1042</v>
      </c>
      <c r="E598">
        <v>35709</v>
      </c>
      <c r="F598" t="s">
        <v>1043</v>
      </c>
      <c r="G598" t="s">
        <v>1044</v>
      </c>
      <c r="H598" t="s">
        <v>531</v>
      </c>
      <c r="I598" t="s">
        <v>1044</v>
      </c>
      <c r="L598" t="b">
        <v>0</v>
      </c>
      <c r="M598" t="s">
        <v>81</v>
      </c>
      <c r="N598" t="s">
        <v>32</v>
      </c>
      <c r="P598" t="s">
        <v>579</v>
      </c>
      <c r="Q598">
        <v>1</v>
      </c>
      <c r="R598">
        <v>3</v>
      </c>
      <c r="S598">
        <v>77.224519999999998</v>
      </c>
      <c r="T598">
        <v>1200000</v>
      </c>
      <c r="U598">
        <v>1200000</v>
      </c>
      <c r="V598">
        <v>1</v>
      </c>
      <c r="W598">
        <v>17233.34</v>
      </c>
      <c r="X598">
        <v>926694.24</v>
      </c>
      <c r="Y598">
        <v>943927.58</v>
      </c>
    </row>
    <row r="599" spans="1:25" x14ac:dyDescent="0.25">
      <c r="A599">
        <v>68</v>
      </c>
      <c r="B599" t="s">
        <v>1545</v>
      </c>
      <c r="C599" t="s">
        <v>32</v>
      </c>
      <c r="D599" t="s">
        <v>1045</v>
      </c>
      <c r="E599">
        <v>2754</v>
      </c>
      <c r="F599" t="s">
        <v>1046</v>
      </c>
      <c r="G599" t="s">
        <v>1047</v>
      </c>
      <c r="H599" t="s">
        <v>531</v>
      </c>
      <c r="I599" t="s">
        <v>1047</v>
      </c>
      <c r="L599" t="b">
        <v>0</v>
      </c>
      <c r="M599" t="s">
        <v>81</v>
      </c>
      <c r="N599" t="s">
        <v>32</v>
      </c>
      <c r="P599" t="s">
        <v>579</v>
      </c>
      <c r="Q599">
        <v>1</v>
      </c>
      <c r="R599">
        <v>3</v>
      </c>
      <c r="S599">
        <v>101.4118</v>
      </c>
      <c r="T599">
        <v>1550000</v>
      </c>
      <c r="U599">
        <v>1550000</v>
      </c>
      <c r="V599">
        <v>1</v>
      </c>
      <c r="W599">
        <v>26936.63</v>
      </c>
      <c r="X599">
        <v>1571882.9</v>
      </c>
      <c r="Y599">
        <v>1598819.53</v>
      </c>
    </row>
    <row r="600" spans="1:25" x14ac:dyDescent="0.25">
      <c r="A600">
        <v>68</v>
      </c>
      <c r="B600" t="s">
        <v>1545</v>
      </c>
      <c r="C600" t="s">
        <v>32</v>
      </c>
      <c r="D600" t="s">
        <v>1048</v>
      </c>
      <c r="E600">
        <v>30501</v>
      </c>
      <c r="F600" t="s">
        <v>1049</v>
      </c>
      <c r="G600" t="s">
        <v>1050</v>
      </c>
      <c r="H600" t="s">
        <v>531</v>
      </c>
      <c r="I600" t="s">
        <v>1050</v>
      </c>
      <c r="L600" t="b">
        <v>0</v>
      </c>
      <c r="M600" t="s">
        <v>81</v>
      </c>
      <c r="N600" t="s">
        <v>32</v>
      </c>
      <c r="P600" t="s">
        <v>579</v>
      </c>
      <c r="Q600">
        <v>1</v>
      </c>
      <c r="R600">
        <v>3</v>
      </c>
      <c r="S600">
        <v>96.238879999999995</v>
      </c>
      <c r="T600">
        <v>1350000</v>
      </c>
      <c r="U600">
        <v>1350000</v>
      </c>
      <c r="V600">
        <v>1</v>
      </c>
      <c r="W600">
        <v>36506.25</v>
      </c>
      <c r="X600">
        <v>1299224.8799999999</v>
      </c>
      <c r="Y600">
        <v>1335731.1299999999</v>
      </c>
    </row>
    <row r="601" spans="1:25" x14ac:dyDescent="0.25">
      <c r="A601">
        <v>11</v>
      </c>
      <c r="B601" t="s">
        <v>1781</v>
      </c>
      <c r="C601" t="s">
        <v>26</v>
      </c>
      <c r="D601" t="s">
        <v>1872</v>
      </c>
      <c r="E601">
        <v>119540</v>
      </c>
      <c r="F601" t="s">
        <v>1873</v>
      </c>
      <c r="G601" t="s">
        <v>1874</v>
      </c>
      <c r="H601" t="s">
        <v>1857</v>
      </c>
      <c r="I601" t="s">
        <v>1874</v>
      </c>
      <c r="L601" t="b">
        <v>0</v>
      </c>
      <c r="M601" t="s">
        <v>50</v>
      </c>
      <c r="N601" t="s">
        <v>241</v>
      </c>
      <c r="P601" t="s">
        <v>33</v>
      </c>
      <c r="Q601">
        <v>1</v>
      </c>
      <c r="R601">
        <v>3</v>
      </c>
      <c r="S601">
        <v>99.579200039</v>
      </c>
      <c r="T601">
        <v>40000</v>
      </c>
      <c r="U601">
        <v>40000</v>
      </c>
      <c r="V601">
        <v>1</v>
      </c>
      <c r="W601">
        <v>8291492.3700000001</v>
      </c>
      <c r="X601">
        <v>1626916604.95</v>
      </c>
      <c r="Y601">
        <v>1635208097.3199999</v>
      </c>
    </row>
    <row r="602" spans="1:25" x14ac:dyDescent="0.25">
      <c r="A602">
        <v>11</v>
      </c>
      <c r="B602" t="s">
        <v>1781</v>
      </c>
      <c r="C602" t="s">
        <v>26</v>
      </c>
      <c r="D602" t="s">
        <v>1875</v>
      </c>
      <c r="E602">
        <v>139011</v>
      </c>
      <c r="F602" t="s">
        <v>1876</v>
      </c>
      <c r="G602" t="s">
        <v>1877</v>
      </c>
      <c r="H602" t="s">
        <v>1857</v>
      </c>
      <c r="I602" t="s">
        <v>1877</v>
      </c>
      <c r="L602" t="b">
        <v>0</v>
      </c>
      <c r="M602" t="s">
        <v>50</v>
      </c>
      <c r="N602" t="s">
        <v>241</v>
      </c>
      <c r="P602" t="s">
        <v>33</v>
      </c>
      <c r="Q602">
        <v>1</v>
      </c>
      <c r="R602">
        <v>3</v>
      </c>
      <c r="S602">
        <v>98.866202132799998</v>
      </c>
      <c r="T602">
        <v>50000</v>
      </c>
      <c r="U602">
        <v>50000</v>
      </c>
      <c r="V602">
        <v>1</v>
      </c>
      <c r="W602">
        <v>4060312.5</v>
      </c>
      <c r="X602">
        <v>2019084588.55</v>
      </c>
      <c r="Y602">
        <v>2023144901.05</v>
      </c>
    </row>
    <row r="603" spans="1:25" x14ac:dyDescent="0.25">
      <c r="A603">
        <v>11</v>
      </c>
      <c r="B603" t="s">
        <v>1781</v>
      </c>
      <c r="C603" t="s">
        <v>26</v>
      </c>
      <c r="D603" t="s">
        <v>1878</v>
      </c>
      <c r="E603">
        <v>95328</v>
      </c>
      <c r="F603" t="s">
        <v>1879</v>
      </c>
      <c r="G603" t="s">
        <v>1880</v>
      </c>
      <c r="H603" t="s">
        <v>1857</v>
      </c>
      <c r="I603" t="s">
        <v>1880</v>
      </c>
      <c r="L603" t="b">
        <v>0</v>
      </c>
      <c r="M603" t="s">
        <v>50</v>
      </c>
      <c r="N603" t="s">
        <v>241</v>
      </c>
      <c r="P603" t="s">
        <v>33</v>
      </c>
      <c r="Q603">
        <v>1</v>
      </c>
      <c r="R603">
        <v>3</v>
      </c>
      <c r="S603">
        <v>97.625614018199997</v>
      </c>
      <c r="T603">
        <v>25000</v>
      </c>
      <c r="U603">
        <v>25000</v>
      </c>
      <c r="V603">
        <v>1</v>
      </c>
      <c r="W603">
        <v>11334939.779999999</v>
      </c>
      <c r="X603">
        <v>996874282.65999997</v>
      </c>
      <c r="Y603">
        <v>1008209222.4400001</v>
      </c>
    </row>
    <row r="604" spans="1:25" x14ac:dyDescent="0.25">
      <c r="A604">
        <v>11</v>
      </c>
      <c r="B604" t="s">
        <v>1781</v>
      </c>
      <c r="C604" t="s">
        <v>26</v>
      </c>
      <c r="D604" t="s">
        <v>1881</v>
      </c>
      <c r="E604">
        <v>179674</v>
      </c>
      <c r="F604" t="s">
        <v>1882</v>
      </c>
      <c r="G604" t="s">
        <v>1883</v>
      </c>
      <c r="H604" t="s">
        <v>1795</v>
      </c>
      <c r="I604" t="s">
        <v>1883</v>
      </c>
      <c r="L604" t="b">
        <v>0</v>
      </c>
      <c r="M604" t="s">
        <v>50</v>
      </c>
      <c r="N604" t="s">
        <v>241</v>
      </c>
      <c r="P604" t="s">
        <v>33</v>
      </c>
      <c r="Q604">
        <v>1</v>
      </c>
      <c r="R604">
        <v>3</v>
      </c>
      <c r="S604">
        <v>99.705473984700006</v>
      </c>
      <c r="T604">
        <v>30000</v>
      </c>
      <c r="U604">
        <v>30000</v>
      </c>
      <c r="V604">
        <v>1</v>
      </c>
      <c r="W604">
        <v>17940073.309999999</v>
      </c>
      <c r="X604">
        <v>1221734654.3599999</v>
      </c>
      <c r="Y604">
        <v>1239674727.6700001</v>
      </c>
    </row>
    <row r="605" spans="1:25" x14ac:dyDescent="0.25">
      <c r="A605">
        <v>11</v>
      </c>
      <c r="B605" t="s">
        <v>1781</v>
      </c>
      <c r="C605" t="s">
        <v>26</v>
      </c>
      <c r="D605" t="s">
        <v>1884</v>
      </c>
      <c r="E605">
        <v>123639</v>
      </c>
      <c r="F605" t="s">
        <v>1885</v>
      </c>
      <c r="G605" t="s">
        <v>1886</v>
      </c>
      <c r="H605" t="s">
        <v>1795</v>
      </c>
      <c r="I605" t="s">
        <v>1886</v>
      </c>
      <c r="L605" t="b">
        <v>0</v>
      </c>
      <c r="M605" t="s">
        <v>50</v>
      </c>
      <c r="N605" t="s">
        <v>241</v>
      </c>
      <c r="P605" t="s">
        <v>33</v>
      </c>
      <c r="Q605">
        <v>1</v>
      </c>
      <c r="R605">
        <v>3</v>
      </c>
      <c r="S605">
        <v>101.86095696930001</v>
      </c>
      <c r="T605">
        <v>100000</v>
      </c>
      <c r="U605">
        <v>100000</v>
      </c>
      <c r="V605">
        <v>1</v>
      </c>
      <c r="W605">
        <v>22636352.800000001</v>
      </c>
      <c r="X605">
        <v>4160489520.4000001</v>
      </c>
      <c r="Y605">
        <v>4183125873.1999998</v>
      </c>
    </row>
    <row r="606" spans="1:25" x14ac:dyDescent="0.25">
      <c r="A606">
        <v>11</v>
      </c>
      <c r="B606" t="s">
        <v>1781</v>
      </c>
      <c r="C606" t="s">
        <v>26</v>
      </c>
      <c r="D606" t="s">
        <v>1887</v>
      </c>
      <c r="E606">
        <v>97744</v>
      </c>
      <c r="F606" t="s">
        <v>1888</v>
      </c>
      <c r="G606" t="s">
        <v>1889</v>
      </c>
      <c r="H606" t="s">
        <v>1795</v>
      </c>
      <c r="I606" t="s">
        <v>1889</v>
      </c>
      <c r="L606" t="b">
        <v>0</v>
      </c>
      <c r="M606" t="s">
        <v>50</v>
      </c>
      <c r="N606" t="s">
        <v>241</v>
      </c>
      <c r="P606" t="s">
        <v>33</v>
      </c>
      <c r="Q606">
        <v>1</v>
      </c>
      <c r="R606">
        <v>3</v>
      </c>
      <c r="S606">
        <v>100.82459934969999</v>
      </c>
      <c r="T606">
        <v>30000</v>
      </c>
      <c r="U606">
        <v>30000</v>
      </c>
      <c r="V606">
        <v>1</v>
      </c>
      <c r="W606">
        <v>11655979.83</v>
      </c>
      <c r="X606">
        <v>1235447884.1500001</v>
      </c>
      <c r="Y606">
        <v>1247103863.98</v>
      </c>
    </row>
    <row r="607" spans="1:25" x14ac:dyDescent="0.25">
      <c r="A607">
        <v>11</v>
      </c>
      <c r="B607" t="s">
        <v>1781</v>
      </c>
      <c r="C607" t="s">
        <v>26</v>
      </c>
      <c r="D607" t="s">
        <v>1429</v>
      </c>
      <c r="E607">
        <v>17099</v>
      </c>
      <c r="F607" t="s">
        <v>1430</v>
      </c>
      <c r="G607" t="s">
        <v>1431</v>
      </c>
      <c r="H607" t="s">
        <v>1428</v>
      </c>
      <c r="I607" t="s">
        <v>1431</v>
      </c>
      <c r="L607" t="b">
        <v>0</v>
      </c>
      <c r="M607" t="s">
        <v>50</v>
      </c>
      <c r="N607" t="s">
        <v>241</v>
      </c>
      <c r="P607" t="s">
        <v>33</v>
      </c>
      <c r="Q607">
        <v>1</v>
      </c>
      <c r="R607">
        <v>3</v>
      </c>
      <c r="S607">
        <v>90.898577943999996</v>
      </c>
      <c r="T607">
        <v>20000</v>
      </c>
      <c r="U607">
        <v>20000</v>
      </c>
      <c r="V607">
        <v>1</v>
      </c>
      <c r="W607">
        <v>12097319.140000001</v>
      </c>
      <c r="X607">
        <v>742546845.66000009</v>
      </c>
      <c r="Y607">
        <v>754644164.80000007</v>
      </c>
    </row>
    <row r="608" spans="1:25" x14ac:dyDescent="0.25">
      <c r="A608">
        <v>68</v>
      </c>
      <c r="B608" t="s">
        <v>1545</v>
      </c>
      <c r="C608" t="s">
        <v>32</v>
      </c>
      <c r="D608" t="s">
        <v>532</v>
      </c>
      <c r="E608">
        <v>149965</v>
      </c>
      <c r="F608" t="s">
        <v>533</v>
      </c>
      <c r="G608" t="s">
        <v>534</v>
      </c>
      <c r="H608" t="s">
        <v>531</v>
      </c>
      <c r="I608" t="s">
        <v>534</v>
      </c>
      <c r="L608" t="b">
        <v>0</v>
      </c>
      <c r="M608" t="s">
        <v>81</v>
      </c>
      <c r="N608" t="s">
        <v>32</v>
      </c>
      <c r="P608" t="s">
        <v>579</v>
      </c>
      <c r="Q608">
        <v>1</v>
      </c>
      <c r="R608">
        <v>3</v>
      </c>
      <c r="S608">
        <v>103.3185</v>
      </c>
      <c r="T608">
        <v>1000000</v>
      </c>
      <c r="U608">
        <v>1000000</v>
      </c>
      <c r="V608">
        <v>1</v>
      </c>
      <c r="W608">
        <v>38534.720000000001</v>
      </c>
      <c r="X608">
        <v>1033185</v>
      </c>
      <c r="Y608">
        <v>1071719.72</v>
      </c>
    </row>
    <row r="609" spans="1:25" x14ac:dyDescent="0.25">
      <c r="A609">
        <v>68</v>
      </c>
      <c r="B609" t="s">
        <v>1545</v>
      </c>
      <c r="C609" t="s">
        <v>32</v>
      </c>
      <c r="D609" t="s">
        <v>1051</v>
      </c>
      <c r="E609">
        <v>120782</v>
      </c>
      <c r="F609" t="s">
        <v>1052</v>
      </c>
      <c r="G609" t="s">
        <v>1053</v>
      </c>
      <c r="H609" t="s">
        <v>531</v>
      </c>
      <c r="I609" t="s">
        <v>1053</v>
      </c>
      <c r="L609" t="b">
        <v>0</v>
      </c>
      <c r="M609" t="s">
        <v>81</v>
      </c>
      <c r="N609" t="s">
        <v>32</v>
      </c>
      <c r="P609" t="s">
        <v>579</v>
      </c>
      <c r="Q609">
        <v>1</v>
      </c>
      <c r="R609">
        <v>3</v>
      </c>
      <c r="S609">
        <v>105.729692</v>
      </c>
      <c r="T609">
        <v>3820000</v>
      </c>
      <c r="U609">
        <v>3820000</v>
      </c>
      <c r="V609">
        <v>1</v>
      </c>
      <c r="W609">
        <v>9775.49</v>
      </c>
      <c r="X609">
        <v>4038874.23</v>
      </c>
      <c r="Y609">
        <v>4048649.72</v>
      </c>
    </row>
    <row r="610" spans="1:25" x14ac:dyDescent="0.25">
      <c r="A610">
        <v>68</v>
      </c>
      <c r="B610" t="s">
        <v>1545</v>
      </c>
      <c r="C610" t="s">
        <v>32</v>
      </c>
      <c r="D610" t="s">
        <v>535</v>
      </c>
      <c r="E610">
        <v>53259</v>
      </c>
      <c r="F610" t="s">
        <v>536</v>
      </c>
      <c r="G610" t="s">
        <v>537</v>
      </c>
      <c r="H610" t="s">
        <v>531</v>
      </c>
      <c r="I610" t="s">
        <v>537</v>
      </c>
      <c r="L610" t="b">
        <v>0</v>
      </c>
      <c r="M610" t="s">
        <v>81</v>
      </c>
      <c r="N610" t="s">
        <v>32</v>
      </c>
      <c r="P610" t="s">
        <v>579</v>
      </c>
      <c r="Q610">
        <v>1</v>
      </c>
      <c r="R610">
        <v>3</v>
      </c>
      <c r="S610">
        <v>108.062</v>
      </c>
      <c r="T610">
        <v>3580000</v>
      </c>
      <c r="U610">
        <v>3580000</v>
      </c>
      <c r="V610">
        <v>1</v>
      </c>
      <c r="W610">
        <v>15003.68</v>
      </c>
      <c r="X610">
        <v>3868619.6</v>
      </c>
      <c r="Y610">
        <v>3883623.28</v>
      </c>
    </row>
    <row r="611" spans="1:25" x14ac:dyDescent="0.25">
      <c r="A611">
        <v>68</v>
      </c>
      <c r="B611" t="s">
        <v>1545</v>
      </c>
      <c r="C611" t="s">
        <v>32</v>
      </c>
      <c r="D611" t="s">
        <v>1054</v>
      </c>
      <c r="E611">
        <v>187871</v>
      </c>
      <c r="F611" t="s">
        <v>1055</v>
      </c>
      <c r="G611" t="s">
        <v>1056</v>
      </c>
      <c r="H611" t="s">
        <v>1057</v>
      </c>
      <c r="I611" t="s">
        <v>1058</v>
      </c>
      <c r="J611" t="s">
        <v>1055</v>
      </c>
      <c r="K611" t="s">
        <v>1059</v>
      </c>
      <c r="L611" t="b">
        <v>1</v>
      </c>
      <c r="M611" t="s">
        <v>895</v>
      </c>
      <c r="N611" t="s">
        <v>32</v>
      </c>
      <c r="P611" t="s">
        <v>579</v>
      </c>
      <c r="Q611">
        <v>1</v>
      </c>
      <c r="R611">
        <v>3</v>
      </c>
      <c r="S611">
        <v>98.591616000000002</v>
      </c>
      <c r="T611">
        <v>1500000</v>
      </c>
      <c r="U611">
        <v>1500000</v>
      </c>
      <c r="V611">
        <v>1</v>
      </c>
      <c r="W611">
        <v>33072.92</v>
      </c>
      <c r="X611">
        <v>1478874.24</v>
      </c>
      <c r="Y611">
        <v>1511947.16</v>
      </c>
    </row>
    <row r="612" spans="1:25" x14ac:dyDescent="0.25">
      <c r="A612">
        <v>68</v>
      </c>
      <c r="B612" t="s">
        <v>1545</v>
      </c>
      <c r="C612" t="s">
        <v>32</v>
      </c>
      <c r="D612" t="s">
        <v>1060</v>
      </c>
      <c r="E612">
        <v>221753</v>
      </c>
      <c r="F612" t="s">
        <v>1061</v>
      </c>
      <c r="G612" t="s">
        <v>1062</v>
      </c>
      <c r="H612" t="s">
        <v>1063</v>
      </c>
      <c r="I612" t="s">
        <v>1062</v>
      </c>
      <c r="L612" t="b">
        <v>0</v>
      </c>
      <c r="M612" t="s">
        <v>31</v>
      </c>
      <c r="N612" t="s">
        <v>32</v>
      </c>
      <c r="P612" t="s">
        <v>579</v>
      </c>
      <c r="Q612">
        <v>1</v>
      </c>
      <c r="R612">
        <v>3</v>
      </c>
      <c r="S612">
        <v>100.07955200000001</v>
      </c>
      <c r="T612">
        <v>3400000</v>
      </c>
      <c r="U612">
        <v>3400000</v>
      </c>
      <c r="V612">
        <v>1</v>
      </c>
      <c r="W612">
        <v>31025</v>
      </c>
      <c r="X612">
        <v>3402704.77</v>
      </c>
      <c r="Y612">
        <v>3433729.77</v>
      </c>
    </row>
    <row r="613" spans="1:25" x14ac:dyDescent="0.25">
      <c r="A613">
        <v>68</v>
      </c>
      <c r="B613" t="s">
        <v>1545</v>
      </c>
      <c r="C613" t="s">
        <v>32</v>
      </c>
      <c r="D613" t="s">
        <v>1069</v>
      </c>
      <c r="E613">
        <v>146647</v>
      </c>
      <c r="F613" t="s">
        <v>1070</v>
      </c>
      <c r="G613" t="s">
        <v>1071</v>
      </c>
      <c r="H613" t="s">
        <v>1067</v>
      </c>
      <c r="I613" t="s">
        <v>1072</v>
      </c>
      <c r="L613" t="b">
        <v>1</v>
      </c>
      <c r="M613" t="s">
        <v>31</v>
      </c>
      <c r="N613" t="s">
        <v>32</v>
      </c>
      <c r="P613" t="s">
        <v>579</v>
      </c>
      <c r="Q613">
        <v>1</v>
      </c>
      <c r="R613">
        <v>3</v>
      </c>
      <c r="S613">
        <v>99.22</v>
      </c>
      <c r="T613">
        <v>500000</v>
      </c>
      <c r="U613">
        <v>500000</v>
      </c>
      <c r="V613">
        <v>1</v>
      </c>
      <c r="W613">
        <v>1715.28</v>
      </c>
      <c r="X613">
        <v>496100</v>
      </c>
      <c r="Y613">
        <v>497815.28</v>
      </c>
    </row>
    <row r="614" spans="1:25" x14ac:dyDescent="0.25">
      <c r="A614">
        <v>68</v>
      </c>
      <c r="B614" t="s">
        <v>1545</v>
      </c>
      <c r="C614" t="s">
        <v>32</v>
      </c>
      <c r="D614" t="s">
        <v>1890</v>
      </c>
      <c r="E614">
        <v>34543</v>
      </c>
      <c r="F614" t="s">
        <v>1891</v>
      </c>
      <c r="G614" t="s">
        <v>1892</v>
      </c>
      <c r="H614" t="s">
        <v>1893</v>
      </c>
      <c r="I614" t="s">
        <v>1894</v>
      </c>
      <c r="L614" t="b">
        <v>1</v>
      </c>
      <c r="M614" t="s">
        <v>50</v>
      </c>
      <c r="N614" t="s">
        <v>32</v>
      </c>
      <c r="P614" t="s">
        <v>579</v>
      </c>
      <c r="Q614">
        <v>1</v>
      </c>
      <c r="R614">
        <v>3</v>
      </c>
      <c r="S614">
        <v>87.805000000000007</v>
      </c>
      <c r="T614">
        <v>470000</v>
      </c>
      <c r="U614">
        <v>470000</v>
      </c>
      <c r="V614">
        <v>1</v>
      </c>
      <c r="W614">
        <v>5415.45</v>
      </c>
      <c r="X614">
        <v>412683.5</v>
      </c>
      <c r="Y614">
        <v>418098.95</v>
      </c>
    </row>
    <row r="615" spans="1:25" x14ac:dyDescent="0.25">
      <c r="A615">
        <v>68</v>
      </c>
      <c r="B615" t="s">
        <v>1545</v>
      </c>
      <c r="C615" t="s">
        <v>32</v>
      </c>
      <c r="D615" t="s">
        <v>1077</v>
      </c>
      <c r="E615">
        <v>187873</v>
      </c>
      <c r="F615" t="s">
        <v>1078</v>
      </c>
      <c r="G615" t="s">
        <v>1079</v>
      </c>
      <c r="H615" t="s">
        <v>1080</v>
      </c>
      <c r="I615" t="s">
        <v>1081</v>
      </c>
      <c r="J615" t="s">
        <v>1078</v>
      </c>
      <c r="K615" t="s">
        <v>1082</v>
      </c>
      <c r="L615" t="b">
        <v>1</v>
      </c>
      <c r="M615" t="s">
        <v>44</v>
      </c>
      <c r="N615" t="s">
        <v>32</v>
      </c>
      <c r="P615" t="s">
        <v>579</v>
      </c>
      <c r="Q615">
        <v>1</v>
      </c>
      <c r="R615">
        <v>3</v>
      </c>
      <c r="S615">
        <v>96.125000999999997</v>
      </c>
      <c r="T615">
        <v>388580</v>
      </c>
      <c r="U615">
        <v>400000</v>
      </c>
      <c r="V615">
        <v>0.97150000000000003</v>
      </c>
      <c r="W615">
        <v>2346.3200000000002</v>
      </c>
      <c r="X615">
        <v>373522.53</v>
      </c>
      <c r="Y615">
        <v>375868.85</v>
      </c>
    </row>
    <row r="616" spans="1:25" x14ac:dyDescent="0.25">
      <c r="A616">
        <v>68</v>
      </c>
      <c r="B616" t="s">
        <v>1545</v>
      </c>
      <c r="C616" t="s">
        <v>32</v>
      </c>
      <c r="D616" t="s">
        <v>1083</v>
      </c>
      <c r="E616">
        <v>31865</v>
      </c>
      <c r="F616" t="s">
        <v>1084</v>
      </c>
      <c r="G616" t="s">
        <v>1085</v>
      </c>
      <c r="H616" t="s">
        <v>1086</v>
      </c>
      <c r="I616" t="s">
        <v>1087</v>
      </c>
      <c r="J616" t="s">
        <v>1084</v>
      </c>
      <c r="K616" t="s">
        <v>1088</v>
      </c>
      <c r="L616" t="b">
        <v>1</v>
      </c>
      <c r="M616" t="s">
        <v>81</v>
      </c>
      <c r="N616" t="s">
        <v>32</v>
      </c>
      <c r="P616" t="s">
        <v>579</v>
      </c>
      <c r="Q616">
        <v>1</v>
      </c>
      <c r="R616">
        <v>3</v>
      </c>
      <c r="S616">
        <v>99.8125</v>
      </c>
      <c r="T616">
        <v>2500000</v>
      </c>
      <c r="U616">
        <v>2500000</v>
      </c>
      <c r="V616">
        <v>1</v>
      </c>
      <c r="W616">
        <v>21328.13</v>
      </c>
      <c r="X616">
        <v>2495312.5</v>
      </c>
      <c r="Y616">
        <v>2516640.63</v>
      </c>
    </row>
    <row r="617" spans="1:25" x14ac:dyDescent="0.25">
      <c r="A617">
        <v>68</v>
      </c>
      <c r="B617" t="s">
        <v>1545</v>
      </c>
      <c r="C617" t="s">
        <v>32</v>
      </c>
      <c r="D617" t="s">
        <v>538</v>
      </c>
      <c r="E617">
        <v>147064</v>
      </c>
      <c r="F617" t="s">
        <v>539</v>
      </c>
      <c r="G617" t="s">
        <v>540</v>
      </c>
      <c r="H617" t="s">
        <v>541</v>
      </c>
      <c r="I617" t="s">
        <v>542</v>
      </c>
      <c r="J617" t="s">
        <v>539</v>
      </c>
      <c r="K617" t="s">
        <v>543</v>
      </c>
      <c r="L617" t="b">
        <v>1</v>
      </c>
      <c r="M617" t="s">
        <v>44</v>
      </c>
      <c r="N617" t="s">
        <v>32</v>
      </c>
      <c r="P617" t="s">
        <v>579</v>
      </c>
      <c r="Q617">
        <v>1</v>
      </c>
      <c r="R617">
        <v>3</v>
      </c>
      <c r="S617">
        <v>99.444999999999993</v>
      </c>
      <c r="T617">
        <v>3232376</v>
      </c>
      <c r="U617">
        <v>3290000</v>
      </c>
      <c r="V617">
        <v>0.98250000000000004</v>
      </c>
      <c r="W617">
        <v>0</v>
      </c>
      <c r="X617">
        <v>3214436.31</v>
      </c>
      <c r="Y617">
        <v>3214436.31</v>
      </c>
    </row>
    <row r="618" spans="1:25" x14ac:dyDescent="0.25">
      <c r="A618">
        <v>68</v>
      </c>
      <c r="B618" t="s">
        <v>1545</v>
      </c>
      <c r="C618" t="s">
        <v>32</v>
      </c>
      <c r="D618" t="s">
        <v>544</v>
      </c>
      <c r="E618">
        <v>32196</v>
      </c>
      <c r="F618" t="s">
        <v>545</v>
      </c>
      <c r="G618" t="s">
        <v>546</v>
      </c>
      <c r="H618" t="s">
        <v>547</v>
      </c>
      <c r="I618" t="s">
        <v>548</v>
      </c>
      <c r="L618" t="b">
        <v>1</v>
      </c>
      <c r="M618" t="s">
        <v>44</v>
      </c>
      <c r="N618" t="s">
        <v>32</v>
      </c>
      <c r="P618" t="s">
        <v>579</v>
      </c>
      <c r="Q618">
        <v>1</v>
      </c>
      <c r="R618">
        <v>3</v>
      </c>
      <c r="S618">
        <v>90.641069999999999</v>
      </c>
      <c r="T618">
        <v>3620000</v>
      </c>
      <c r="U618">
        <v>3620000</v>
      </c>
      <c r="V618">
        <v>1</v>
      </c>
      <c r="W618">
        <v>3519.44</v>
      </c>
      <c r="X618">
        <v>3281206.75</v>
      </c>
      <c r="Y618">
        <v>3284726.19</v>
      </c>
    </row>
    <row r="619" spans="1:25" x14ac:dyDescent="0.25">
      <c r="A619">
        <v>68</v>
      </c>
      <c r="B619" t="s">
        <v>1545</v>
      </c>
      <c r="C619" t="s">
        <v>32</v>
      </c>
      <c r="D619" t="s">
        <v>549</v>
      </c>
      <c r="E619">
        <v>218888</v>
      </c>
      <c r="F619" t="s">
        <v>550</v>
      </c>
      <c r="G619" t="s">
        <v>551</v>
      </c>
      <c r="H619" t="s">
        <v>547</v>
      </c>
      <c r="I619" t="s">
        <v>552</v>
      </c>
      <c r="J619" t="s">
        <v>550</v>
      </c>
      <c r="K619" t="s">
        <v>553</v>
      </c>
      <c r="L619" t="b">
        <v>1</v>
      </c>
      <c r="M619" t="s">
        <v>44</v>
      </c>
      <c r="N619" t="s">
        <v>32</v>
      </c>
      <c r="P619" t="s">
        <v>579</v>
      </c>
      <c r="Q619">
        <v>1</v>
      </c>
      <c r="R619">
        <v>3</v>
      </c>
      <c r="S619">
        <v>98.25</v>
      </c>
      <c r="T619">
        <v>1100000</v>
      </c>
      <c r="U619">
        <v>1100000</v>
      </c>
      <c r="V619">
        <v>1</v>
      </c>
      <c r="W619">
        <v>13497.92</v>
      </c>
      <c r="X619">
        <v>1080750</v>
      </c>
      <c r="Y619">
        <v>1094247.92</v>
      </c>
    </row>
    <row r="620" spans="1:25" x14ac:dyDescent="0.25">
      <c r="A620">
        <v>68</v>
      </c>
      <c r="B620" t="s">
        <v>1545</v>
      </c>
      <c r="C620" t="s">
        <v>32</v>
      </c>
      <c r="D620" t="s">
        <v>1119</v>
      </c>
      <c r="E620">
        <v>129278</v>
      </c>
      <c r="F620" t="s">
        <v>1120</v>
      </c>
      <c r="G620" t="s">
        <v>1121</v>
      </c>
      <c r="H620" t="s">
        <v>1122</v>
      </c>
      <c r="I620" t="s">
        <v>1121</v>
      </c>
      <c r="L620" t="b">
        <v>0</v>
      </c>
      <c r="M620" t="s">
        <v>31</v>
      </c>
      <c r="N620" t="s">
        <v>32</v>
      </c>
      <c r="P620" t="s">
        <v>579</v>
      </c>
      <c r="Q620">
        <v>1</v>
      </c>
      <c r="R620">
        <v>3</v>
      </c>
      <c r="S620">
        <v>75</v>
      </c>
      <c r="T620">
        <v>300000</v>
      </c>
      <c r="U620">
        <v>300000</v>
      </c>
      <c r="V620">
        <v>1</v>
      </c>
      <c r="W620">
        <v>400</v>
      </c>
      <c r="X620">
        <v>225000</v>
      </c>
      <c r="Y620">
        <v>225400</v>
      </c>
    </row>
    <row r="621" spans="1:25" x14ac:dyDescent="0.25">
      <c r="A621">
        <v>11</v>
      </c>
      <c r="B621" t="s">
        <v>1781</v>
      </c>
      <c r="C621" t="s">
        <v>26</v>
      </c>
      <c r="D621" t="s">
        <v>1895</v>
      </c>
      <c r="E621">
        <v>107067</v>
      </c>
      <c r="F621" t="s">
        <v>1896</v>
      </c>
      <c r="G621" t="s">
        <v>1897</v>
      </c>
      <c r="H621" t="s">
        <v>1898</v>
      </c>
      <c r="I621" t="s">
        <v>1897</v>
      </c>
      <c r="L621" t="b">
        <v>0</v>
      </c>
      <c r="M621" t="s">
        <v>50</v>
      </c>
      <c r="N621" t="s">
        <v>241</v>
      </c>
      <c r="P621" t="s">
        <v>33</v>
      </c>
      <c r="Q621">
        <v>1</v>
      </c>
      <c r="R621">
        <v>3</v>
      </c>
      <c r="S621">
        <v>102.3366738773</v>
      </c>
      <c r="T621">
        <v>20000</v>
      </c>
      <c r="U621">
        <v>20000</v>
      </c>
      <c r="V621">
        <v>1</v>
      </c>
      <c r="W621">
        <v>11810271.029999999</v>
      </c>
      <c r="X621">
        <v>835983795.71000004</v>
      </c>
      <c r="Y621">
        <v>847794066.74000001</v>
      </c>
    </row>
    <row r="622" spans="1:25" x14ac:dyDescent="0.25">
      <c r="A622">
        <v>11</v>
      </c>
      <c r="B622" t="s">
        <v>1781</v>
      </c>
      <c r="C622" t="s">
        <v>26</v>
      </c>
      <c r="D622" t="s">
        <v>1899</v>
      </c>
      <c r="E622">
        <v>17126</v>
      </c>
      <c r="F622" t="s">
        <v>1900</v>
      </c>
      <c r="G622" t="s">
        <v>1901</v>
      </c>
      <c r="H622" t="s">
        <v>1902</v>
      </c>
      <c r="I622" t="s">
        <v>1901</v>
      </c>
      <c r="L622" t="b">
        <v>0</v>
      </c>
      <c r="M622" t="s">
        <v>50</v>
      </c>
      <c r="N622" t="s">
        <v>241</v>
      </c>
      <c r="P622" t="s">
        <v>33</v>
      </c>
      <c r="Q622">
        <v>1</v>
      </c>
      <c r="R622">
        <v>3</v>
      </c>
      <c r="S622">
        <v>99.788674523899999</v>
      </c>
      <c r="T622">
        <v>120000</v>
      </c>
      <c r="U622">
        <v>120000</v>
      </c>
      <c r="V622">
        <v>1</v>
      </c>
      <c r="W622">
        <v>23048279.32</v>
      </c>
      <c r="X622">
        <v>4891016969.6999989</v>
      </c>
      <c r="Y622">
        <v>4914065249.0199986</v>
      </c>
    </row>
    <row r="623" spans="1:25" x14ac:dyDescent="0.25">
      <c r="A623">
        <v>11</v>
      </c>
      <c r="B623" t="s">
        <v>1781</v>
      </c>
      <c r="C623" t="s">
        <v>26</v>
      </c>
      <c r="D623" t="s">
        <v>1903</v>
      </c>
      <c r="E623">
        <v>17128</v>
      </c>
      <c r="F623" t="s">
        <v>1904</v>
      </c>
      <c r="G623" t="s">
        <v>1905</v>
      </c>
      <c r="H623" t="s">
        <v>1906</v>
      </c>
      <c r="I623" t="s">
        <v>1905</v>
      </c>
      <c r="L623" t="b">
        <v>0</v>
      </c>
      <c r="M623" t="s">
        <v>50</v>
      </c>
      <c r="N623" t="s">
        <v>241</v>
      </c>
      <c r="P623" t="s">
        <v>33</v>
      </c>
      <c r="Q623">
        <v>1</v>
      </c>
      <c r="R623">
        <v>3</v>
      </c>
      <c r="S623">
        <v>104.45608862180001</v>
      </c>
      <c r="T623">
        <v>2840</v>
      </c>
      <c r="U623">
        <v>20000</v>
      </c>
      <c r="V623">
        <v>0.14199999999999999</v>
      </c>
      <c r="W623">
        <v>2108325.25</v>
      </c>
      <c r="X623">
        <v>121168111.77</v>
      </c>
      <c r="Y623">
        <v>123276437.02</v>
      </c>
    </row>
    <row r="624" spans="1:25" x14ac:dyDescent="0.25">
      <c r="A624">
        <v>11</v>
      </c>
      <c r="B624" t="s">
        <v>1781</v>
      </c>
      <c r="C624" t="s">
        <v>26</v>
      </c>
      <c r="D624" t="s">
        <v>1907</v>
      </c>
      <c r="E624">
        <v>31472</v>
      </c>
      <c r="F624" t="s">
        <v>1908</v>
      </c>
      <c r="G624" t="s">
        <v>1909</v>
      </c>
      <c r="H624" t="s">
        <v>1910</v>
      </c>
      <c r="I624" t="s">
        <v>1909</v>
      </c>
      <c r="L624" t="b">
        <v>0</v>
      </c>
      <c r="M624" t="s">
        <v>50</v>
      </c>
      <c r="N624" t="s">
        <v>241</v>
      </c>
      <c r="P624" t="s">
        <v>33</v>
      </c>
      <c r="Q624">
        <v>1</v>
      </c>
      <c r="R624">
        <v>3</v>
      </c>
      <c r="S624">
        <v>96.545504006300007</v>
      </c>
      <c r="T624">
        <v>51000</v>
      </c>
      <c r="U624">
        <v>51000</v>
      </c>
      <c r="V624">
        <v>1</v>
      </c>
      <c r="W624">
        <v>15660164.779999999</v>
      </c>
      <c r="X624">
        <v>2011124347.4200001</v>
      </c>
      <c r="Y624">
        <v>2026784512.2</v>
      </c>
    </row>
    <row r="625" spans="1:25" x14ac:dyDescent="0.25">
      <c r="A625">
        <v>11</v>
      </c>
      <c r="B625" t="s">
        <v>1781</v>
      </c>
      <c r="C625" t="s">
        <v>26</v>
      </c>
      <c r="D625" t="s">
        <v>1911</v>
      </c>
      <c r="E625">
        <v>120373</v>
      </c>
      <c r="F625" t="s">
        <v>1912</v>
      </c>
      <c r="G625" t="s">
        <v>1913</v>
      </c>
      <c r="H625" t="s">
        <v>887</v>
      </c>
      <c r="I625" t="s">
        <v>1913</v>
      </c>
      <c r="L625" t="b">
        <v>0</v>
      </c>
      <c r="M625" t="s">
        <v>50</v>
      </c>
      <c r="N625" t="s">
        <v>241</v>
      </c>
      <c r="P625" t="s">
        <v>33</v>
      </c>
      <c r="Q625">
        <v>1</v>
      </c>
      <c r="R625">
        <v>3</v>
      </c>
      <c r="S625">
        <v>99.421762667199999</v>
      </c>
      <c r="T625">
        <v>60000</v>
      </c>
      <c r="U625">
        <v>60000</v>
      </c>
      <c r="V625">
        <v>1</v>
      </c>
      <c r="W625">
        <v>20422395</v>
      </c>
      <c r="X625">
        <v>2436516708.559999</v>
      </c>
      <c r="Y625">
        <v>2456939103.559999</v>
      </c>
    </row>
    <row r="626" spans="1:25" x14ac:dyDescent="0.25">
      <c r="A626">
        <v>11</v>
      </c>
      <c r="B626" t="s">
        <v>1781</v>
      </c>
      <c r="C626" t="s">
        <v>26</v>
      </c>
      <c r="D626" t="s">
        <v>1914</v>
      </c>
      <c r="E626">
        <v>139469</v>
      </c>
      <c r="F626" t="s">
        <v>143</v>
      </c>
      <c r="G626" t="s">
        <v>1915</v>
      </c>
      <c r="H626" t="s">
        <v>1916</v>
      </c>
      <c r="I626" t="s">
        <v>1915</v>
      </c>
      <c r="L626" t="b">
        <v>0</v>
      </c>
      <c r="M626" t="s">
        <v>50</v>
      </c>
      <c r="N626" t="s">
        <v>241</v>
      </c>
      <c r="P626" t="s">
        <v>33</v>
      </c>
      <c r="Q626">
        <v>1</v>
      </c>
      <c r="R626">
        <v>3</v>
      </c>
      <c r="S626">
        <v>105.23653964029999</v>
      </c>
      <c r="T626">
        <v>15000</v>
      </c>
      <c r="U626">
        <v>15000</v>
      </c>
      <c r="V626">
        <v>1</v>
      </c>
      <c r="W626">
        <v>8909848.4499999993</v>
      </c>
      <c r="X626">
        <v>644754615.64999998</v>
      </c>
      <c r="Y626">
        <v>653664464.10000002</v>
      </c>
    </row>
    <row r="627" spans="1:25" x14ac:dyDescent="0.25">
      <c r="A627">
        <v>68</v>
      </c>
      <c r="B627" t="s">
        <v>1545</v>
      </c>
      <c r="C627" t="s">
        <v>32</v>
      </c>
      <c r="D627" t="s">
        <v>554</v>
      </c>
      <c r="E627">
        <v>95963</v>
      </c>
      <c r="F627" t="s">
        <v>555</v>
      </c>
      <c r="G627" t="s">
        <v>556</v>
      </c>
      <c r="H627" t="s">
        <v>557</v>
      </c>
      <c r="I627" t="s">
        <v>558</v>
      </c>
      <c r="L627" t="b">
        <v>1</v>
      </c>
      <c r="M627" t="s">
        <v>31</v>
      </c>
      <c r="N627" t="s">
        <v>32</v>
      </c>
      <c r="P627" t="s">
        <v>579</v>
      </c>
      <c r="Q627">
        <v>1</v>
      </c>
      <c r="R627">
        <v>3</v>
      </c>
      <c r="S627">
        <v>99.350961999999996</v>
      </c>
      <c r="T627">
        <v>10000000</v>
      </c>
      <c r="U627">
        <v>10000000</v>
      </c>
      <c r="V627">
        <v>1</v>
      </c>
      <c r="W627">
        <v>93750</v>
      </c>
      <c r="X627">
        <v>9935096.1999999993</v>
      </c>
      <c r="Y627">
        <v>10028846.199999999</v>
      </c>
    </row>
    <row r="628" spans="1:25" x14ac:dyDescent="0.25">
      <c r="A628">
        <v>68</v>
      </c>
      <c r="B628" t="s">
        <v>1545</v>
      </c>
      <c r="C628" t="s">
        <v>32</v>
      </c>
      <c r="D628" t="s">
        <v>1123</v>
      </c>
      <c r="E628">
        <v>149072</v>
      </c>
      <c r="F628" t="s">
        <v>1124</v>
      </c>
      <c r="G628" t="s">
        <v>1125</v>
      </c>
      <c r="H628" t="s">
        <v>1126</v>
      </c>
      <c r="I628" t="s">
        <v>1127</v>
      </c>
      <c r="J628" t="s">
        <v>1124</v>
      </c>
      <c r="K628" t="s">
        <v>1128</v>
      </c>
      <c r="L628" t="b">
        <v>1</v>
      </c>
      <c r="M628" t="s">
        <v>112</v>
      </c>
      <c r="N628" t="s">
        <v>32</v>
      </c>
      <c r="P628" t="s">
        <v>579</v>
      </c>
      <c r="Q628">
        <v>1</v>
      </c>
      <c r="R628">
        <v>3</v>
      </c>
      <c r="S628">
        <v>102.235</v>
      </c>
      <c r="T628">
        <v>750000</v>
      </c>
      <c r="U628">
        <v>750000</v>
      </c>
      <c r="V628">
        <v>1</v>
      </c>
      <c r="W628">
        <v>17760.419999999998</v>
      </c>
      <c r="X628">
        <v>766762.5</v>
      </c>
      <c r="Y628">
        <v>784522.92</v>
      </c>
    </row>
    <row r="629" spans="1:25" x14ac:dyDescent="0.25">
      <c r="A629">
        <v>68</v>
      </c>
      <c r="B629" t="s">
        <v>1545</v>
      </c>
      <c r="C629" t="s">
        <v>32</v>
      </c>
      <c r="D629" t="s">
        <v>1917</v>
      </c>
      <c r="E629">
        <v>215024</v>
      </c>
      <c r="F629" t="s">
        <v>1918</v>
      </c>
      <c r="G629" t="s">
        <v>1919</v>
      </c>
      <c r="H629" t="s">
        <v>1920</v>
      </c>
      <c r="I629" t="s">
        <v>1921</v>
      </c>
      <c r="L629" t="b">
        <v>1</v>
      </c>
      <c r="M629" t="s">
        <v>452</v>
      </c>
      <c r="N629" t="s">
        <v>32</v>
      </c>
      <c r="P629" t="s">
        <v>579</v>
      </c>
      <c r="Q629">
        <v>1</v>
      </c>
      <c r="R629">
        <v>3</v>
      </c>
      <c r="S629">
        <v>100.2478</v>
      </c>
      <c r="T629">
        <v>10000000</v>
      </c>
      <c r="U629">
        <v>10000000</v>
      </c>
      <c r="V629">
        <v>1</v>
      </c>
      <c r="W629">
        <v>150846.10999999999</v>
      </c>
      <c r="X629">
        <v>10024780</v>
      </c>
      <c r="Y629">
        <v>10175626.109999999</v>
      </c>
    </row>
    <row r="630" spans="1:25" x14ac:dyDescent="0.25">
      <c r="A630">
        <v>68</v>
      </c>
      <c r="B630" t="s">
        <v>1545</v>
      </c>
      <c r="C630" t="s">
        <v>32</v>
      </c>
      <c r="D630" t="s">
        <v>1139</v>
      </c>
      <c r="E630">
        <v>160676</v>
      </c>
      <c r="F630" t="s">
        <v>1140</v>
      </c>
      <c r="G630" t="s">
        <v>1141</v>
      </c>
      <c r="H630" t="s">
        <v>1142</v>
      </c>
      <c r="I630" t="s">
        <v>1143</v>
      </c>
      <c r="L630" t="b">
        <v>1</v>
      </c>
      <c r="M630" t="s">
        <v>81</v>
      </c>
      <c r="N630" t="s">
        <v>32</v>
      </c>
      <c r="P630" t="s">
        <v>579</v>
      </c>
      <c r="Q630">
        <v>1</v>
      </c>
      <c r="R630">
        <v>3</v>
      </c>
      <c r="S630">
        <v>100.97094800000001</v>
      </c>
      <c r="T630">
        <v>2000000</v>
      </c>
      <c r="U630">
        <v>2000000</v>
      </c>
      <c r="V630">
        <v>1</v>
      </c>
      <c r="W630">
        <v>0</v>
      </c>
      <c r="X630">
        <v>2019418.96</v>
      </c>
      <c r="Y630">
        <v>2019418.96</v>
      </c>
    </row>
    <row r="631" spans="1:25" x14ac:dyDescent="0.25">
      <c r="A631">
        <v>68</v>
      </c>
      <c r="B631" t="s">
        <v>1545</v>
      </c>
      <c r="C631" t="s">
        <v>32</v>
      </c>
      <c r="D631" t="s">
        <v>1922</v>
      </c>
      <c r="E631">
        <v>30386</v>
      </c>
      <c r="F631" t="s">
        <v>1923</v>
      </c>
      <c r="G631" t="s">
        <v>1924</v>
      </c>
      <c r="H631" t="s">
        <v>1925</v>
      </c>
      <c r="I631" t="s">
        <v>1926</v>
      </c>
      <c r="L631" t="b">
        <v>1</v>
      </c>
      <c r="M631" t="s">
        <v>31</v>
      </c>
      <c r="N631" t="s">
        <v>32</v>
      </c>
      <c r="P631" t="s">
        <v>579</v>
      </c>
      <c r="Q631">
        <v>1</v>
      </c>
      <c r="R631">
        <v>3</v>
      </c>
      <c r="S631">
        <v>110.1405</v>
      </c>
      <c r="T631">
        <v>250000</v>
      </c>
      <c r="U631">
        <v>250000</v>
      </c>
      <c r="V631">
        <v>1</v>
      </c>
      <c r="W631">
        <v>5236.1099999999997</v>
      </c>
      <c r="X631">
        <v>275351.25</v>
      </c>
      <c r="Y631">
        <v>280587.36</v>
      </c>
    </row>
    <row r="632" spans="1:25" x14ac:dyDescent="0.25">
      <c r="A632">
        <v>68</v>
      </c>
      <c r="B632" t="s">
        <v>1545</v>
      </c>
      <c r="C632" t="s">
        <v>32</v>
      </c>
      <c r="D632" t="s">
        <v>1144</v>
      </c>
      <c r="E632">
        <v>32078</v>
      </c>
      <c r="F632" t="s">
        <v>1145</v>
      </c>
      <c r="G632" t="s">
        <v>1146</v>
      </c>
      <c r="H632" t="s">
        <v>245</v>
      </c>
      <c r="I632" t="s">
        <v>1147</v>
      </c>
      <c r="L632" t="b">
        <v>1</v>
      </c>
      <c r="M632" t="s">
        <v>44</v>
      </c>
      <c r="N632" t="s">
        <v>32</v>
      </c>
      <c r="P632" t="s">
        <v>579</v>
      </c>
      <c r="Q632">
        <v>1</v>
      </c>
      <c r="R632">
        <v>3</v>
      </c>
      <c r="S632">
        <v>87</v>
      </c>
      <c r="T632">
        <v>881250</v>
      </c>
      <c r="U632">
        <v>1000000</v>
      </c>
      <c r="V632">
        <v>0.88129999999999997</v>
      </c>
      <c r="W632">
        <v>587.5</v>
      </c>
      <c r="X632">
        <v>766687.5</v>
      </c>
      <c r="Y632">
        <v>767275</v>
      </c>
    </row>
    <row r="633" spans="1:25" x14ac:dyDescent="0.25">
      <c r="A633">
        <v>68</v>
      </c>
      <c r="B633" t="s">
        <v>1545</v>
      </c>
      <c r="C633" t="s">
        <v>32</v>
      </c>
      <c r="D633" t="s">
        <v>1927</v>
      </c>
      <c r="E633">
        <v>30661</v>
      </c>
      <c r="F633" t="s">
        <v>1928</v>
      </c>
      <c r="G633" t="s">
        <v>1929</v>
      </c>
      <c r="H633" t="s">
        <v>1930</v>
      </c>
      <c r="I633" t="s">
        <v>1931</v>
      </c>
      <c r="L633" t="b">
        <v>1</v>
      </c>
      <c r="M633" t="s">
        <v>452</v>
      </c>
      <c r="N633" t="s">
        <v>32</v>
      </c>
      <c r="P633" t="s">
        <v>579</v>
      </c>
      <c r="Q633">
        <v>1</v>
      </c>
      <c r="R633">
        <v>3</v>
      </c>
      <c r="S633">
        <v>98.522499999999994</v>
      </c>
      <c r="T633">
        <v>600000</v>
      </c>
      <c r="U633">
        <v>600000</v>
      </c>
      <c r="V633">
        <v>1</v>
      </c>
      <c r="W633">
        <v>9100</v>
      </c>
      <c r="X633">
        <v>591135</v>
      </c>
      <c r="Y633">
        <v>600235</v>
      </c>
    </row>
    <row r="634" spans="1:25" x14ac:dyDescent="0.25">
      <c r="A634">
        <v>68</v>
      </c>
      <c r="B634" t="s">
        <v>1545</v>
      </c>
      <c r="C634" t="s">
        <v>32</v>
      </c>
      <c r="D634" t="s">
        <v>1148</v>
      </c>
      <c r="E634">
        <v>189329</v>
      </c>
      <c r="F634" t="s">
        <v>1149</v>
      </c>
      <c r="G634" t="s">
        <v>1150</v>
      </c>
      <c r="H634" t="s">
        <v>1151</v>
      </c>
      <c r="I634" t="s">
        <v>1152</v>
      </c>
      <c r="J634" t="s">
        <v>1149</v>
      </c>
      <c r="K634" t="s">
        <v>1153</v>
      </c>
      <c r="L634" t="b">
        <v>1</v>
      </c>
      <c r="M634" t="s">
        <v>112</v>
      </c>
      <c r="N634" t="s">
        <v>32</v>
      </c>
      <c r="P634" t="s">
        <v>579</v>
      </c>
      <c r="Q634">
        <v>1</v>
      </c>
      <c r="R634">
        <v>3</v>
      </c>
      <c r="S634">
        <v>102.1271</v>
      </c>
      <c r="T634">
        <v>5000000</v>
      </c>
      <c r="U634">
        <v>5000000</v>
      </c>
      <c r="V634">
        <v>1</v>
      </c>
      <c r="W634">
        <v>122916.67</v>
      </c>
      <c r="X634">
        <v>5106355</v>
      </c>
      <c r="Y634">
        <v>5229271.67</v>
      </c>
    </row>
    <row r="635" spans="1:25" x14ac:dyDescent="0.25">
      <c r="A635">
        <v>11</v>
      </c>
      <c r="B635" t="s">
        <v>1781</v>
      </c>
      <c r="C635" t="s">
        <v>26</v>
      </c>
      <c r="D635" t="s">
        <v>1432</v>
      </c>
      <c r="E635">
        <v>101952</v>
      </c>
      <c r="F635" t="s">
        <v>1433</v>
      </c>
      <c r="G635" t="s">
        <v>1434</v>
      </c>
      <c r="H635" t="s">
        <v>1435</v>
      </c>
      <c r="I635" t="s">
        <v>1434</v>
      </c>
      <c r="L635" t="b">
        <v>0</v>
      </c>
      <c r="M635" t="s">
        <v>50</v>
      </c>
      <c r="N635" t="s">
        <v>241</v>
      </c>
      <c r="P635" t="s">
        <v>33</v>
      </c>
      <c r="Q635">
        <v>1</v>
      </c>
      <c r="R635">
        <v>3</v>
      </c>
      <c r="S635">
        <v>103.71122162170001</v>
      </c>
      <c r="T635">
        <v>58333</v>
      </c>
      <c r="U635">
        <v>70000</v>
      </c>
      <c r="V635">
        <v>0.83330000000000004</v>
      </c>
      <c r="W635">
        <v>3950508.21</v>
      </c>
      <c r="X635">
        <v>2471022795.5999999</v>
      </c>
      <c r="Y635">
        <v>2474973303.8099999</v>
      </c>
    </row>
    <row r="636" spans="1:25" x14ac:dyDescent="0.25">
      <c r="A636">
        <v>11</v>
      </c>
      <c r="B636" t="s">
        <v>1781</v>
      </c>
      <c r="C636" t="s">
        <v>26</v>
      </c>
      <c r="D636" t="s">
        <v>1932</v>
      </c>
      <c r="E636">
        <v>46122</v>
      </c>
      <c r="F636" t="s">
        <v>1933</v>
      </c>
      <c r="G636" t="s">
        <v>1934</v>
      </c>
      <c r="H636" t="s">
        <v>1935</v>
      </c>
      <c r="I636" t="s">
        <v>1934</v>
      </c>
      <c r="L636" t="b">
        <v>0</v>
      </c>
      <c r="M636" t="s">
        <v>50</v>
      </c>
      <c r="N636" t="s">
        <v>241</v>
      </c>
      <c r="P636" t="s">
        <v>33</v>
      </c>
      <c r="Q636">
        <v>1</v>
      </c>
      <c r="R636">
        <v>3</v>
      </c>
      <c r="S636">
        <v>98.466740910499993</v>
      </c>
      <c r="T636">
        <v>40000</v>
      </c>
      <c r="U636">
        <v>40000</v>
      </c>
      <c r="V636">
        <v>1</v>
      </c>
      <c r="W636">
        <v>2995284.6</v>
      </c>
      <c r="X636">
        <v>1608741081.8499999</v>
      </c>
      <c r="Y636">
        <v>1611736366.45</v>
      </c>
    </row>
    <row r="637" spans="1:25" x14ac:dyDescent="0.25">
      <c r="A637">
        <v>11</v>
      </c>
      <c r="B637" t="s">
        <v>1781</v>
      </c>
      <c r="C637" t="s">
        <v>26</v>
      </c>
      <c r="D637" t="s">
        <v>1936</v>
      </c>
      <c r="E637">
        <v>46124</v>
      </c>
      <c r="F637" t="s">
        <v>1937</v>
      </c>
      <c r="G637" t="s">
        <v>1938</v>
      </c>
      <c r="H637" t="s">
        <v>1935</v>
      </c>
      <c r="I637" t="s">
        <v>1938</v>
      </c>
      <c r="L637" t="b">
        <v>0</v>
      </c>
      <c r="M637" t="s">
        <v>50</v>
      </c>
      <c r="N637" t="s">
        <v>241</v>
      </c>
      <c r="P637" t="s">
        <v>33</v>
      </c>
      <c r="Q637">
        <v>1</v>
      </c>
      <c r="R637">
        <v>3</v>
      </c>
      <c r="S637">
        <v>86.970707853799993</v>
      </c>
      <c r="T637">
        <v>65000</v>
      </c>
      <c r="U637">
        <v>65000</v>
      </c>
      <c r="V637">
        <v>1</v>
      </c>
      <c r="W637">
        <v>16482574.630000001</v>
      </c>
      <c r="X637">
        <v>2308995189.6999998</v>
      </c>
      <c r="Y637">
        <v>2325477764.3299999</v>
      </c>
    </row>
    <row r="638" spans="1:25" x14ac:dyDescent="0.25">
      <c r="A638">
        <v>11</v>
      </c>
      <c r="B638" t="s">
        <v>1781</v>
      </c>
      <c r="C638" t="s">
        <v>26</v>
      </c>
      <c r="D638" t="s">
        <v>1939</v>
      </c>
      <c r="E638">
        <v>171377</v>
      </c>
      <c r="F638" t="s">
        <v>1940</v>
      </c>
      <c r="G638" t="s">
        <v>1941</v>
      </c>
      <c r="H638" t="s">
        <v>1935</v>
      </c>
      <c r="I638" t="s">
        <v>1941</v>
      </c>
      <c r="L638" t="b">
        <v>0</v>
      </c>
      <c r="M638" t="s">
        <v>50</v>
      </c>
      <c r="N638" t="s">
        <v>241</v>
      </c>
      <c r="P638" t="s">
        <v>33</v>
      </c>
      <c r="Q638">
        <v>1</v>
      </c>
      <c r="R638">
        <v>3</v>
      </c>
      <c r="S638">
        <v>100.94410486149999</v>
      </c>
      <c r="T638">
        <v>40000</v>
      </c>
      <c r="U638">
        <v>40000</v>
      </c>
      <c r="V638">
        <v>1</v>
      </c>
      <c r="W638">
        <v>12146641.49</v>
      </c>
      <c r="X638">
        <v>1649216226.5</v>
      </c>
      <c r="Y638">
        <v>1661362867.99</v>
      </c>
    </row>
    <row r="639" spans="1:25" x14ac:dyDescent="0.25">
      <c r="A639">
        <v>11</v>
      </c>
      <c r="B639" t="s">
        <v>1781</v>
      </c>
      <c r="C639" t="s">
        <v>26</v>
      </c>
      <c r="D639" t="s">
        <v>1942</v>
      </c>
      <c r="E639">
        <v>97750</v>
      </c>
      <c r="F639" t="s">
        <v>1943</v>
      </c>
      <c r="G639" t="s">
        <v>1944</v>
      </c>
      <c r="H639" t="s">
        <v>1810</v>
      </c>
      <c r="I639" t="s">
        <v>1944</v>
      </c>
      <c r="L639" t="b">
        <v>0</v>
      </c>
      <c r="M639" t="s">
        <v>50</v>
      </c>
      <c r="N639" t="s">
        <v>241</v>
      </c>
      <c r="P639" t="s">
        <v>33</v>
      </c>
      <c r="Q639">
        <v>1</v>
      </c>
      <c r="R639">
        <v>3</v>
      </c>
      <c r="S639">
        <v>93.111209875300005</v>
      </c>
      <c r="T639">
        <v>70000</v>
      </c>
      <c r="U639">
        <v>70000</v>
      </c>
      <c r="V639">
        <v>1</v>
      </c>
      <c r="W639">
        <v>30052688.82</v>
      </c>
      <c r="X639">
        <v>2662175187.4499989</v>
      </c>
      <c r="Y639">
        <v>2692227876.27</v>
      </c>
    </row>
    <row r="640" spans="1:25" x14ac:dyDescent="0.25">
      <c r="A640">
        <v>11</v>
      </c>
      <c r="B640" t="s">
        <v>1781</v>
      </c>
      <c r="C640" t="s">
        <v>26</v>
      </c>
      <c r="D640" t="s">
        <v>1945</v>
      </c>
      <c r="E640">
        <v>159120</v>
      </c>
      <c r="F640" t="s">
        <v>1946</v>
      </c>
      <c r="G640" t="s">
        <v>1947</v>
      </c>
      <c r="H640" t="s">
        <v>1810</v>
      </c>
      <c r="I640" t="s">
        <v>1947</v>
      </c>
      <c r="L640" t="b">
        <v>0</v>
      </c>
      <c r="M640" t="s">
        <v>50</v>
      </c>
      <c r="N640" t="s">
        <v>241</v>
      </c>
      <c r="P640" t="s">
        <v>33</v>
      </c>
      <c r="Q640">
        <v>1</v>
      </c>
      <c r="R640">
        <v>3</v>
      </c>
      <c r="S640">
        <v>98.973142358100006</v>
      </c>
      <c r="T640">
        <v>20000</v>
      </c>
      <c r="U640">
        <v>20000</v>
      </c>
      <c r="V640">
        <v>1</v>
      </c>
      <c r="W640">
        <v>7788485.9800000004</v>
      </c>
      <c r="X640">
        <v>808507505.4799999</v>
      </c>
      <c r="Y640">
        <v>816295991.45999992</v>
      </c>
    </row>
    <row r="641" spans="1:25" x14ac:dyDescent="0.25">
      <c r="A641">
        <v>11</v>
      </c>
      <c r="B641" t="s">
        <v>1781</v>
      </c>
      <c r="C641" t="s">
        <v>26</v>
      </c>
      <c r="D641" t="s">
        <v>1948</v>
      </c>
      <c r="E641">
        <v>119725</v>
      </c>
      <c r="F641" t="s">
        <v>1949</v>
      </c>
      <c r="G641" t="s">
        <v>1950</v>
      </c>
      <c r="H641" t="s">
        <v>1951</v>
      </c>
      <c r="I641" t="s">
        <v>1950</v>
      </c>
      <c r="L641" t="b">
        <v>0</v>
      </c>
      <c r="M641" t="s">
        <v>50</v>
      </c>
      <c r="N641" t="s">
        <v>241</v>
      </c>
      <c r="P641" t="s">
        <v>33</v>
      </c>
      <c r="Q641">
        <v>1</v>
      </c>
      <c r="R641">
        <v>3</v>
      </c>
      <c r="S641">
        <v>101.9989275181</v>
      </c>
      <c r="T641">
        <v>50000</v>
      </c>
      <c r="U641">
        <v>50000</v>
      </c>
      <c r="V641">
        <v>1</v>
      </c>
      <c r="W641">
        <v>21142023.469999999</v>
      </c>
      <c r="X641">
        <v>2083062233.8099999</v>
      </c>
      <c r="Y641">
        <v>2104204257.28</v>
      </c>
    </row>
    <row r="642" spans="1:25" x14ac:dyDescent="0.25">
      <c r="A642">
        <v>11</v>
      </c>
      <c r="B642" t="s">
        <v>1781</v>
      </c>
      <c r="C642" t="s">
        <v>26</v>
      </c>
      <c r="D642" t="s">
        <v>1952</v>
      </c>
      <c r="E642">
        <v>135596</v>
      </c>
      <c r="F642" t="s">
        <v>1953</v>
      </c>
      <c r="G642" t="s">
        <v>1954</v>
      </c>
      <c r="H642" t="s">
        <v>1857</v>
      </c>
      <c r="I642" t="s">
        <v>1954</v>
      </c>
      <c r="L642" t="b">
        <v>0</v>
      </c>
      <c r="M642" t="s">
        <v>50</v>
      </c>
      <c r="N642" t="s">
        <v>241</v>
      </c>
      <c r="P642" t="s">
        <v>33</v>
      </c>
      <c r="Q642">
        <v>1</v>
      </c>
      <c r="R642">
        <v>3</v>
      </c>
      <c r="S642">
        <v>99.601090791100006</v>
      </c>
      <c r="T642">
        <v>40000</v>
      </c>
      <c r="U642">
        <v>40000</v>
      </c>
      <c r="V642">
        <v>1</v>
      </c>
      <c r="W642">
        <v>17530897.199999999</v>
      </c>
      <c r="X642">
        <v>1627274405.3099999</v>
      </c>
      <c r="Y642">
        <v>1644805302.51</v>
      </c>
    </row>
    <row r="643" spans="1:25" x14ac:dyDescent="0.25">
      <c r="A643">
        <v>11</v>
      </c>
      <c r="B643" t="s">
        <v>1781</v>
      </c>
      <c r="C643" t="s">
        <v>26</v>
      </c>
      <c r="D643" t="s">
        <v>1955</v>
      </c>
      <c r="E643">
        <v>189243</v>
      </c>
      <c r="F643" t="s">
        <v>1956</v>
      </c>
      <c r="G643" t="s">
        <v>1957</v>
      </c>
      <c r="H643" t="s">
        <v>1857</v>
      </c>
      <c r="I643" t="s">
        <v>1957</v>
      </c>
      <c r="L643" t="b">
        <v>0</v>
      </c>
      <c r="M643" t="s">
        <v>50</v>
      </c>
      <c r="N643" t="s">
        <v>241</v>
      </c>
      <c r="P643" t="s">
        <v>33</v>
      </c>
      <c r="Q643">
        <v>1</v>
      </c>
      <c r="R643">
        <v>3</v>
      </c>
      <c r="S643">
        <v>97.965445127699994</v>
      </c>
      <c r="T643">
        <v>61000</v>
      </c>
      <c r="U643">
        <v>61000</v>
      </c>
      <c r="V643">
        <v>1</v>
      </c>
      <c r="W643">
        <v>16091560.65</v>
      </c>
      <c r="X643">
        <v>2440840538.02</v>
      </c>
      <c r="Y643">
        <v>2456932098.6700001</v>
      </c>
    </row>
    <row r="644" spans="1:25" x14ac:dyDescent="0.25">
      <c r="A644">
        <v>11</v>
      </c>
      <c r="B644" t="s">
        <v>1781</v>
      </c>
      <c r="C644" t="s">
        <v>26</v>
      </c>
      <c r="D644" t="s">
        <v>1958</v>
      </c>
      <c r="E644">
        <v>135601</v>
      </c>
      <c r="F644" t="s">
        <v>1959</v>
      </c>
      <c r="G644" t="s">
        <v>1960</v>
      </c>
      <c r="H644" t="s">
        <v>1961</v>
      </c>
      <c r="I644" t="s">
        <v>1960</v>
      </c>
      <c r="L644" t="b">
        <v>0</v>
      </c>
      <c r="M644" t="s">
        <v>50</v>
      </c>
      <c r="N644" t="s">
        <v>241</v>
      </c>
      <c r="P644" t="s">
        <v>33</v>
      </c>
      <c r="Q644">
        <v>1</v>
      </c>
      <c r="R644">
        <v>3</v>
      </c>
      <c r="S644">
        <v>102.07417784579999</v>
      </c>
      <c r="T644">
        <v>15000</v>
      </c>
      <c r="U644">
        <v>15000</v>
      </c>
      <c r="V644">
        <v>1</v>
      </c>
      <c r="W644">
        <v>8562364.8100000005</v>
      </c>
      <c r="X644">
        <v>625379889.51000011</v>
      </c>
      <c r="Y644">
        <v>633942254.32000005</v>
      </c>
    </row>
    <row r="645" spans="1:25" x14ac:dyDescent="0.25">
      <c r="A645">
        <v>11</v>
      </c>
      <c r="B645" t="s">
        <v>1781</v>
      </c>
      <c r="C645" t="s">
        <v>26</v>
      </c>
      <c r="D645" t="s">
        <v>1962</v>
      </c>
      <c r="E645">
        <v>135602</v>
      </c>
      <c r="F645" t="s">
        <v>1963</v>
      </c>
      <c r="G645" t="s">
        <v>1964</v>
      </c>
      <c r="H645" t="s">
        <v>1961</v>
      </c>
      <c r="I645" t="s">
        <v>1964</v>
      </c>
      <c r="L645" t="b">
        <v>0</v>
      </c>
      <c r="M645" t="s">
        <v>50</v>
      </c>
      <c r="N645" t="s">
        <v>241</v>
      </c>
      <c r="P645" t="s">
        <v>33</v>
      </c>
      <c r="Q645">
        <v>1</v>
      </c>
      <c r="R645">
        <v>3</v>
      </c>
      <c r="S645">
        <v>102.619051216</v>
      </c>
      <c r="T645">
        <v>30000</v>
      </c>
      <c r="U645">
        <v>30000</v>
      </c>
      <c r="V645">
        <v>1</v>
      </c>
      <c r="W645">
        <v>1943231.73</v>
      </c>
      <c r="X645">
        <v>1257436268.4000001</v>
      </c>
      <c r="Y645">
        <v>1259379500.1300001</v>
      </c>
    </row>
    <row r="646" spans="1:25" x14ac:dyDescent="0.25">
      <c r="A646">
        <v>11</v>
      </c>
      <c r="B646" t="s">
        <v>1781</v>
      </c>
      <c r="C646" t="s">
        <v>26</v>
      </c>
      <c r="D646" t="s">
        <v>1965</v>
      </c>
      <c r="E646">
        <v>28567</v>
      </c>
      <c r="F646" t="s">
        <v>1966</v>
      </c>
      <c r="G646" t="s">
        <v>1967</v>
      </c>
      <c r="H646" t="s">
        <v>1961</v>
      </c>
      <c r="I646" t="s">
        <v>1967</v>
      </c>
      <c r="L646" t="b">
        <v>0</v>
      </c>
      <c r="M646" t="s">
        <v>50</v>
      </c>
      <c r="N646" t="s">
        <v>241</v>
      </c>
      <c r="P646" t="s">
        <v>33</v>
      </c>
      <c r="Q646">
        <v>1</v>
      </c>
      <c r="R646">
        <v>3</v>
      </c>
      <c r="S646">
        <v>102.6112956784</v>
      </c>
      <c r="T646">
        <v>30000</v>
      </c>
      <c r="U646">
        <v>30000</v>
      </c>
      <c r="V646">
        <v>1</v>
      </c>
      <c r="W646">
        <v>18467971.800000001</v>
      </c>
      <c r="X646">
        <v>1257341100.04</v>
      </c>
      <c r="Y646">
        <v>1275809071.8399999</v>
      </c>
    </row>
    <row r="647" spans="1:25" x14ac:dyDescent="0.25">
      <c r="A647">
        <v>11</v>
      </c>
      <c r="B647" t="s">
        <v>1781</v>
      </c>
      <c r="C647" t="s">
        <v>26</v>
      </c>
      <c r="D647" t="s">
        <v>1968</v>
      </c>
      <c r="E647">
        <v>643</v>
      </c>
      <c r="F647" t="s">
        <v>1969</v>
      </c>
      <c r="G647" t="s">
        <v>1970</v>
      </c>
      <c r="H647" t="s">
        <v>1961</v>
      </c>
      <c r="I647" t="s">
        <v>1970</v>
      </c>
      <c r="L647" t="b">
        <v>0</v>
      </c>
      <c r="M647" t="s">
        <v>50</v>
      </c>
      <c r="N647" t="s">
        <v>241</v>
      </c>
      <c r="P647" t="s">
        <v>33</v>
      </c>
      <c r="Q647">
        <v>1</v>
      </c>
      <c r="R647">
        <v>3</v>
      </c>
      <c r="S647">
        <v>99.220973470000004</v>
      </c>
      <c r="T647">
        <v>1000</v>
      </c>
      <c r="U647">
        <v>1000</v>
      </c>
      <c r="V647">
        <v>1</v>
      </c>
      <c r="W647">
        <v>405452.62</v>
      </c>
      <c r="X647">
        <v>40526609.090000004</v>
      </c>
      <c r="Y647">
        <v>40932061.709999993</v>
      </c>
    </row>
    <row r="648" spans="1:25" x14ac:dyDescent="0.25">
      <c r="A648">
        <v>11</v>
      </c>
      <c r="B648" t="s">
        <v>1781</v>
      </c>
      <c r="C648" t="s">
        <v>26</v>
      </c>
      <c r="D648" t="s">
        <v>1971</v>
      </c>
      <c r="E648">
        <v>28573</v>
      </c>
      <c r="F648" t="s">
        <v>1972</v>
      </c>
      <c r="G648" t="s">
        <v>1973</v>
      </c>
      <c r="H648" t="s">
        <v>1961</v>
      </c>
      <c r="I648" t="s">
        <v>1973</v>
      </c>
      <c r="L648" t="b">
        <v>0</v>
      </c>
      <c r="M648" t="s">
        <v>50</v>
      </c>
      <c r="N648" t="s">
        <v>241</v>
      </c>
      <c r="P648" t="s">
        <v>33</v>
      </c>
      <c r="Q648">
        <v>1</v>
      </c>
      <c r="R648">
        <v>3</v>
      </c>
      <c r="S648">
        <v>99.932754489600001</v>
      </c>
      <c r="T648">
        <v>25000</v>
      </c>
      <c r="U648">
        <v>25000</v>
      </c>
      <c r="V648">
        <v>1</v>
      </c>
      <c r="W648">
        <v>12650085.289999999</v>
      </c>
      <c r="X648">
        <v>1020433149.08</v>
      </c>
      <c r="Y648">
        <v>1033083234.37</v>
      </c>
    </row>
    <row r="649" spans="1:25" x14ac:dyDescent="0.25">
      <c r="A649">
        <v>68</v>
      </c>
      <c r="B649" t="s">
        <v>1545</v>
      </c>
      <c r="C649" t="s">
        <v>32</v>
      </c>
      <c r="D649" t="s">
        <v>1974</v>
      </c>
      <c r="E649">
        <v>31302</v>
      </c>
      <c r="F649" t="s">
        <v>1975</v>
      </c>
      <c r="G649" t="s">
        <v>1976</v>
      </c>
      <c r="H649" t="s">
        <v>1977</v>
      </c>
      <c r="I649" t="s">
        <v>1978</v>
      </c>
      <c r="L649" t="b">
        <v>1</v>
      </c>
      <c r="M649" t="s">
        <v>31</v>
      </c>
      <c r="N649" t="s">
        <v>32</v>
      </c>
      <c r="P649" t="s">
        <v>579</v>
      </c>
      <c r="Q649">
        <v>1</v>
      </c>
      <c r="R649">
        <v>3</v>
      </c>
      <c r="S649">
        <v>96.1828</v>
      </c>
      <c r="T649">
        <v>1689792</v>
      </c>
      <c r="U649">
        <v>2400000</v>
      </c>
      <c r="V649">
        <v>0.70409999999999995</v>
      </c>
      <c r="W649">
        <v>10979.42</v>
      </c>
      <c r="X649">
        <v>1625289.26</v>
      </c>
      <c r="Y649">
        <v>1636268.68</v>
      </c>
    </row>
    <row r="650" spans="1:25" x14ac:dyDescent="0.25">
      <c r="A650">
        <v>68</v>
      </c>
      <c r="B650" t="s">
        <v>1545</v>
      </c>
      <c r="C650" t="s">
        <v>32</v>
      </c>
      <c r="D650" t="s">
        <v>1159</v>
      </c>
      <c r="E650">
        <v>196181</v>
      </c>
      <c r="F650" t="s">
        <v>1160</v>
      </c>
      <c r="G650" t="s">
        <v>1161</v>
      </c>
      <c r="H650" t="s">
        <v>1162</v>
      </c>
      <c r="I650" t="s">
        <v>1163</v>
      </c>
      <c r="J650" t="s">
        <v>1160</v>
      </c>
      <c r="K650" t="s">
        <v>1164</v>
      </c>
      <c r="L650" t="b">
        <v>1</v>
      </c>
      <c r="M650" t="s">
        <v>112</v>
      </c>
      <c r="N650" t="s">
        <v>32</v>
      </c>
      <c r="P650" t="s">
        <v>579</v>
      </c>
      <c r="Q650">
        <v>1</v>
      </c>
      <c r="R650">
        <v>3</v>
      </c>
      <c r="S650">
        <v>102.4</v>
      </c>
      <c r="T650">
        <v>2450000</v>
      </c>
      <c r="U650">
        <v>2450000</v>
      </c>
      <c r="V650">
        <v>1</v>
      </c>
      <c r="W650">
        <v>30590.97</v>
      </c>
      <c r="X650">
        <v>2508800</v>
      </c>
      <c r="Y650">
        <v>2539390.9700000002</v>
      </c>
    </row>
    <row r="651" spans="1:25" x14ac:dyDescent="0.25">
      <c r="A651">
        <v>68</v>
      </c>
      <c r="B651" t="s">
        <v>1545</v>
      </c>
      <c r="C651" t="s">
        <v>32</v>
      </c>
      <c r="D651" t="s">
        <v>1165</v>
      </c>
      <c r="E651">
        <v>172961</v>
      </c>
      <c r="F651" t="s">
        <v>1166</v>
      </c>
      <c r="G651" t="s">
        <v>1167</v>
      </c>
      <c r="H651" t="s">
        <v>1168</v>
      </c>
      <c r="I651" t="s">
        <v>1169</v>
      </c>
      <c r="L651" t="b">
        <v>1</v>
      </c>
      <c r="M651" t="s">
        <v>31</v>
      </c>
      <c r="N651" t="s">
        <v>32</v>
      </c>
      <c r="P651" t="s">
        <v>579</v>
      </c>
      <c r="Q651">
        <v>1</v>
      </c>
      <c r="R651">
        <v>3</v>
      </c>
      <c r="S651">
        <v>96.625</v>
      </c>
      <c r="T651">
        <v>3553000</v>
      </c>
      <c r="U651">
        <v>3553000</v>
      </c>
      <c r="V651">
        <v>1</v>
      </c>
      <c r="W651">
        <v>63842.97</v>
      </c>
      <c r="X651">
        <v>3433086.25</v>
      </c>
      <c r="Y651">
        <v>3496929.22</v>
      </c>
    </row>
    <row r="652" spans="1:25" x14ac:dyDescent="0.25">
      <c r="A652">
        <v>68</v>
      </c>
      <c r="B652" t="s">
        <v>1545</v>
      </c>
      <c r="C652" t="s">
        <v>32</v>
      </c>
      <c r="D652" t="s">
        <v>1170</v>
      </c>
      <c r="E652">
        <v>174456</v>
      </c>
      <c r="F652" t="s">
        <v>1171</v>
      </c>
      <c r="G652" t="s">
        <v>1172</v>
      </c>
      <c r="H652" t="s">
        <v>1168</v>
      </c>
      <c r="I652" t="s">
        <v>1172</v>
      </c>
      <c r="L652" t="b">
        <v>0</v>
      </c>
      <c r="M652" t="s">
        <v>31</v>
      </c>
      <c r="N652" t="s">
        <v>32</v>
      </c>
      <c r="P652" t="s">
        <v>579</v>
      </c>
      <c r="Q652">
        <v>1</v>
      </c>
      <c r="R652">
        <v>3</v>
      </c>
      <c r="S652">
        <v>71</v>
      </c>
      <c r="T652">
        <v>3254690</v>
      </c>
      <c r="U652">
        <v>3350000</v>
      </c>
      <c r="V652">
        <v>0.97150000000000003</v>
      </c>
      <c r="W652">
        <v>50673.72</v>
      </c>
      <c r="X652">
        <v>2310829.9</v>
      </c>
      <c r="Y652">
        <v>2361503.62</v>
      </c>
    </row>
    <row r="653" spans="1:25" x14ac:dyDescent="0.25">
      <c r="A653">
        <v>68</v>
      </c>
      <c r="B653" t="s">
        <v>1545</v>
      </c>
      <c r="C653" t="s">
        <v>32</v>
      </c>
      <c r="D653" t="s">
        <v>1105</v>
      </c>
      <c r="E653">
        <v>187236</v>
      </c>
      <c r="F653" t="s">
        <v>1106</v>
      </c>
      <c r="G653" t="s">
        <v>1107</v>
      </c>
      <c r="H653" t="s">
        <v>1108</v>
      </c>
      <c r="I653" t="s">
        <v>1109</v>
      </c>
      <c r="L653" t="b">
        <v>1</v>
      </c>
      <c r="M653" t="s">
        <v>50</v>
      </c>
      <c r="N653" t="s">
        <v>32</v>
      </c>
      <c r="P653" t="s">
        <v>579</v>
      </c>
      <c r="Q653">
        <v>1</v>
      </c>
      <c r="R653">
        <v>3</v>
      </c>
      <c r="S653">
        <v>100.396</v>
      </c>
      <c r="T653">
        <v>1594845</v>
      </c>
      <c r="U653">
        <v>1594845</v>
      </c>
      <c r="V653">
        <v>1</v>
      </c>
      <c r="W653">
        <v>7974.23</v>
      </c>
      <c r="X653">
        <v>1601160.59</v>
      </c>
      <c r="Y653">
        <v>1609134.82</v>
      </c>
    </row>
    <row r="654" spans="1:25" x14ac:dyDescent="0.25">
      <c r="A654">
        <v>68</v>
      </c>
      <c r="B654" t="s">
        <v>1545</v>
      </c>
      <c r="C654" t="s">
        <v>32</v>
      </c>
      <c r="D654" t="s">
        <v>1191</v>
      </c>
      <c r="E654">
        <v>169946</v>
      </c>
      <c r="F654" t="s">
        <v>1192</v>
      </c>
      <c r="G654" t="s">
        <v>1193</v>
      </c>
      <c r="H654" t="s">
        <v>1194</v>
      </c>
      <c r="I654" t="s">
        <v>1195</v>
      </c>
      <c r="J654" t="s">
        <v>1192</v>
      </c>
      <c r="K654" t="s">
        <v>1196</v>
      </c>
      <c r="L654" t="b">
        <v>1</v>
      </c>
      <c r="M654" t="s">
        <v>61</v>
      </c>
      <c r="N654" t="s">
        <v>32</v>
      </c>
      <c r="P654" t="s">
        <v>579</v>
      </c>
      <c r="Q654">
        <v>1</v>
      </c>
      <c r="R654">
        <v>3</v>
      </c>
      <c r="S654">
        <v>107.51</v>
      </c>
      <c r="T654">
        <v>1800000</v>
      </c>
      <c r="U654">
        <v>1800000</v>
      </c>
      <c r="V654">
        <v>1</v>
      </c>
      <c r="W654">
        <v>32937.5</v>
      </c>
      <c r="X654">
        <v>1935180</v>
      </c>
      <c r="Y654">
        <v>1968117.5</v>
      </c>
    </row>
    <row r="655" spans="1:25" x14ac:dyDescent="0.25">
      <c r="A655">
        <v>68</v>
      </c>
      <c r="B655" t="s">
        <v>1545</v>
      </c>
      <c r="C655" t="s">
        <v>32</v>
      </c>
      <c r="D655" t="s">
        <v>1979</v>
      </c>
      <c r="E655">
        <v>30480</v>
      </c>
      <c r="F655" t="s">
        <v>1980</v>
      </c>
      <c r="G655" t="s">
        <v>1981</v>
      </c>
      <c r="H655" t="s">
        <v>1982</v>
      </c>
      <c r="I655" t="s">
        <v>1983</v>
      </c>
      <c r="L655" t="b">
        <v>1</v>
      </c>
      <c r="M655" t="s">
        <v>44</v>
      </c>
      <c r="N655" t="s">
        <v>32</v>
      </c>
      <c r="P655" t="s">
        <v>579</v>
      </c>
      <c r="Q655">
        <v>1</v>
      </c>
      <c r="R655">
        <v>3</v>
      </c>
      <c r="S655">
        <v>72.671000000000006</v>
      </c>
      <c r="T655">
        <v>2460000</v>
      </c>
      <c r="U655">
        <v>2460000</v>
      </c>
      <c r="V655">
        <v>1</v>
      </c>
      <c r="W655">
        <v>4868.74</v>
      </c>
      <c r="X655">
        <v>1787706.6</v>
      </c>
      <c r="Y655">
        <v>1792575.34</v>
      </c>
    </row>
    <row r="656" spans="1:25" x14ac:dyDescent="0.25">
      <c r="A656">
        <v>68</v>
      </c>
      <c r="B656" t="s">
        <v>1545</v>
      </c>
      <c r="C656" t="s">
        <v>32</v>
      </c>
      <c r="D656" t="s">
        <v>27</v>
      </c>
      <c r="E656">
        <v>211993</v>
      </c>
      <c r="F656" t="s">
        <v>28</v>
      </c>
      <c r="G656" t="s">
        <v>29</v>
      </c>
      <c r="H656" t="s">
        <v>30</v>
      </c>
      <c r="I656" t="s">
        <v>29</v>
      </c>
      <c r="L656" t="b">
        <v>0</v>
      </c>
      <c r="M656" t="s">
        <v>31</v>
      </c>
      <c r="N656" t="s">
        <v>32</v>
      </c>
      <c r="P656" t="s">
        <v>579</v>
      </c>
      <c r="Q656">
        <v>1</v>
      </c>
      <c r="R656">
        <v>3</v>
      </c>
      <c r="S656">
        <v>95.5565</v>
      </c>
      <c r="T656">
        <v>766638</v>
      </c>
      <c r="U656">
        <v>766638</v>
      </c>
      <c r="V656">
        <v>1</v>
      </c>
      <c r="W656">
        <v>16610.490000000002</v>
      </c>
      <c r="X656">
        <v>732572.44</v>
      </c>
      <c r="Y656">
        <v>749182.92999999993</v>
      </c>
    </row>
    <row r="657" spans="1:25" x14ac:dyDescent="0.25">
      <c r="A657">
        <v>68</v>
      </c>
      <c r="B657" t="s">
        <v>1545</v>
      </c>
      <c r="C657" t="s">
        <v>32</v>
      </c>
      <c r="D657" t="s">
        <v>1984</v>
      </c>
      <c r="E657">
        <v>30671</v>
      </c>
      <c r="F657" t="s">
        <v>1985</v>
      </c>
      <c r="G657" t="s">
        <v>1986</v>
      </c>
      <c r="H657" t="s">
        <v>1987</v>
      </c>
      <c r="I657" t="s">
        <v>1988</v>
      </c>
      <c r="L657" t="b">
        <v>1</v>
      </c>
      <c r="M657" t="s">
        <v>61</v>
      </c>
      <c r="N657" t="s">
        <v>32</v>
      </c>
      <c r="P657" t="s">
        <v>579</v>
      </c>
      <c r="Q657">
        <v>1</v>
      </c>
      <c r="R657">
        <v>3</v>
      </c>
      <c r="S657">
        <v>98.846720000000005</v>
      </c>
      <c r="T657">
        <v>400000</v>
      </c>
      <c r="U657">
        <v>400000</v>
      </c>
      <c r="V657">
        <v>1</v>
      </c>
      <c r="W657">
        <v>4629.16</v>
      </c>
      <c r="X657">
        <v>395386.88</v>
      </c>
      <c r="Y657">
        <v>400016.04</v>
      </c>
    </row>
    <row r="658" spans="1:25" x14ac:dyDescent="0.25">
      <c r="A658">
        <v>68</v>
      </c>
      <c r="B658" t="s">
        <v>1545</v>
      </c>
      <c r="C658" t="s">
        <v>32</v>
      </c>
      <c r="D658" t="s">
        <v>1210</v>
      </c>
      <c r="E658">
        <v>166883</v>
      </c>
      <c r="F658" t="s">
        <v>1211</v>
      </c>
      <c r="G658" t="s">
        <v>1212</v>
      </c>
      <c r="H658" t="s">
        <v>1213</v>
      </c>
      <c r="I658" t="s">
        <v>1214</v>
      </c>
      <c r="J658" t="s">
        <v>1211</v>
      </c>
      <c r="K658" t="s">
        <v>1215</v>
      </c>
      <c r="L658" t="b">
        <v>1</v>
      </c>
      <c r="M658" t="s">
        <v>112</v>
      </c>
      <c r="N658" t="s">
        <v>32</v>
      </c>
      <c r="P658" t="s">
        <v>579</v>
      </c>
      <c r="Q658">
        <v>1</v>
      </c>
      <c r="R658">
        <v>3</v>
      </c>
      <c r="S658">
        <v>103.68</v>
      </c>
      <c r="T658">
        <v>1000000</v>
      </c>
      <c r="U658">
        <v>1000000</v>
      </c>
      <c r="V658">
        <v>1</v>
      </c>
      <c r="W658">
        <v>26666.67</v>
      </c>
      <c r="X658">
        <v>1036800</v>
      </c>
      <c r="Y658">
        <v>1063466.67</v>
      </c>
    </row>
    <row r="659" spans="1:25" x14ac:dyDescent="0.25">
      <c r="A659">
        <v>68</v>
      </c>
      <c r="B659" t="s">
        <v>1545</v>
      </c>
      <c r="C659" t="s">
        <v>32</v>
      </c>
      <c r="D659" t="s">
        <v>1989</v>
      </c>
      <c r="E659">
        <v>103645</v>
      </c>
      <c r="F659" t="s">
        <v>1990</v>
      </c>
      <c r="G659" t="s">
        <v>1991</v>
      </c>
      <c r="H659" t="s">
        <v>1992</v>
      </c>
      <c r="I659" t="s">
        <v>1991</v>
      </c>
      <c r="L659" t="b">
        <v>0</v>
      </c>
      <c r="M659" t="s">
        <v>31</v>
      </c>
      <c r="N659" t="s">
        <v>32</v>
      </c>
      <c r="P659" t="s">
        <v>579</v>
      </c>
      <c r="Q659">
        <v>1</v>
      </c>
      <c r="R659">
        <v>3</v>
      </c>
      <c r="S659">
        <v>96.776368000000005</v>
      </c>
      <c r="T659">
        <v>220000</v>
      </c>
      <c r="U659">
        <v>220000</v>
      </c>
      <c r="V659">
        <v>1</v>
      </c>
      <c r="W659">
        <v>2343.61</v>
      </c>
      <c r="X659">
        <v>212908.01</v>
      </c>
      <c r="Y659">
        <v>215251.62</v>
      </c>
    </row>
    <row r="660" spans="1:25" x14ac:dyDescent="0.25">
      <c r="A660">
        <v>68</v>
      </c>
      <c r="B660" t="s">
        <v>1545</v>
      </c>
      <c r="C660" t="s">
        <v>32</v>
      </c>
      <c r="D660" t="s">
        <v>1224</v>
      </c>
      <c r="E660">
        <v>213783</v>
      </c>
      <c r="F660" t="s">
        <v>1225</v>
      </c>
      <c r="G660" t="s">
        <v>1226</v>
      </c>
      <c r="H660" t="s">
        <v>1227</v>
      </c>
      <c r="I660" t="s">
        <v>1228</v>
      </c>
      <c r="J660" t="s">
        <v>1225</v>
      </c>
      <c r="K660" t="s">
        <v>1229</v>
      </c>
      <c r="L660" t="b">
        <v>1</v>
      </c>
      <c r="M660" t="s">
        <v>31</v>
      </c>
      <c r="N660" t="s">
        <v>32</v>
      </c>
      <c r="P660" t="s">
        <v>579</v>
      </c>
      <c r="Q660">
        <v>1</v>
      </c>
      <c r="R660">
        <v>3</v>
      </c>
      <c r="S660">
        <v>96.125</v>
      </c>
      <c r="T660">
        <v>2650000</v>
      </c>
      <c r="U660">
        <v>2650000</v>
      </c>
      <c r="V660">
        <v>1</v>
      </c>
      <c r="W660">
        <v>57122.22</v>
      </c>
      <c r="X660">
        <v>2547312.5</v>
      </c>
      <c r="Y660">
        <v>2604434.7200000002</v>
      </c>
    </row>
    <row r="661" spans="1:25" x14ac:dyDescent="0.25">
      <c r="A661">
        <v>68</v>
      </c>
      <c r="B661" t="s">
        <v>1545</v>
      </c>
      <c r="C661" t="s">
        <v>32</v>
      </c>
      <c r="D661" t="s">
        <v>34</v>
      </c>
      <c r="E661">
        <v>225679</v>
      </c>
      <c r="F661" t="s">
        <v>35</v>
      </c>
      <c r="G661" t="s">
        <v>36</v>
      </c>
      <c r="H661" t="s">
        <v>37</v>
      </c>
      <c r="I661" t="s">
        <v>38</v>
      </c>
      <c r="L661" t="b">
        <v>1</v>
      </c>
      <c r="M661" t="s">
        <v>39</v>
      </c>
      <c r="N661" t="s">
        <v>32</v>
      </c>
      <c r="P661" t="s">
        <v>579</v>
      </c>
      <c r="Q661">
        <v>1</v>
      </c>
      <c r="R661">
        <v>3</v>
      </c>
      <c r="S661">
        <v>93</v>
      </c>
      <c r="T661">
        <v>838929</v>
      </c>
      <c r="U661">
        <v>838929</v>
      </c>
      <c r="V661">
        <v>1</v>
      </c>
      <c r="W661">
        <v>3425.63</v>
      </c>
      <c r="X661">
        <v>780203.97</v>
      </c>
      <c r="Y661">
        <v>783629.6</v>
      </c>
    </row>
    <row r="662" spans="1:25" x14ac:dyDescent="0.25">
      <c r="A662">
        <v>11</v>
      </c>
      <c r="B662" t="s">
        <v>1781</v>
      </c>
      <c r="C662" t="s">
        <v>26</v>
      </c>
      <c r="D662" t="s">
        <v>1993</v>
      </c>
      <c r="E662">
        <v>129785</v>
      </c>
      <c r="F662" t="s">
        <v>1994</v>
      </c>
      <c r="G662" t="s">
        <v>1995</v>
      </c>
      <c r="H662" t="s">
        <v>1996</v>
      </c>
      <c r="I662" t="s">
        <v>1995</v>
      </c>
      <c r="L662" t="b">
        <v>0</v>
      </c>
      <c r="M662" t="s">
        <v>50</v>
      </c>
      <c r="N662" t="s">
        <v>241</v>
      </c>
      <c r="P662" t="s">
        <v>33</v>
      </c>
      <c r="Q662">
        <v>1</v>
      </c>
      <c r="R662">
        <v>3</v>
      </c>
      <c r="S662">
        <v>101.909815259</v>
      </c>
      <c r="T662">
        <v>65000</v>
      </c>
      <c r="U662">
        <v>65000</v>
      </c>
      <c r="V662">
        <v>1</v>
      </c>
      <c r="W662">
        <v>31577515.600000001</v>
      </c>
      <c r="X662">
        <v>2705614846.9699998</v>
      </c>
      <c r="Y662">
        <v>2737192362.5700002</v>
      </c>
    </row>
    <row r="663" spans="1:25" x14ac:dyDescent="0.25">
      <c r="A663">
        <v>11</v>
      </c>
      <c r="B663" t="s">
        <v>1781</v>
      </c>
      <c r="C663" t="s">
        <v>26</v>
      </c>
      <c r="D663" t="s">
        <v>1997</v>
      </c>
      <c r="E663">
        <v>46470</v>
      </c>
      <c r="F663" t="s">
        <v>1998</v>
      </c>
      <c r="G663" t="s">
        <v>1999</v>
      </c>
      <c r="H663" t="s">
        <v>2000</v>
      </c>
      <c r="I663" t="s">
        <v>1999</v>
      </c>
      <c r="L663" t="b">
        <v>0</v>
      </c>
      <c r="M663" t="s">
        <v>50</v>
      </c>
      <c r="N663" t="s">
        <v>241</v>
      </c>
      <c r="P663" t="s">
        <v>33</v>
      </c>
      <c r="Q663">
        <v>1</v>
      </c>
      <c r="R663">
        <v>3</v>
      </c>
      <c r="S663">
        <v>99.211760932399997</v>
      </c>
      <c r="T663">
        <v>40000</v>
      </c>
      <c r="U663">
        <v>40000</v>
      </c>
      <c r="V663">
        <v>1</v>
      </c>
      <c r="W663">
        <v>4765225.5</v>
      </c>
      <c r="X663">
        <v>1620913237.71</v>
      </c>
      <c r="Y663">
        <v>1625678463.21</v>
      </c>
    </row>
    <row r="664" spans="1:25" x14ac:dyDescent="0.25">
      <c r="A664">
        <v>11</v>
      </c>
      <c r="B664" t="s">
        <v>1781</v>
      </c>
      <c r="C664" t="s">
        <v>26</v>
      </c>
      <c r="D664" t="s">
        <v>2001</v>
      </c>
      <c r="E664">
        <v>116269</v>
      </c>
      <c r="F664" t="s">
        <v>2002</v>
      </c>
      <c r="G664" t="s">
        <v>2003</v>
      </c>
      <c r="H664" t="s">
        <v>1806</v>
      </c>
      <c r="I664" t="s">
        <v>2003</v>
      </c>
      <c r="L664" t="b">
        <v>0</v>
      </c>
      <c r="M664" t="s">
        <v>50</v>
      </c>
      <c r="N664" t="s">
        <v>241</v>
      </c>
      <c r="P664" t="s">
        <v>33</v>
      </c>
      <c r="Q664">
        <v>1</v>
      </c>
      <c r="R664">
        <v>3</v>
      </c>
      <c r="S664">
        <v>102.0326370417</v>
      </c>
      <c r="T664">
        <v>80000</v>
      </c>
      <c r="U664">
        <v>80000</v>
      </c>
      <c r="V664">
        <v>1</v>
      </c>
      <c r="W664">
        <v>45982156.920000002</v>
      </c>
      <c r="X664">
        <v>3334001321.4699998</v>
      </c>
      <c r="Y664">
        <v>3379983478.3899999</v>
      </c>
    </row>
    <row r="665" spans="1:25" x14ac:dyDescent="0.25">
      <c r="A665">
        <v>11</v>
      </c>
      <c r="B665" t="s">
        <v>1781</v>
      </c>
      <c r="C665" t="s">
        <v>26</v>
      </c>
      <c r="D665" t="s">
        <v>2004</v>
      </c>
      <c r="E665">
        <v>13849</v>
      </c>
      <c r="F665" t="s">
        <v>2005</v>
      </c>
      <c r="G665" t="s">
        <v>2006</v>
      </c>
      <c r="H665" t="s">
        <v>1806</v>
      </c>
      <c r="I665" t="s">
        <v>2006</v>
      </c>
      <c r="L665" t="b">
        <v>0</v>
      </c>
      <c r="M665" t="s">
        <v>50</v>
      </c>
      <c r="N665" t="s">
        <v>241</v>
      </c>
      <c r="P665" t="s">
        <v>33</v>
      </c>
      <c r="Q665">
        <v>1</v>
      </c>
      <c r="R665">
        <v>3</v>
      </c>
      <c r="S665">
        <v>100.121780933</v>
      </c>
      <c r="T665">
        <v>40000</v>
      </c>
      <c r="U665">
        <v>40000</v>
      </c>
      <c r="V665">
        <v>1</v>
      </c>
      <c r="W665">
        <v>22873082.399999999</v>
      </c>
      <c r="X665">
        <v>1635781149.72</v>
      </c>
      <c r="Y665">
        <v>1658654232.1199999</v>
      </c>
    </row>
    <row r="666" spans="1:25" x14ac:dyDescent="0.25">
      <c r="A666">
        <v>11</v>
      </c>
      <c r="B666" t="s">
        <v>1781</v>
      </c>
      <c r="C666" t="s">
        <v>26</v>
      </c>
      <c r="D666" t="s">
        <v>1439</v>
      </c>
      <c r="E666">
        <v>2976</v>
      </c>
      <c r="F666" t="s">
        <v>1440</v>
      </c>
      <c r="G666" t="s">
        <v>1441</v>
      </c>
      <c r="H666" t="s">
        <v>1442</v>
      </c>
      <c r="I666" t="s">
        <v>1441</v>
      </c>
      <c r="L666" t="b">
        <v>0</v>
      </c>
      <c r="M666" t="s">
        <v>50</v>
      </c>
      <c r="N666" t="s">
        <v>241</v>
      </c>
      <c r="P666" t="s">
        <v>33</v>
      </c>
      <c r="Q666">
        <v>1</v>
      </c>
      <c r="R666">
        <v>3</v>
      </c>
      <c r="S666">
        <v>83.529385008600002</v>
      </c>
      <c r="T666">
        <v>81545</v>
      </c>
      <c r="U666">
        <v>93500</v>
      </c>
      <c r="V666">
        <v>0.87209999999999999</v>
      </c>
      <c r="W666">
        <v>16469143.91</v>
      </c>
      <c r="X666">
        <v>2782103659.8400002</v>
      </c>
      <c r="Y666">
        <v>2798572803.75</v>
      </c>
    </row>
    <row r="667" spans="1:25" x14ac:dyDescent="0.25">
      <c r="A667">
        <v>11</v>
      </c>
      <c r="B667" t="s">
        <v>1781</v>
      </c>
      <c r="C667" t="s">
        <v>26</v>
      </c>
      <c r="D667" t="s">
        <v>1443</v>
      </c>
      <c r="E667">
        <v>145611</v>
      </c>
      <c r="F667" t="s">
        <v>1444</v>
      </c>
      <c r="G667" t="s">
        <v>1445</v>
      </c>
      <c r="H667" t="s">
        <v>1442</v>
      </c>
      <c r="I667" t="s">
        <v>1445</v>
      </c>
      <c r="L667" t="b">
        <v>0</v>
      </c>
      <c r="M667" t="s">
        <v>50</v>
      </c>
      <c r="N667" t="s">
        <v>241</v>
      </c>
      <c r="P667" t="s">
        <v>33</v>
      </c>
      <c r="Q667">
        <v>1</v>
      </c>
      <c r="R667">
        <v>3</v>
      </c>
      <c r="S667">
        <v>107.1175095503</v>
      </c>
      <c r="T667">
        <v>186892</v>
      </c>
      <c r="U667">
        <v>190000</v>
      </c>
      <c r="V667">
        <v>0.98360000000000003</v>
      </c>
      <c r="W667">
        <v>68575706.769999996</v>
      </c>
      <c r="X667">
        <v>8176884339.9499998</v>
      </c>
      <c r="Y667">
        <v>8245460046.7200003</v>
      </c>
    </row>
    <row r="668" spans="1:25" x14ac:dyDescent="0.25">
      <c r="A668">
        <v>11</v>
      </c>
      <c r="B668" t="s">
        <v>1781</v>
      </c>
      <c r="C668" t="s">
        <v>26</v>
      </c>
      <c r="D668" t="s">
        <v>2007</v>
      </c>
      <c r="E668">
        <v>31251</v>
      </c>
      <c r="F668" t="s">
        <v>2008</v>
      </c>
      <c r="G668" t="s">
        <v>2009</v>
      </c>
      <c r="H668" t="s">
        <v>2010</v>
      </c>
      <c r="I668" t="s">
        <v>2009</v>
      </c>
      <c r="L668" t="b">
        <v>0</v>
      </c>
      <c r="M668" t="s">
        <v>50</v>
      </c>
      <c r="N668" t="s">
        <v>241</v>
      </c>
      <c r="P668" t="s">
        <v>33</v>
      </c>
      <c r="Q668">
        <v>1</v>
      </c>
      <c r="R668">
        <v>3</v>
      </c>
      <c r="S668">
        <v>98.856921079700001</v>
      </c>
      <c r="T668">
        <v>19000</v>
      </c>
      <c r="U668">
        <v>19000</v>
      </c>
      <c r="V668">
        <v>1</v>
      </c>
      <c r="W668">
        <v>7958144.4199999999</v>
      </c>
      <c r="X668">
        <v>767180338.50999999</v>
      </c>
      <c r="Y668">
        <v>775138482.92999995</v>
      </c>
    </row>
    <row r="669" spans="1:25" x14ac:dyDescent="0.25">
      <c r="A669">
        <v>11</v>
      </c>
      <c r="B669" t="s">
        <v>1781</v>
      </c>
      <c r="C669" t="s">
        <v>26</v>
      </c>
      <c r="D669" t="s">
        <v>2011</v>
      </c>
      <c r="E669">
        <v>559</v>
      </c>
      <c r="F669" t="s">
        <v>2012</v>
      </c>
      <c r="G669" t="s">
        <v>2013</v>
      </c>
      <c r="H669" t="s">
        <v>2014</v>
      </c>
      <c r="I669" t="s">
        <v>2013</v>
      </c>
      <c r="L669" t="b">
        <v>0</v>
      </c>
      <c r="M669" t="s">
        <v>50</v>
      </c>
      <c r="N669" t="s">
        <v>241</v>
      </c>
      <c r="P669" t="s">
        <v>33</v>
      </c>
      <c r="Q669">
        <v>1</v>
      </c>
      <c r="R669">
        <v>3</v>
      </c>
      <c r="S669">
        <v>99.020931985499999</v>
      </c>
      <c r="T669">
        <v>10861</v>
      </c>
      <c r="U669">
        <v>15000</v>
      </c>
      <c r="V669">
        <v>0.72409999999999997</v>
      </c>
      <c r="W669">
        <v>1596689.63</v>
      </c>
      <c r="X669">
        <v>439271829.22000003</v>
      </c>
      <c r="Y669">
        <v>440868518.85000002</v>
      </c>
    </row>
    <row r="670" spans="1:25" x14ac:dyDescent="0.25">
      <c r="A670">
        <v>11</v>
      </c>
      <c r="B670" t="s">
        <v>1781</v>
      </c>
      <c r="C670" t="s">
        <v>26</v>
      </c>
      <c r="D670" t="s">
        <v>2015</v>
      </c>
      <c r="E670">
        <v>53596</v>
      </c>
      <c r="F670" t="s">
        <v>2016</v>
      </c>
      <c r="G670" t="s">
        <v>2017</v>
      </c>
      <c r="H670" t="s">
        <v>2018</v>
      </c>
      <c r="I670" t="s">
        <v>2017</v>
      </c>
      <c r="L670" t="b">
        <v>0</v>
      </c>
      <c r="M670" t="s">
        <v>50</v>
      </c>
      <c r="N670" t="s">
        <v>241</v>
      </c>
      <c r="P670" t="s">
        <v>33</v>
      </c>
      <c r="Q670">
        <v>1</v>
      </c>
      <c r="R670">
        <v>3</v>
      </c>
      <c r="S670">
        <v>98.333942448000002</v>
      </c>
      <c r="T670">
        <v>30000</v>
      </c>
      <c r="U670">
        <v>30000</v>
      </c>
      <c r="V670">
        <v>1</v>
      </c>
      <c r="W670">
        <v>8013412.0899999999</v>
      </c>
      <c r="X670">
        <v>1204928657.0599999</v>
      </c>
      <c r="Y670">
        <v>1212942069.1500001</v>
      </c>
    </row>
    <row r="671" spans="1:25" x14ac:dyDescent="0.25">
      <c r="A671">
        <v>11</v>
      </c>
      <c r="B671" t="s">
        <v>1781</v>
      </c>
      <c r="C671" t="s">
        <v>26</v>
      </c>
      <c r="D671" t="s">
        <v>2019</v>
      </c>
      <c r="E671">
        <v>591</v>
      </c>
      <c r="F671" t="s">
        <v>2020</v>
      </c>
      <c r="G671" t="s">
        <v>2021</v>
      </c>
      <c r="H671" t="s">
        <v>2022</v>
      </c>
      <c r="I671" t="s">
        <v>2021</v>
      </c>
      <c r="L671" t="b">
        <v>0</v>
      </c>
      <c r="M671" t="s">
        <v>50</v>
      </c>
      <c r="N671" t="s">
        <v>241</v>
      </c>
      <c r="P671" t="s">
        <v>33</v>
      </c>
      <c r="Q671">
        <v>1</v>
      </c>
      <c r="R671">
        <v>3</v>
      </c>
      <c r="S671">
        <v>101.205708699</v>
      </c>
      <c r="T671">
        <v>13392.861000000001</v>
      </c>
      <c r="U671">
        <v>15000</v>
      </c>
      <c r="V671">
        <v>0.89290000000000003</v>
      </c>
      <c r="W671">
        <v>7460831.8399999999</v>
      </c>
      <c r="X671">
        <v>553624170.88999999</v>
      </c>
      <c r="Y671">
        <v>561085002.73000002</v>
      </c>
    </row>
    <row r="672" spans="1:25" x14ac:dyDescent="0.25">
      <c r="A672">
        <v>11</v>
      </c>
      <c r="B672" t="s">
        <v>1781</v>
      </c>
      <c r="C672" t="s">
        <v>26</v>
      </c>
      <c r="D672" t="s">
        <v>1446</v>
      </c>
      <c r="E672">
        <v>628</v>
      </c>
      <c r="F672" t="s">
        <v>1447</v>
      </c>
      <c r="G672" t="s">
        <v>1448</v>
      </c>
      <c r="H672" t="s">
        <v>1449</v>
      </c>
      <c r="I672" t="s">
        <v>1448</v>
      </c>
      <c r="L672" t="b">
        <v>0</v>
      </c>
      <c r="M672" t="s">
        <v>50</v>
      </c>
      <c r="N672" t="s">
        <v>241</v>
      </c>
      <c r="P672" t="s">
        <v>33</v>
      </c>
      <c r="Q672">
        <v>1</v>
      </c>
      <c r="R672">
        <v>3</v>
      </c>
      <c r="S672">
        <v>77.689282321500002</v>
      </c>
      <c r="T672">
        <v>145500</v>
      </c>
      <c r="U672">
        <v>145500</v>
      </c>
      <c r="V672">
        <v>1</v>
      </c>
      <c r="W672">
        <v>88681527.310000002</v>
      </c>
      <c r="X672">
        <v>4617009695.9799995</v>
      </c>
      <c r="Y672">
        <v>4705691223.2900009</v>
      </c>
    </row>
    <row r="673" spans="1:25" x14ac:dyDescent="0.25">
      <c r="A673">
        <v>11</v>
      </c>
      <c r="B673" t="s">
        <v>1781</v>
      </c>
      <c r="C673" t="s">
        <v>26</v>
      </c>
      <c r="D673" t="s">
        <v>2023</v>
      </c>
      <c r="E673">
        <v>46103</v>
      </c>
      <c r="F673" t="s">
        <v>2024</v>
      </c>
      <c r="G673" t="s">
        <v>2025</v>
      </c>
      <c r="H673" t="s">
        <v>2026</v>
      </c>
      <c r="I673" t="s">
        <v>2025</v>
      </c>
      <c r="L673" t="b">
        <v>0</v>
      </c>
      <c r="M673" t="s">
        <v>50</v>
      </c>
      <c r="N673" t="s">
        <v>241</v>
      </c>
      <c r="P673" t="s">
        <v>33</v>
      </c>
      <c r="Q673">
        <v>1</v>
      </c>
      <c r="R673">
        <v>3</v>
      </c>
      <c r="S673">
        <v>100.4456382354</v>
      </c>
      <c r="T673">
        <v>10000</v>
      </c>
      <c r="U673">
        <v>10000</v>
      </c>
      <c r="V673">
        <v>1</v>
      </c>
      <c r="W673">
        <v>4332904.8499999996</v>
      </c>
      <c r="X673">
        <v>410267943.83999997</v>
      </c>
      <c r="Y673">
        <v>414600848.69000012</v>
      </c>
    </row>
    <row r="674" spans="1:25" x14ac:dyDescent="0.25">
      <c r="A674">
        <v>11</v>
      </c>
      <c r="B674" t="s">
        <v>1781</v>
      </c>
      <c r="C674" t="s">
        <v>26</v>
      </c>
      <c r="D674" t="s">
        <v>2027</v>
      </c>
      <c r="E674">
        <v>51534</v>
      </c>
      <c r="F674" t="s">
        <v>2028</v>
      </c>
      <c r="G674" t="s">
        <v>2029</v>
      </c>
      <c r="H674" t="s">
        <v>2026</v>
      </c>
      <c r="I674" t="s">
        <v>2029</v>
      </c>
      <c r="L674" t="b">
        <v>0</v>
      </c>
      <c r="M674" t="s">
        <v>50</v>
      </c>
      <c r="N674" t="s">
        <v>241</v>
      </c>
      <c r="P674" t="s">
        <v>33</v>
      </c>
      <c r="Q674">
        <v>1</v>
      </c>
      <c r="R674">
        <v>3</v>
      </c>
      <c r="S674">
        <v>100.92970231290001</v>
      </c>
      <c r="T674">
        <v>20000</v>
      </c>
      <c r="U674">
        <v>20000</v>
      </c>
      <c r="V674">
        <v>1</v>
      </c>
      <c r="W674">
        <v>9084328.9100000001</v>
      </c>
      <c r="X674">
        <v>824490480.25000012</v>
      </c>
      <c r="Y674">
        <v>833574809.16000009</v>
      </c>
    </row>
    <row r="675" spans="1:25" x14ac:dyDescent="0.25">
      <c r="A675">
        <v>68</v>
      </c>
      <c r="B675" t="s">
        <v>1545</v>
      </c>
      <c r="C675" t="s">
        <v>32</v>
      </c>
      <c r="D675" t="s">
        <v>40</v>
      </c>
      <c r="E675">
        <v>87301</v>
      </c>
      <c r="F675" t="s">
        <v>41</v>
      </c>
      <c r="G675" t="s">
        <v>42</v>
      </c>
      <c r="H675" t="s">
        <v>43</v>
      </c>
      <c r="I675" t="s">
        <v>42</v>
      </c>
      <c r="L675" t="b">
        <v>0</v>
      </c>
      <c r="M675" t="s">
        <v>44</v>
      </c>
      <c r="N675" t="s">
        <v>32</v>
      </c>
      <c r="P675" t="s">
        <v>579</v>
      </c>
      <c r="Q675">
        <v>1</v>
      </c>
      <c r="R675">
        <v>3</v>
      </c>
      <c r="S675">
        <v>71.5</v>
      </c>
      <c r="T675">
        <v>2724787</v>
      </c>
      <c r="U675">
        <v>2724787</v>
      </c>
      <c r="V675">
        <v>1</v>
      </c>
      <c r="W675">
        <v>8360.99</v>
      </c>
      <c r="X675">
        <v>1948222.7</v>
      </c>
      <c r="Y675">
        <v>1956583.69</v>
      </c>
    </row>
    <row r="676" spans="1:25" x14ac:dyDescent="0.25">
      <c r="A676">
        <v>68</v>
      </c>
      <c r="B676" t="s">
        <v>1545</v>
      </c>
      <c r="C676" t="s">
        <v>32</v>
      </c>
      <c r="D676" t="s">
        <v>1230</v>
      </c>
      <c r="E676">
        <v>159426</v>
      </c>
      <c r="F676" t="s">
        <v>1231</v>
      </c>
      <c r="G676" t="s">
        <v>1232</v>
      </c>
      <c r="H676" t="s">
        <v>1233</v>
      </c>
      <c r="I676" t="s">
        <v>1232</v>
      </c>
      <c r="L676" t="b">
        <v>0</v>
      </c>
      <c r="M676" t="s">
        <v>31</v>
      </c>
      <c r="N676" t="s">
        <v>32</v>
      </c>
      <c r="P676" t="s">
        <v>579</v>
      </c>
      <c r="Q676">
        <v>1</v>
      </c>
      <c r="R676">
        <v>3</v>
      </c>
      <c r="S676">
        <v>27</v>
      </c>
      <c r="T676">
        <v>161504</v>
      </c>
      <c r="U676">
        <v>161504</v>
      </c>
      <c r="V676">
        <v>1</v>
      </c>
      <c r="W676">
        <v>415.69</v>
      </c>
      <c r="X676">
        <v>43606.080000000002</v>
      </c>
      <c r="Y676">
        <v>44021.77</v>
      </c>
    </row>
    <row r="677" spans="1:25" x14ac:dyDescent="0.25">
      <c r="A677">
        <v>68</v>
      </c>
      <c r="B677" t="s">
        <v>1545</v>
      </c>
      <c r="C677" t="s">
        <v>32</v>
      </c>
      <c r="D677" t="s">
        <v>1234</v>
      </c>
      <c r="E677">
        <v>159174</v>
      </c>
      <c r="F677" t="s">
        <v>1235</v>
      </c>
      <c r="G677" t="s">
        <v>1236</v>
      </c>
      <c r="H677" t="s">
        <v>1233</v>
      </c>
      <c r="I677" t="s">
        <v>1236</v>
      </c>
      <c r="L677" t="b">
        <v>0</v>
      </c>
      <c r="M677" t="s">
        <v>31</v>
      </c>
      <c r="N677" t="s">
        <v>32</v>
      </c>
      <c r="P677" t="s">
        <v>579</v>
      </c>
      <c r="Q677">
        <v>1</v>
      </c>
      <c r="R677">
        <v>3</v>
      </c>
      <c r="S677">
        <v>72.75</v>
      </c>
      <c r="T677">
        <v>379840</v>
      </c>
      <c r="U677">
        <v>379840</v>
      </c>
      <c r="V677">
        <v>1</v>
      </c>
      <c r="W677">
        <v>1821.23</v>
      </c>
      <c r="X677">
        <v>276333.59999999998</v>
      </c>
      <c r="Y677">
        <v>278154.83</v>
      </c>
    </row>
    <row r="678" spans="1:25" x14ac:dyDescent="0.25">
      <c r="A678">
        <v>68</v>
      </c>
      <c r="B678" t="s">
        <v>1545</v>
      </c>
      <c r="C678" t="s">
        <v>32</v>
      </c>
      <c r="D678" t="s">
        <v>45</v>
      </c>
      <c r="E678">
        <v>176139</v>
      </c>
      <c r="F678" t="s">
        <v>46</v>
      </c>
      <c r="G678" t="s">
        <v>47</v>
      </c>
      <c r="H678" t="s">
        <v>48</v>
      </c>
      <c r="I678" t="s">
        <v>49</v>
      </c>
      <c r="L678" t="b">
        <v>1</v>
      </c>
      <c r="M678" t="s">
        <v>50</v>
      </c>
      <c r="N678" t="s">
        <v>32</v>
      </c>
      <c r="P678" t="s">
        <v>579</v>
      </c>
      <c r="Q678">
        <v>1</v>
      </c>
      <c r="R678">
        <v>3</v>
      </c>
      <c r="S678">
        <v>102.375</v>
      </c>
      <c r="T678">
        <v>1500000</v>
      </c>
      <c r="U678">
        <v>1500000</v>
      </c>
      <c r="V678">
        <v>1</v>
      </c>
      <c r="W678">
        <v>7307.29</v>
      </c>
      <c r="X678">
        <v>1535625</v>
      </c>
      <c r="Y678">
        <v>1542932.29</v>
      </c>
    </row>
    <row r="679" spans="1:25" x14ac:dyDescent="0.25">
      <c r="A679">
        <v>68</v>
      </c>
      <c r="B679" t="s">
        <v>1545</v>
      </c>
      <c r="C679" t="s">
        <v>32</v>
      </c>
      <c r="D679" t="s">
        <v>51</v>
      </c>
      <c r="E679">
        <v>148823</v>
      </c>
      <c r="F679" t="s">
        <v>52</v>
      </c>
      <c r="G679" t="s">
        <v>53</v>
      </c>
      <c r="H679" t="s">
        <v>48</v>
      </c>
      <c r="I679" t="s">
        <v>54</v>
      </c>
      <c r="J679" t="s">
        <v>52</v>
      </c>
      <c r="K679" t="s">
        <v>55</v>
      </c>
      <c r="L679" t="b">
        <v>1</v>
      </c>
      <c r="M679" t="s">
        <v>50</v>
      </c>
      <c r="N679" t="s">
        <v>32</v>
      </c>
      <c r="P679" t="s">
        <v>579</v>
      </c>
      <c r="Q679">
        <v>1</v>
      </c>
      <c r="R679">
        <v>3</v>
      </c>
      <c r="S679">
        <v>103.24</v>
      </c>
      <c r="T679">
        <v>5800000</v>
      </c>
      <c r="U679">
        <v>5800000</v>
      </c>
      <c r="V679">
        <v>1</v>
      </c>
      <c r="W679">
        <v>133218.75</v>
      </c>
      <c r="X679">
        <v>5987920</v>
      </c>
      <c r="Y679">
        <v>6121138.75</v>
      </c>
    </row>
    <row r="680" spans="1:25" x14ac:dyDescent="0.25">
      <c r="A680">
        <v>68</v>
      </c>
      <c r="B680" t="s">
        <v>1545</v>
      </c>
      <c r="C680" t="s">
        <v>32</v>
      </c>
      <c r="D680" t="s">
        <v>56</v>
      </c>
      <c r="E680">
        <v>203108</v>
      </c>
      <c r="F680" t="s">
        <v>57</v>
      </c>
      <c r="G680" t="s">
        <v>58</v>
      </c>
      <c r="H680" t="s">
        <v>59</v>
      </c>
      <c r="I680" t="s">
        <v>60</v>
      </c>
      <c r="L680" t="b">
        <v>1</v>
      </c>
      <c r="M680" t="s">
        <v>61</v>
      </c>
      <c r="N680" t="s">
        <v>32</v>
      </c>
      <c r="P680" t="s">
        <v>579</v>
      </c>
      <c r="Q680">
        <v>1</v>
      </c>
      <c r="R680">
        <v>3</v>
      </c>
      <c r="S680">
        <v>98.075000000000003</v>
      </c>
      <c r="T680">
        <v>6000000</v>
      </c>
      <c r="U680">
        <v>6000000</v>
      </c>
      <c r="V680">
        <v>1</v>
      </c>
      <c r="W680">
        <v>7666.67</v>
      </c>
      <c r="X680">
        <v>5884500</v>
      </c>
      <c r="Y680">
        <v>5892166.6699999999</v>
      </c>
    </row>
    <row r="681" spans="1:25" x14ac:dyDescent="0.25">
      <c r="A681">
        <v>68</v>
      </c>
      <c r="B681" t="s">
        <v>1545</v>
      </c>
      <c r="C681" t="s">
        <v>32</v>
      </c>
      <c r="D681" t="s">
        <v>1242</v>
      </c>
      <c r="E681">
        <v>32251</v>
      </c>
      <c r="F681" t="s">
        <v>1243</v>
      </c>
      <c r="G681" t="s">
        <v>1244</v>
      </c>
      <c r="H681" t="s">
        <v>1245</v>
      </c>
      <c r="I681" t="s">
        <v>1244</v>
      </c>
      <c r="L681" t="b">
        <v>0</v>
      </c>
      <c r="M681" t="s">
        <v>31</v>
      </c>
      <c r="N681" t="s">
        <v>32</v>
      </c>
      <c r="P681" t="s">
        <v>579</v>
      </c>
      <c r="Q681">
        <v>1</v>
      </c>
      <c r="R681">
        <v>3</v>
      </c>
      <c r="S681">
        <v>98.429000000000002</v>
      </c>
      <c r="T681">
        <v>2589492</v>
      </c>
      <c r="U681">
        <v>2950000</v>
      </c>
      <c r="V681">
        <v>0.87780000000000002</v>
      </c>
      <c r="W681">
        <v>15644.85</v>
      </c>
      <c r="X681">
        <v>2548811.09</v>
      </c>
      <c r="Y681">
        <v>2564455.94</v>
      </c>
    </row>
    <row r="682" spans="1:25" x14ac:dyDescent="0.25">
      <c r="A682">
        <v>68</v>
      </c>
      <c r="B682" t="s">
        <v>1545</v>
      </c>
      <c r="C682" t="s">
        <v>32</v>
      </c>
      <c r="D682" t="s">
        <v>1250</v>
      </c>
      <c r="E682">
        <v>166141</v>
      </c>
      <c r="F682" t="s">
        <v>1251</v>
      </c>
      <c r="G682" t="s">
        <v>1252</v>
      </c>
      <c r="H682" t="s">
        <v>1253</v>
      </c>
      <c r="I682" t="s">
        <v>1252</v>
      </c>
      <c r="L682" t="b">
        <v>0</v>
      </c>
      <c r="M682" t="s">
        <v>31</v>
      </c>
      <c r="N682" t="s">
        <v>32</v>
      </c>
      <c r="P682" t="s">
        <v>579</v>
      </c>
      <c r="Q682">
        <v>1</v>
      </c>
      <c r="R682">
        <v>3</v>
      </c>
      <c r="S682">
        <v>96.740858000000003</v>
      </c>
      <c r="T682">
        <v>600000</v>
      </c>
      <c r="U682">
        <v>600000</v>
      </c>
      <c r="V682">
        <v>1</v>
      </c>
      <c r="W682">
        <v>7466.67</v>
      </c>
      <c r="X682">
        <v>580445.15</v>
      </c>
      <c r="Y682">
        <v>587911.82000000007</v>
      </c>
    </row>
    <row r="683" spans="1:25" x14ac:dyDescent="0.25">
      <c r="A683">
        <v>68</v>
      </c>
      <c r="B683" t="s">
        <v>1545</v>
      </c>
      <c r="C683" t="s">
        <v>32</v>
      </c>
      <c r="D683" t="s">
        <v>1254</v>
      </c>
      <c r="E683">
        <v>177899</v>
      </c>
      <c r="F683" t="s">
        <v>1255</v>
      </c>
      <c r="G683" t="s">
        <v>1256</v>
      </c>
      <c r="H683" t="s">
        <v>1257</v>
      </c>
      <c r="I683" t="s">
        <v>1258</v>
      </c>
      <c r="J683" t="s">
        <v>1255</v>
      </c>
      <c r="K683" t="s">
        <v>1259</v>
      </c>
      <c r="L683" t="b">
        <v>1</v>
      </c>
      <c r="M683" t="s">
        <v>1030</v>
      </c>
      <c r="N683" t="s">
        <v>32</v>
      </c>
      <c r="P683" t="s">
        <v>579</v>
      </c>
      <c r="Q683">
        <v>1</v>
      </c>
      <c r="R683">
        <v>3</v>
      </c>
      <c r="S683">
        <v>98.688500000000005</v>
      </c>
      <c r="T683">
        <v>5000000</v>
      </c>
      <c r="U683">
        <v>5000000</v>
      </c>
      <c r="V683">
        <v>1</v>
      </c>
      <c r="W683">
        <v>41250</v>
      </c>
      <c r="X683">
        <v>4934425</v>
      </c>
      <c r="Y683">
        <v>4975675</v>
      </c>
    </row>
    <row r="684" spans="1:25" x14ac:dyDescent="0.25">
      <c r="A684">
        <v>68</v>
      </c>
      <c r="B684" t="s">
        <v>1545</v>
      </c>
      <c r="C684" t="s">
        <v>32</v>
      </c>
      <c r="D684" t="s">
        <v>1260</v>
      </c>
      <c r="E684">
        <v>221418</v>
      </c>
      <c r="F684" t="s">
        <v>1261</v>
      </c>
      <c r="G684" t="s">
        <v>1262</v>
      </c>
      <c r="H684" t="s">
        <v>1263</v>
      </c>
      <c r="I684" t="s">
        <v>1264</v>
      </c>
      <c r="J684" t="s">
        <v>1261</v>
      </c>
      <c r="K684" t="s">
        <v>1265</v>
      </c>
      <c r="L684" t="b">
        <v>1</v>
      </c>
      <c r="M684" t="s">
        <v>112</v>
      </c>
      <c r="N684" t="s">
        <v>32</v>
      </c>
      <c r="P684" t="s">
        <v>579</v>
      </c>
      <c r="Q684">
        <v>1</v>
      </c>
      <c r="R684">
        <v>3</v>
      </c>
      <c r="S684">
        <v>97.905000000000001</v>
      </c>
      <c r="T684">
        <v>4100000</v>
      </c>
      <c r="U684">
        <v>4100000</v>
      </c>
      <c r="V684">
        <v>1</v>
      </c>
      <c r="W684">
        <v>48858.34</v>
      </c>
      <c r="X684">
        <v>4014105</v>
      </c>
      <c r="Y684">
        <v>4062963.34</v>
      </c>
    </row>
    <row r="685" spans="1:25" x14ac:dyDescent="0.25">
      <c r="A685">
        <v>68</v>
      </c>
      <c r="B685" t="s">
        <v>1545</v>
      </c>
      <c r="C685" t="s">
        <v>32</v>
      </c>
      <c r="D685" t="s">
        <v>1266</v>
      </c>
      <c r="E685">
        <v>158667</v>
      </c>
      <c r="F685" t="s">
        <v>1267</v>
      </c>
      <c r="G685" t="s">
        <v>1268</v>
      </c>
      <c r="H685" t="s">
        <v>1263</v>
      </c>
      <c r="I685" t="s">
        <v>1269</v>
      </c>
      <c r="J685" t="s">
        <v>1267</v>
      </c>
      <c r="K685" t="s">
        <v>1270</v>
      </c>
      <c r="L685" t="b">
        <v>1</v>
      </c>
      <c r="M685" t="s">
        <v>112</v>
      </c>
      <c r="N685" t="s">
        <v>32</v>
      </c>
      <c r="P685" t="s">
        <v>579</v>
      </c>
      <c r="Q685">
        <v>1</v>
      </c>
      <c r="R685">
        <v>3</v>
      </c>
      <c r="S685">
        <v>102.35</v>
      </c>
      <c r="T685">
        <v>575000</v>
      </c>
      <c r="U685">
        <v>575000</v>
      </c>
      <c r="V685">
        <v>1</v>
      </c>
      <c r="W685">
        <v>8565.11</v>
      </c>
      <c r="X685">
        <v>588512.5</v>
      </c>
      <c r="Y685">
        <v>597077.61</v>
      </c>
    </row>
    <row r="686" spans="1:25" x14ac:dyDescent="0.25">
      <c r="A686">
        <v>68</v>
      </c>
      <c r="B686" t="s">
        <v>1545</v>
      </c>
      <c r="C686" t="s">
        <v>32</v>
      </c>
      <c r="D686" t="s">
        <v>1271</v>
      </c>
      <c r="E686">
        <v>53479</v>
      </c>
      <c r="F686" t="s">
        <v>1272</v>
      </c>
      <c r="G686" t="s">
        <v>1273</v>
      </c>
      <c r="H686" t="s">
        <v>1274</v>
      </c>
      <c r="I686" t="s">
        <v>1275</v>
      </c>
      <c r="L686" t="b">
        <v>1</v>
      </c>
      <c r="M686" t="s">
        <v>452</v>
      </c>
      <c r="N686" t="s">
        <v>32</v>
      </c>
      <c r="P686" t="s">
        <v>579</v>
      </c>
      <c r="Q686">
        <v>1</v>
      </c>
      <c r="R686">
        <v>3</v>
      </c>
      <c r="S686">
        <v>103.04100099999999</v>
      </c>
      <c r="T686">
        <v>1900000</v>
      </c>
      <c r="U686">
        <v>1900000</v>
      </c>
      <c r="V686">
        <v>1</v>
      </c>
      <c r="W686">
        <v>72397.91</v>
      </c>
      <c r="X686">
        <v>1957779.01</v>
      </c>
      <c r="Y686">
        <v>2030176.92</v>
      </c>
    </row>
    <row r="687" spans="1:25" x14ac:dyDescent="0.25">
      <c r="A687">
        <v>68</v>
      </c>
      <c r="B687" t="s">
        <v>1545</v>
      </c>
      <c r="C687" t="s">
        <v>32</v>
      </c>
      <c r="D687" t="s">
        <v>62</v>
      </c>
      <c r="E687">
        <v>213324</v>
      </c>
      <c r="F687" t="s">
        <v>63</v>
      </c>
      <c r="G687" t="s">
        <v>64</v>
      </c>
      <c r="H687" t="s">
        <v>65</v>
      </c>
      <c r="I687" t="s">
        <v>66</v>
      </c>
      <c r="J687" t="s">
        <v>63</v>
      </c>
      <c r="K687" t="s">
        <v>67</v>
      </c>
      <c r="L687" t="b">
        <v>1</v>
      </c>
      <c r="M687" t="s">
        <v>50</v>
      </c>
      <c r="N687" t="s">
        <v>32</v>
      </c>
      <c r="P687" t="s">
        <v>579</v>
      </c>
      <c r="Q687">
        <v>1</v>
      </c>
      <c r="R687">
        <v>3</v>
      </c>
      <c r="S687">
        <v>99.037999999999997</v>
      </c>
      <c r="T687">
        <v>700000</v>
      </c>
      <c r="U687">
        <v>700000</v>
      </c>
      <c r="V687">
        <v>1</v>
      </c>
      <c r="W687">
        <v>15458.33</v>
      </c>
      <c r="X687">
        <v>693266</v>
      </c>
      <c r="Y687">
        <v>708724.33</v>
      </c>
    </row>
    <row r="688" spans="1:25" x14ac:dyDescent="0.25">
      <c r="A688">
        <v>11</v>
      </c>
      <c r="B688" t="s">
        <v>1781</v>
      </c>
      <c r="C688" t="s">
        <v>26</v>
      </c>
      <c r="D688" t="s">
        <v>2030</v>
      </c>
      <c r="E688">
        <v>598</v>
      </c>
      <c r="F688" t="s">
        <v>2031</v>
      </c>
      <c r="G688" t="s">
        <v>2032</v>
      </c>
      <c r="H688" t="s">
        <v>1906</v>
      </c>
      <c r="I688" t="s">
        <v>2032</v>
      </c>
      <c r="L688" t="b">
        <v>0</v>
      </c>
      <c r="M688" t="s">
        <v>50</v>
      </c>
      <c r="N688" t="s">
        <v>241</v>
      </c>
      <c r="P688" t="s">
        <v>33</v>
      </c>
      <c r="Q688">
        <v>1</v>
      </c>
      <c r="R688">
        <v>3</v>
      </c>
      <c r="S688">
        <v>103.6411107233</v>
      </c>
      <c r="T688">
        <v>15909.092000000001</v>
      </c>
      <c r="U688">
        <v>50000</v>
      </c>
      <c r="V688">
        <v>0.31819999999999998</v>
      </c>
      <c r="W688">
        <v>3898192.36</v>
      </c>
      <c r="X688">
        <v>673463601.64999998</v>
      </c>
      <c r="Y688">
        <v>677361794.00999999</v>
      </c>
    </row>
    <row r="689" spans="1:25" x14ac:dyDescent="0.25">
      <c r="A689">
        <v>11</v>
      </c>
      <c r="B689" t="s">
        <v>1781</v>
      </c>
      <c r="C689" t="s">
        <v>26</v>
      </c>
      <c r="D689" t="s">
        <v>2033</v>
      </c>
      <c r="E689">
        <v>28575</v>
      </c>
      <c r="F689" t="s">
        <v>2034</v>
      </c>
      <c r="G689" t="s">
        <v>2035</v>
      </c>
      <c r="H689" t="s">
        <v>1961</v>
      </c>
      <c r="I689" t="s">
        <v>2035</v>
      </c>
      <c r="L689" t="b">
        <v>0</v>
      </c>
      <c r="M689" t="s">
        <v>50</v>
      </c>
      <c r="N689" t="s">
        <v>241</v>
      </c>
      <c r="P689" t="s">
        <v>33</v>
      </c>
      <c r="Q689">
        <v>1</v>
      </c>
      <c r="R689">
        <v>3</v>
      </c>
      <c r="S689">
        <v>95.351925256100003</v>
      </c>
      <c r="T689">
        <v>100000</v>
      </c>
      <c r="U689">
        <v>100000</v>
      </c>
      <c r="V689">
        <v>1</v>
      </c>
      <c r="W689">
        <v>8864590.1600000001</v>
      </c>
      <c r="X689">
        <v>3894629556.9400001</v>
      </c>
      <c r="Y689">
        <v>3903494147.099999</v>
      </c>
    </row>
    <row r="690" spans="1:25" x14ac:dyDescent="0.25">
      <c r="A690">
        <v>11</v>
      </c>
      <c r="B690" t="s">
        <v>1781</v>
      </c>
      <c r="C690" t="s">
        <v>26</v>
      </c>
      <c r="D690" t="s">
        <v>2036</v>
      </c>
      <c r="E690">
        <v>135603</v>
      </c>
      <c r="F690" t="s">
        <v>2037</v>
      </c>
      <c r="G690" t="s">
        <v>2038</v>
      </c>
      <c r="H690" t="s">
        <v>1996</v>
      </c>
      <c r="I690" t="s">
        <v>2038</v>
      </c>
      <c r="L690" t="b">
        <v>0</v>
      </c>
      <c r="M690" t="s">
        <v>50</v>
      </c>
      <c r="N690" t="s">
        <v>241</v>
      </c>
      <c r="P690" t="s">
        <v>33</v>
      </c>
      <c r="Q690">
        <v>1</v>
      </c>
      <c r="R690">
        <v>3</v>
      </c>
      <c r="S690">
        <v>101.6631683359</v>
      </c>
      <c r="T690">
        <v>34000</v>
      </c>
      <c r="U690">
        <v>34000</v>
      </c>
      <c r="V690">
        <v>1</v>
      </c>
      <c r="W690">
        <v>16517469.699999999</v>
      </c>
      <c r="X690">
        <v>1411819771.8499999</v>
      </c>
      <c r="Y690">
        <v>1428337241.55</v>
      </c>
    </row>
    <row r="691" spans="1:25" x14ac:dyDescent="0.25">
      <c r="A691">
        <v>11</v>
      </c>
      <c r="B691" t="s">
        <v>1781</v>
      </c>
      <c r="C691" t="s">
        <v>26</v>
      </c>
      <c r="D691" t="s">
        <v>2039</v>
      </c>
      <c r="E691">
        <v>655</v>
      </c>
      <c r="F691" t="s">
        <v>2040</v>
      </c>
      <c r="G691" t="s">
        <v>2041</v>
      </c>
      <c r="H691" t="s">
        <v>2042</v>
      </c>
      <c r="I691" t="s">
        <v>2041</v>
      </c>
      <c r="L691" t="b">
        <v>0</v>
      </c>
      <c r="M691" t="s">
        <v>50</v>
      </c>
      <c r="N691" t="s">
        <v>241</v>
      </c>
      <c r="P691" t="s">
        <v>33</v>
      </c>
      <c r="Q691">
        <v>1</v>
      </c>
      <c r="R691">
        <v>3</v>
      </c>
      <c r="S691">
        <v>97.411647078800002</v>
      </c>
      <c r="T691">
        <v>15000</v>
      </c>
      <c r="U691">
        <v>15000</v>
      </c>
      <c r="V691">
        <v>1</v>
      </c>
      <c r="W691">
        <v>8607018.3699999992</v>
      </c>
      <c r="X691">
        <v>596813860.27999997</v>
      </c>
      <c r="Y691">
        <v>605420878.64999998</v>
      </c>
    </row>
    <row r="692" spans="1:25" x14ac:dyDescent="0.25">
      <c r="A692">
        <v>11</v>
      </c>
      <c r="B692" t="s">
        <v>1781</v>
      </c>
      <c r="C692" t="s">
        <v>26</v>
      </c>
      <c r="D692" t="s">
        <v>2043</v>
      </c>
      <c r="E692">
        <v>665</v>
      </c>
      <c r="F692" t="s">
        <v>2044</v>
      </c>
      <c r="G692" t="s">
        <v>2045</v>
      </c>
      <c r="H692" t="s">
        <v>2046</v>
      </c>
      <c r="I692" t="s">
        <v>2045</v>
      </c>
      <c r="L692" t="b">
        <v>0</v>
      </c>
      <c r="M692" t="s">
        <v>50</v>
      </c>
      <c r="N692" t="s">
        <v>241</v>
      </c>
      <c r="P692" t="s">
        <v>33</v>
      </c>
      <c r="Q692">
        <v>1</v>
      </c>
      <c r="R692">
        <v>3</v>
      </c>
      <c r="S692">
        <v>103.0566646421</v>
      </c>
      <c r="T692">
        <v>8863.6370000000006</v>
      </c>
      <c r="U692">
        <v>13000</v>
      </c>
      <c r="V692">
        <v>0.68179999999999996</v>
      </c>
      <c r="W692">
        <v>2138519.64</v>
      </c>
      <c r="X692">
        <v>373099593.38999999</v>
      </c>
      <c r="Y692">
        <v>375238113.02999997</v>
      </c>
    </row>
    <row r="693" spans="1:25" x14ac:dyDescent="0.25">
      <c r="A693">
        <v>11</v>
      </c>
      <c r="B693" t="s">
        <v>1781</v>
      </c>
      <c r="C693" t="s">
        <v>26</v>
      </c>
      <c r="D693" t="s">
        <v>2047</v>
      </c>
      <c r="E693">
        <v>667</v>
      </c>
      <c r="F693" t="s">
        <v>2048</v>
      </c>
      <c r="G693" t="s">
        <v>2049</v>
      </c>
      <c r="H693" t="s">
        <v>2050</v>
      </c>
      <c r="I693" t="s">
        <v>2049</v>
      </c>
      <c r="L693" t="b">
        <v>0</v>
      </c>
      <c r="M693" t="s">
        <v>50</v>
      </c>
      <c r="N693" t="s">
        <v>241</v>
      </c>
      <c r="P693" t="s">
        <v>33</v>
      </c>
      <c r="Q693">
        <v>1</v>
      </c>
      <c r="R693">
        <v>3</v>
      </c>
      <c r="S693">
        <v>103.05668197609999</v>
      </c>
      <c r="T693">
        <v>5000</v>
      </c>
      <c r="U693">
        <v>5000</v>
      </c>
      <c r="V693">
        <v>1</v>
      </c>
      <c r="W693">
        <v>3844107.41</v>
      </c>
      <c r="X693">
        <v>210466259.25999999</v>
      </c>
      <c r="Y693">
        <v>214310366.66999999</v>
      </c>
    </row>
    <row r="694" spans="1:25" x14ac:dyDescent="0.25">
      <c r="A694">
        <v>11</v>
      </c>
      <c r="B694" t="s">
        <v>1781</v>
      </c>
      <c r="C694" t="s">
        <v>26</v>
      </c>
      <c r="D694" t="s">
        <v>2051</v>
      </c>
      <c r="E694">
        <v>214799</v>
      </c>
      <c r="F694" t="s">
        <v>2052</v>
      </c>
      <c r="G694" t="s">
        <v>2053</v>
      </c>
      <c r="H694" t="s">
        <v>2050</v>
      </c>
      <c r="I694" t="s">
        <v>2053</v>
      </c>
      <c r="L694" t="b">
        <v>0</v>
      </c>
      <c r="M694" t="s">
        <v>50</v>
      </c>
      <c r="N694" t="s">
        <v>241</v>
      </c>
      <c r="P694" t="s">
        <v>33</v>
      </c>
      <c r="Q694">
        <v>1</v>
      </c>
      <c r="R694">
        <v>3</v>
      </c>
      <c r="S694">
        <v>102.2420024286</v>
      </c>
      <c r="T694">
        <v>60000</v>
      </c>
      <c r="U694">
        <v>60000</v>
      </c>
      <c r="V694">
        <v>1</v>
      </c>
      <c r="W694">
        <v>44758592.240000002</v>
      </c>
      <c r="X694">
        <v>2505631811.5100002</v>
      </c>
      <c r="Y694">
        <v>2550390403.75</v>
      </c>
    </row>
    <row r="695" spans="1:25" x14ac:dyDescent="0.25">
      <c r="A695">
        <v>11</v>
      </c>
      <c r="B695" t="s">
        <v>1781</v>
      </c>
      <c r="C695" t="s">
        <v>26</v>
      </c>
      <c r="D695" t="s">
        <v>2054</v>
      </c>
      <c r="E695">
        <v>666</v>
      </c>
      <c r="F695" t="s">
        <v>2055</v>
      </c>
      <c r="G695" t="s">
        <v>2056</v>
      </c>
      <c r="H695" t="s">
        <v>2050</v>
      </c>
      <c r="I695" t="s">
        <v>2056</v>
      </c>
      <c r="L695" t="b">
        <v>0</v>
      </c>
      <c r="M695" t="s">
        <v>50</v>
      </c>
      <c r="N695" t="s">
        <v>241</v>
      </c>
      <c r="P695" t="s">
        <v>33</v>
      </c>
      <c r="Q695">
        <v>1</v>
      </c>
      <c r="R695">
        <v>3</v>
      </c>
      <c r="S695">
        <v>103.8767257993</v>
      </c>
      <c r="T695">
        <v>14159.093000000001</v>
      </c>
      <c r="U695">
        <v>44500</v>
      </c>
      <c r="V695">
        <v>0.31819999999999998</v>
      </c>
      <c r="W695">
        <v>2022152.55</v>
      </c>
      <c r="X695">
        <v>600745171.31999993</v>
      </c>
      <c r="Y695">
        <v>602767323.86999989</v>
      </c>
    </row>
    <row r="696" spans="1:25" x14ac:dyDescent="0.25">
      <c r="A696">
        <v>11</v>
      </c>
      <c r="B696" t="s">
        <v>1781</v>
      </c>
      <c r="C696" t="s">
        <v>26</v>
      </c>
      <c r="D696" t="s">
        <v>2057</v>
      </c>
      <c r="E696">
        <v>107066</v>
      </c>
      <c r="F696" t="s">
        <v>2058</v>
      </c>
      <c r="G696" t="s">
        <v>2059</v>
      </c>
      <c r="H696" t="s">
        <v>1785</v>
      </c>
      <c r="I696" t="s">
        <v>2059</v>
      </c>
      <c r="L696" t="b">
        <v>0</v>
      </c>
      <c r="M696" t="s">
        <v>50</v>
      </c>
      <c r="N696" t="s">
        <v>241</v>
      </c>
      <c r="P696" t="s">
        <v>33</v>
      </c>
      <c r="Q696">
        <v>1</v>
      </c>
      <c r="R696">
        <v>3</v>
      </c>
      <c r="S696">
        <v>100.8371628571</v>
      </c>
      <c r="T696">
        <v>17000</v>
      </c>
      <c r="U696">
        <v>17000</v>
      </c>
      <c r="V696">
        <v>1</v>
      </c>
      <c r="W696">
        <v>6675381.5300000003</v>
      </c>
      <c r="X696">
        <v>700174460.50999999</v>
      </c>
      <c r="Y696">
        <v>706849842.03999996</v>
      </c>
    </row>
    <row r="697" spans="1:25" x14ac:dyDescent="0.25">
      <c r="A697">
        <v>11</v>
      </c>
      <c r="B697" t="s">
        <v>1781</v>
      </c>
      <c r="C697" t="s">
        <v>26</v>
      </c>
      <c r="D697" t="s">
        <v>1459</v>
      </c>
      <c r="E697">
        <v>213784</v>
      </c>
      <c r="F697" t="s">
        <v>1460</v>
      </c>
      <c r="G697" t="s">
        <v>1461</v>
      </c>
      <c r="H697" t="s">
        <v>1462</v>
      </c>
      <c r="I697" t="s">
        <v>1463</v>
      </c>
      <c r="L697" t="b">
        <v>1</v>
      </c>
      <c r="M697" t="s">
        <v>50</v>
      </c>
      <c r="N697" t="s">
        <v>32</v>
      </c>
      <c r="O697" t="s">
        <v>26</v>
      </c>
      <c r="P697" t="s">
        <v>33</v>
      </c>
      <c r="Q697">
        <v>1</v>
      </c>
      <c r="R697">
        <v>3</v>
      </c>
      <c r="S697">
        <v>101.52500000000001</v>
      </c>
      <c r="T697">
        <v>1100000</v>
      </c>
      <c r="U697">
        <v>1100000</v>
      </c>
      <c r="V697">
        <v>1</v>
      </c>
      <c r="W697">
        <v>13510398.609999999</v>
      </c>
      <c r="X697">
        <v>1039561176.5</v>
      </c>
      <c r="Y697">
        <v>1053071575.11</v>
      </c>
    </row>
    <row r="698" spans="1:25" x14ac:dyDescent="0.25">
      <c r="A698">
        <v>11</v>
      </c>
      <c r="B698" t="s">
        <v>1781</v>
      </c>
      <c r="C698" t="s">
        <v>26</v>
      </c>
      <c r="D698" t="s">
        <v>874</v>
      </c>
      <c r="E698">
        <v>225327</v>
      </c>
      <c r="F698" t="s">
        <v>875</v>
      </c>
      <c r="G698" t="s">
        <v>876</v>
      </c>
      <c r="H698" t="s">
        <v>877</v>
      </c>
      <c r="I698" t="s">
        <v>878</v>
      </c>
      <c r="L698" t="b">
        <v>1</v>
      </c>
      <c r="M698" t="s">
        <v>39</v>
      </c>
      <c r="N698" t="s">
        <v>32</v>
      </c>
      <c r="O698" t="s">
        <v>26</v>
      </c>
      <c r="P698" t="s">
        <v>33</v>
      </c>
      <c r="Q698">
        <v>1</v>
      </c>
      <c r="R698">
        <v>3</v>
      </c>
      <c r="S698">
        <v>100.512</v>
      </c>
      <c r="T698">
        <v>2000000</v>
      </c>
      <c r="U698">
        <v>2000000</v>
      </c>
      <c r="V698">
        <v>1</v>
      </c>
      <c r="W698">
        <v>7964024.4400000004</v>
      </c>
      <c r="X698">
        <v>1871252006.4000001</v>
      </c>
      <c r="Y698">
        <v>1879216030.8399999</v>
      </c>
    </row>
    <row r="699" spans="1:25" x14ac:dyDescent="0.25">
      <c r="A699">
        <v>11</v>
      </c>
      <c r="B699" t="s">
        <v>1781</v>
      </c>
      <c r="C699" t="s">
        <v>26</v>
      </c>
      <c r="D699" t="s">
        <v>884</v>
      </c>
      <c r="E699">
        <v>130577</v>
      </c>
      <c r="F699" t="s">
        <v>885</v>
      </c>
      <c r="G699" t="s">
        <v>886</v>
      </c>
      <c r="H699" t="s">
        <v>887</v>
      </c>
      <c r="I699" t="s">
        <v>888</v>
      </c>
      <c r="L699" t="b">
        <v>1</v>
      </c>
      <c r="M699" t="s">
        <v>50</v>
      </c>
      <c r="N699" t="s">
        <v>32</v>
      </c>
      <c r="O699" t="s">
        <v>26</v>
      </c>
      <c r="P699" t="s">
        <v>33</v>
      </c>
      <c r="Q699">
        <v>1</v>
      </c>
      <c r="R699">
        <v>3</v>
      </c>
      <c r="S699">
        <v>104.812</v>
      </c>
      <c r="T699">
        <v>4500000</v>
      </c>
      <c r="U699">
        <v>4500000</v>
      </c>
      <c r="V699">
        <v>1</v>
      </c>
      <c r="W699">
        <v>79553622.739999995</v>
      </c>
      <c r="X699">
        <v>4390438424.3999996</v>
      </c>
      <c r="Y699">
        <v>4469992047.1399994</v>
      </c>
    </row>
    <row r="700" spans="1:25" x14ac:dyDescent="0.25">
      <c r="A700">
        <v>11</v>
      </c>
      <c r="B700" t="s">
        <v>1781</v>
      </c>
      <c r="C700" t="s">
        <v>26</v>
      </c>
      <c r="D700" t="s">
        <v>392</v>
      </c>
      <c r="E700">
        <v>215023</v>
      </c>
      <c r="F700" t="s">
        <v>393</v>
      </c>
      <c r="G700" t="s">
        <v>394</v>
      </c>
      <c r="H700" t="s">
        <v>300</v>
      </c>
      <c r="I700" t="s">
        <v>395</v>
      </c>
      <c r="J700" t="s">
        <v>393</v>
      </c>
      <c r="K700" t="s">
        <v>396</v>
      </c>
      <c r="L700" t="b">
        <v>1</v>
      </c>
      <c r="M700" t="s">
        <v>44</v>
      </c>
      <c r="N700" t="s">
        <v>32</v>
      </c>
      <c r="O700" t="s">
        <v>26</v>
      </c>
      <c r="P700" t="s">
        <v>33</v>
      </c>
      <c r="Q700">
        <v>1</v>
      </c>
      <c r="R700">
        <v>3</v>
      </c>
      <c r="S700">
        <v>98.731250000000003</v>
      </c>
      <c r="T700">
        <v>4000000</v>
      </c>
      <c r="U700">
        <v>4000000</v>
      </c>
      <c r="V700">
        <v>1</v>
      </c>
      <c r="W700">
        <v>57491051.310000002</v>
      </c>
      <c r="X700">
        <v>3676198855.0100002</v>
      </c>
      <c r="Y700">
        <v>3733689906.3200002</v>
      </c>
    </row>
    <row r="701" spans="1:25" x14ac:dyDescent="0.25">
      <c r="A701">
        <v>11</v>
      </c>
      <c r="B701" t="s">
        <v>1781</v>
      </c>
      <c r="C701" t="s">
        <v>26</v>
      </c>
      <c r="D701" t="s">
        <v>397</v>
      </c>
      <c r="E701">
        <v>131577</v>
      </c>
      <c r="F701" t="s">
        <v>398</v>
      </c>
      <c r="G701" t="s">
        <v>399</v>
      </c>
      <c r="H701" t="s">
        <v>400</v>
      </c>
      <c r="I701" t="s">
        <v>399</v>
      </c>
      <c r="L701" t="b">
        <v>0</v>
      </c>
      <c r="M701" t="s">
        <v>81</v>
      </c>
      <c r="N701" t="s">
        <v>32</v>
      </c>
      <c r="O701" t="s">
        <v>26</v>
      </c>
      <c r="P701" t="s">
        <v>33</v>
      </c>
      <c r="Q701">
        <v>1</v>
      </c>
      <c r="R701">
        <v>3</v>
      </c>
      <c r="S701">
        <v>110.64100000000001</v>
      </c>
      <c r="T701">
        <v>2000000</v>
      </c>
      <c r="U701">
        <v>2000000</v>
      </c>
      <c r="V701">
        <v>1</v>
      </c>
      <c r="W701">
        <v>93919895.420000002</v>
      </c>
      <c r="X701">
        <v>2059825625.2</v>
      </c>
      <c r="Y701">
        <v>2153745520.6199999</v>
      </c>
    </row>
    <row r="702" spans="1:25" x14ac:dyDescent="0.25">
      <c r="A702">
        <v>11</v>
      </c>
      <c r="B702" t="s">
        <v>1781</v>
      </c>
      <c r="C702" t="s">
        <v>26</v>
      </c>
      <c r="D702" t="s">
        <v>401</v>
      </c>
      <c r="E702">
        <v>35570</v>
      </c>
      <c r="F702" t="s">
        <v>402</v>
      </c>
      <c r="G702" t="s">
        <v>403</v>
      </c>
      <c r="H702" t="s">
        <v>404</v>
      </c>
      <c r="I702" t="s">
        <v>405</v>
      </c>
      <c r="L702" t="b">
        <v>1</v>
      </c>
      <c r="M702" t="s">
        <v>44</v>
      </c>
      <c r="N702" t="s">
        <v>32</v>
      </c>
      <c r="O702" t="s">
        <v>26</v>
      </c>
      <c r="P702" t="s">
        <v>33</v>
      </c>
      <c r="Q702">
        <v>1</v>
      </c>
      <c r="R702">
        <v>3</v>
      </c>
      <c r="S702">
        <v>95.114757142900004</v>
      </c>
      <c r="T702">
        <v>1500000</v>
      </c>
      <c r="U702">
        <v>1500000</v>
      </c>
      <c r="V702">
        <v>1</v>
      </c>
      <c r="W702">
        <v>1541736.87</v>
      </c>
      <c r="X702">
        <v>1328077854.48</v>
      </c>
      <c r="Y702">
        <v>1329619591.3499999</v>
      </c>
    </row>
    <row r="703" spans="1:25" x14ac:dyDescent="0.25">
      <c r="A703">
        <v>11</v>
      </c>
      <c r="B703" t="s">
        <v>1781</v>
      </c>
      <c r="C703" t="s">
        <v>26</v>
      </c>
      <c r="D703" t="s">
        <v>414</v>
      </c>
      <c r="E703">
        <v>222125</v>
      </c>
      <c r="F703" t="s">
        <v>415</v>
      </c>
      <c r="G703" t="s">
        <v>416</v>
      </c>
      <c r="H703" t="s">
        <v>404</v>
      </c>
      <c r="I703" t="s">
        <v>417</v>
      </c>
      <c r="J703" t="s">
        <v>415</v>
      </c>
      <c r="K703" t="s">
        <v>418</v>
      </c>
      <c r="L703" t="b">
        <v>1</v>
      </c>
      <c r="M703" t="s">
        <v>44</v>
      </c>
      <c r="N703" t="s">
        <v>32</v>
      </c>
      <c r="O703" t="s">
        <v>26</v>
      </c>
      <c r="P703" t="s">
        <v>33</v>
      </c>
      <c r="Q703">
        <v>1</v>
      </c>
      <c r="R703">
        <v>3</v>
      </c>
      <c r="S703">
        <v>99.855112500000004</v>
      </c>
      <c r="T703">
        <v>1500000</v>
      </c>
      <c r="U703">
        <v>1500000</v>
      </c>
      <c r="V703">
        <v>1</v>
      </c>
      <c r="W703">
        <v>11170320</v>
      </c>
      <c r="X703">
        <v>1394266952.6500001</v>
      </c>
      <c r="Y703">
        <v>1405437272.6500001</v>
      </c>
    </row>
    <row r="704" spans="1:25" x14ac:dyDescent="0.25">
      <c r="A704">
        <v>11</v>
      </c>
      <c r="B704" t="s">
        <v>1781</v>
      </c>
      <c r="C704" t="s">
        <v>26</v>
      </c>
      <c r="D704" t="s">
        <v>2060</v>
      </c>
      <c r="E704">
        <v>154803</v>
      </c>
      <c r="F704" t="s">
        <v>2061</v>
      </c>
      <c r="G704" t="s">
        <v>2062</v>
      </c>
      <c r="H704" t="s">
        <v>404</v>
      </c>
      <c r="I704" t="s">
        <v>2063</v>
      </c>
      <c r="L704" t="b">
        <v>1</v>
      </c>
      <c r="M704" t="s">
        <v>44</v>
      </c>
      <c r="N704" t="s">
        <v>32</v>
      </c>
      <c r="O704" t="s">
        <v>26</v>
      </c>
      <c r="P704" t="s">
        <v>33</v>
      </c>
      <c r="Q704">
        <v>1</v>
      </c>
      <c r="R704">
        <v>3</v>
      </c>
      <c r="S704">
        <v>102.777175</v>
      </c>
      <c r="T704">
        <v>5500000</v>
      </c>
      <c r="U704">
        <v>5500000</v>
      </c>
      <c r="V704">
        <v>1</v>
      </c>
      <c r="W704">
        <v>87106517.359999999</v>
      </c>
      <c r="X704">
        <v>5261913866.2799997</v>
      </c>
      <c r="Y704">
        <v>5349020383.6399994</v>
      </c>
    </row>
    <row r="705" spans="1:25" x14ac:dyDescent="0.25">
      <c r="A705">
        <v>11</v>
      </c>
      <c r="B705" t="s">
        <v>1781</v>
      </c>
      <c r="C705" t="s">
        <v>26</v>
      </c>
      <c r="D705" t="s">
        <v>437</v>
      </c>
      <c r="E705">
        <v>96458</v>
      </c>
      <c r="F705" t="s">
        <v>438</v>
      </c>
      <c r="G705" t="s">
        <v>439</v>
      </c>
      <c r="H705" t="s">
        <v>422</v>
      </c>
      <c r="I705" t="s">
        <v>440</v>
      </c>
      <c r="L705" t="b">
        <v>1</v>
      </c>
      <c r="M705" t="s">
        <v>44</v>
      </c>
      <c r="N705" t="s">
        <v>32</v>
      </c>
      <c r="O705" t="s">
        <v>26</v>
      </c>
      <c r="P705" t="s">
        <v>33</v>
      </c>
      <c r="Q705">
        <v>1</v>
      </c>
      <c r="R705">
        <v>3</v>
      </c>
      <c r="S705">
        <v>107.2377666667</v>
      </c>
      <c r="T705">
        <v>6500000</v>
      </c>
      <c r="U705">
        <v>6500000</v>
      </c>
      <c r="V705">
        <v>1</v>
      </c>
      <c r="W705">
        <v>44026445.840000004</v>
      </c>
      <c r="X705">
        <v>6488517573.7299986</v>
      </c>
      <c r="Y705">
        <v>6532544019.5699987</v>
      </c>
    </row>
    <row r="706" spans="1:25" x14ac:dyDescent="0.25">
      <c r="A706">
        <v>11</v>
      </c>
      <c r="B706" t="s">
        <v>1781</v>
      </c>
      <c r="C706" t="s">
        <v>26</v>
      </c>
      <c r="D706" t="s">
        <v>906</v>
      </c>
      <c r="E706">
        <v>146582</v>
      </c>
      <c r="F706" t="s">
        <v>905</v>
      </c>
      <c r="G706" t="s">
        <v>907</v>
      </c>
      <c r="H706" t="s">
        <v>444</v>
      </c>
      <c r="I706" t="s">
        <v>904</v>
      </c>
      <c r="J706" t="s">
        <v>902</v>
      </c>
      <c r="K706" t="s">
        <v>902</v>
      </c>
      <c r="L706" t="b">
        <v>1</v>
      </c>
      <c r="M706" t="s">
        <v>50</v>
      </c>
      <c r="N706" t="s">
        <v>32</v>
      </c>
      <c r="O706" t="s">
        <v>26</v>
      </c>
      <c r="P706" t="s">
        <v>33</v>
      </c>
      <c r="Q706">
        <v>1</v>
      </c>
      <c r="R706">
        <v>3</v>
      </c>
      <c r="S706">
        <v>104.55631</v>
      </c>
      <c r="T706">
        <v>9250000</v>
      </c>
      <c r="U706">
        <v>9250000</v>
      </c>
      <c r="V706">
        <v>1</v>
      </c>
      <c r="W706">
        <v>247550581.25999999</v>
      </c>
      <c r="X706">
        <v>9002774026.8700008</v>
      </c>
      <c r="Y706">
        <v>9250324608.1300011</v>
      </c>
    </row>
    <row r="707" spans="1:25" x14ac:dyDescent="0.25">
      <c r="A707">
        <v>11</v>
      </c>
      <c r="B707" t="s">
        <v>1781</v>
      </c>
      <c r="C707" t="s">
        <v>26</v>
      </c>
      <c r="D707" t="s">
        <v>441</v>
      </c>
      <c r="E707">
        <v>121311</v>
      </c>
      <c r="F707" t="s">
        <v>442</v>
      </c>
      <c r="G707" t="s">
        <v>443</v>
      </c>
      <c r="H707" t="s">
        <v>444</v>
      </c>
      <c r="I707" t="s">
        <v>445</v>
      </c>
      <c r="L707" t="b">
        <v>1</v>
      </c>
      <c r="M707" t="s">
        <v>50</v>
      </c>
      <c r="N707" t="s">
        <v>32</v>
      </c>
      <c r="O707" t="s">
        <v>26</v>
      </c>
      <c r="P707" t="s">
        <v>33</v>
      </c>
      <c r="Q707">
        <v>1</v>
      </c>
      <c r="R707">
        <v>3</v>
      </c>
      <c r="S707">
        <v>105.70869999999999</v>
      </c>
      <c r="T707">
        <v>5000000</v>
      </c>
      <c r="U707">
        <v>5000000</v>
      </c>
      <c r="V707">
        <v>1</v>
      </c>
      <c r="W707">
        <v>193444343.75</v>
      </c>
      <c r="X707">
        <v>4920000024.1000004</v>
      </c>
      <c r="Y707">
        <v>5113444367.8500004</v>
      </c>
    </row>
    <row r="708" spans="1:25" x14ac:dyDescent="0.25">
      <c r="A708">
        <v>11</v>
      </c>
      <c r="B708" t="s">
        <v>1781</v>
      </c>
      <c r="C708" t="s">
        <v>26</v>
      </c>
      <c r="D708" t="s">
        <v>34</v>
      </c>
      <c r="E708">
        <v>225679</v>
      </c>
      <c r="F708" t="s">
        <v>35</v>
      </c>
      <c r="G708" t="s">
        <v>36</v>
      </c>
      <c r="H708" t="s">
        <v>37</v>
      </c>
      <c r="I708" t="s">
        <v>38</v>
      </c>
      <c r="L708" t="b">
        <v>1</v>
      </c>
      <c r="M708" t="s">
        <v>39</v>
      </c>
      <c r="N708" t="s">
        <v>32</v>
      </c>
      <c r="O708" t="s">
        <v>26</v>
      </c>
      <c r="P708" t="s">
        <v>33</v>
      </c>
      <c r="Q708">
        <v>1</v>
      </c>
      <c r="R708">
        <v>3</v>
      </c>
      <c r="S708">
        <v>93</v>
      </c>
      <c r="T708">
        <v>3597510</v>
      </c>
      <c r="U708">
        <v>3597510</v>
      </c>
      <c r="V708">
        <v>1</v>
      </c>
      <c r="W708">
        <v>13674177.48</v>
      </c>
      <c r="X708">
        <v>3114363687.5</v>
      </c>
      <c r="Y708">
        <v>3128037864.98</v>
      </c>
    </row>
    <row r="709" spans="1:25" x14ac:dyDescent="0.25">
      <c r="A709">
        <v>11</v>
      </c>
      <c r="B709" t="s">
        <v>1781</v>
      </c>
      <c r="C709" t="s">
        <v>26</v>
      </c>
      <c r="D709" t="s">
        <v>45</v>
      </c>
      <c r="E709">
        <v>176139</v>
      </c>
      <c r="F709" t="s">
        <v>46</v>
      </c>
      <c r="G709" t="s">
        <v>47</v>
      </c>
      <c r="H709" t="s">
        <v>48</v>
      </c>
      <c r="I709" t="s">
        <v>49</v>
      </c>
      <c r="L709" t="b">
        <v>1</v>
      </c>
      <c r="M709" t="s">
        <v>50</v>
      </c>
      <c r="N709" t="s">
        <v>32</v>
      </c>
      <c r="O709" t="s">
        <v>26</v>
      </c>
      <c r="P709" t="s">
        <v>33</v>
      </c>
      <c r="Q709">
        <v>1</v>
      </c>
      <c r="R709">
        <v>3</v>
      </c>
      <c r="S709">
        <v>102.15609285710001</v>
      </c>
      <c r="T709">
        <v>2700000</v>
      </c>
      <c r="U709">
        <v>2700000</v>
      </c>
      <c r="V709">
        <v>1</v>
      </c>
      <c r="W709">
        <v>12243717.939999999</v>
      </c>
      <c r="X709">
        <v>2567511558.7800002</v>
      </c>
      <c r="Y709">
        <v>2579755276.7199998</v>
      </c>
    </row>
    <row r="710" spans="1:25" x14ac:dyDescent="0.25">
      <c r="A710">
        <v>11</v>
      </c>
      <c r="B710" t="s">
        <v>1781</v>
      </c>
      <c r="C710" t="s">
        <v>26</v>
      </c>
      <c r="D710" t="s">
        <v>51</v>
      </c>
      <c r="E710">
        <v>148823</v>
      </c>
      <c r="F710" t="s">
        <v>52</v>
      </c>
      <c r="G710" t="s">
        <v>53</v>
      </c>
      <c r="H710" t="s">
        <v>48</v>
      </c>
      <c r="I710" t="s">
        <v>54</v>
      </c>
      <c r="J710" t="s">
        <v>52</v>
      </c>
      <c r="K710" t="s">
        <v>55</v>
      </c>
      <c r="L710" t="b">
        <v>1</v>
      </c>
      <c r="M710" t="s">
        <v>50</v>
      </c>
      <c r="N710" t="s">
        <v>32</v>
      </c>
      <c r="O710" t="s">
        <v>26</v>
      </c>
      <c r="P710" t="s">
        <v>33</v>
      </c>
      <c r="Q710">
        <v>1</v>
      </c>
      <c r="R710">
        <v>3</v>
      </c>
      <c r="S710">
        <v>102.8934375</v>
      </c>
      <c r="T710">
        <v>4000000</v>
      </c>
      <c r="U710">
        <v>4000000</v>
      </c>
      <c r="V710">
        <v>1</v>
      </c>
      <c r="W710">
        <v>85522762.5</v>
      </c>
      <c r="X710">
        <v>3831175409.25</v>
      </c>
      <c r="Y710">
        <v>3916698171.75</v>
      </c>
    </row>
    <row r="711" spans="1:25" x14ac:dyDescent="0.25">
      <c r="A711">
        <v>11</v>
      </c>
      <c r="B711" t="s">
        <v>1781</v>
      </c>
      <c r="C711" t="s">
        <v>26</v>
      </c>
      <c r="D711" t="s">
        <v>2064</v>
      </c>
      <c r="E711">
        <v>687</v>
      </c>
      <c r="F711" t="s">
        <v>2065</v>
      </c>
      <c r="G711" t="s">
        <v>2066</v>
      </c>
      <c r="H711" t="s">
        <v>104</v>
      </c>
      <c r="I711" t="s">
        <v>2066</v>
      </c>
      <c r="L711" t="b">
        <v>0</v>
      </c>
      <c r="M711" t="s">
        <v>50</v>
      </c>
      <c r="N711" t="s">
        <v>26</v>
      </c>
      <c r="P711" t="s">
        <v>33</v>
      </c>
      <c r="Q711">
        <v>1</v>
      </c>
      <c r="R711">
        <v>3</v>
      </c>
      <c r="S711">
        <v>97.694833109100003</v>
      </c>
      <c r="T711">
        <v>5850000000</v>
      </c>
      <c r="U711">
        <v>5850000000</v>
      </c>
      <c r="V711">
        <v>1</v>
      </c>
      <c r="W711">
        <v>114562499.98999999</v>
      </c>
      <c r="X711">
        <v>5715147736.8800011</v>
      </c>
      <c r="Y711">
        <v>5829710236.8700008</v>
      </c>
    </row>
    <row r="712" spans="1:25" x14ac:dyDescent="0.25">
      <c r="A712">
        <v>11</v>
      </c>
      <c r="B712" t="s">
        <v>1781</v>
      </c>
      <c r="C712" t="s">
        <v>26</v>
      </c>
      <c r="D712" t="s">
        <v>2067</v>
      </c>
      <c r="E712">
        <v>101234</v>
      </c>
      <c r="F712" t="s">
        <v>2068</v>
      </c>
      <c r="G712" t="s">
        <v>2069</v>
      </c>
      <c r="H712" t="s">
        <v>104</v>
      </c>
      <c r="I712" t="s">
        <v>2069</v>
      </c>
      <c r="L712" t="b">
        <v>0</v>
      </c>
      <c r="M712" t="s">
        <v>50</v>
      </c>
      <c r="N712" t="s">
        <v>26</v>
      </c>
      <c r="P712" t="s">
        <v>33</v>
      </c>
      <c r="Q712">
        <v>1</v>
      </c>
      <c r="R712">
        <v>3</v>
      </c>
      <c r="S712">
        <v>96.670383580500001</v>
      </c>
      <c r="T712">
        <v>3000000000</v>
      </c>
      <c r="U712">
        <v>3000000000</v>
      </c>
      <c r="V712">
        <v>1</v>
      </c>
      <c r="W712">
        <v>38425000</v>
      </c>
      <c r="X712">
        <v>2900111507.4200001</v>
      </c>
      <c r="Y712">
        <v>2938536507.4200001</v>
      </c>
    </row>
    <row r="713" spans="1:25" x14ac:dyDescent="0.25">
      <c r="A713">
        <v>11</v>
      </c>
      <c r="B713" t="s">
        <v>1781</v>
      </c>
      <c r="C713" t="s">
        <v>26</v>
      </c>
      <c r="D713" t="s">
        <v>105</v>
      </c>
      <c r="E713">
        <v>91949</v>
      </c>
      <c r="F713" t="s">
        <v>106</v>
      </c>
      <c r="G713" t="s">
        <v>107</v>
      </c>
      <c r="H713" t="s">
        <v>104</v>
      </c>
      <c r="I713" t="s">
        <v>107</v>
      </c>
      <c r="L713" t="b">
        <v>0</v>
      </c>
      <c r="M713" t="s">
        <v>50</v>
      </c>
      <c r="N713" t="s">
        <v>26</v>
      </c>
      <c r="P713" t="s">
        <v>33</v>
      </c>
      <c r="Q713">
        <v>1</v>
      </c>
      <c r="R713">
        <v>3</v>
      </c>
      <c r="S713">
        <v>102.0524785074</v>
      </c>
      <c r="T713">
        <v>55750000000</v>
      </c>
      <c r="U713">
        <v>55750000000</v>
      </c>
      <c r="V713">
        <v>1</v>
      </c>
      <c r="W713">
        <v>1115000000</v>
      </c>
      <c r="X713">
        <v>56894256767.88002</v>
      </c>
      <c r="Y713">
        <v>58009256767.88002</v>
      </c>
    </row>
    <row r="714" spans="1:25" x14ac:dyDescent="0.25">
      <c r="A714">
        <v>11</v>
      </c>
      <c r="B714" t="s">
        <v>1781</v>
      </c>
      <c r="C714" t="s">
        <v>26</v>
      </c>
      <c r="D714" t="s">
        <v>2070</v>
      </c>
      <c r="E714">
        <v>50553</v>
      </c>
      <c r="F714" t="s">
        <v>2071</v>
      </c>
      <c r="G714" t="s">
        <v>2072</v>
      </c>
      <c r="H714" t="s">
        <v>104</v>
      </c>
      <c r="I714" t="s">
        <v>2072</v>
      </c>
      <c r="L714" t="b">
        <v>0</v>
      </c>
      <c r="M714" t="s">
        <v>50</v>
      </c>
      <c r="N714" t="s">
        <v>26</v>
      </c>
      <c r="P714" t="s">
        <v>33</v>
      </c>
      <c r="Q714">
        <v>1</v>
      </c>
      <c r="R714">
        <v>3</v>
      </c>
      <c r="S714">
        <v>109.0169752172</v>
      </c>
      <c r="T714">
        <v>1500000000</v>
      </c>
      <c r="U714">
        <v>1500000000</v>
      </c>
      <c r="V714">
        <v>1</v>
      </c>
      <c r="W714">
        <v>25375000</v>
      </c>
      <c r="X714">
        <v>1635254628.26</v>
      </c>
      <c r="Y714">
        <v>1660629628.26</v>
      </c>
    </row>
    <row r="715" spans="1:25" x14ac:dyDescent="0.25">
      <c r="A715">
        <v>11</v>
      </c>
      <c r="B715" t="s">
        <v>1781</v>
      </c>
      <c r="C715" t="s">
        <v>26</v>
      </c>
      <c r="D715" t="s">
        <v>2073</v>
      </c>
      <c r="E715">
        <v>31952</v>
      </c>
      <c r="F715" t="s">
        <v>2074</v>
      </c>
      <c r="G715" t="s">
        <v>2075</v>
      </c>
      <c r="H715" t="s">
        <v>104</v>
      </c>
      <c r="I715" t="s">
        <v>2075</v>
      </c>
      <c r="L715" t="b">
        <v>0</v>
      </c>
      <c r="M715" t="s">
        <v>50</v>
      </c>
      <c r="N715" t="s">
        <v>26</v>
      </c>
      <c r="P715" t="s">
        <v>33</v>
      </c>
      <c r="Q715">
        <v>1</v>
      </c>
      <c r="R715">
        <v>3</v>
      </c>
      <c r="S715">
        <v>100.2619600706</v>
      </c>
      <c r="T715">
        <v>100000000</v>
      </c>
      <c r="U715">
        <v>100000000</v>
      </c>
      <c r="V715">
        <v>1</v>
      </c>
      <c r="W715">
        <v>1666666.67</v>
      </c>
      <c r="X715">
        <v>100261960.06999999</v>
      </c>
      <c r="Y715">
        <v>101928626.73999999</v>
      </c>
    </row>
    <row r="716" spans="1:25" x14ac:dyDescent="0.25">
      <c r="A716">
        <v>11</v>
      </c>
      <c r="B716" t="s">
        <v>1781</v>
      </c>
      <c r="C716" t="s">
        <v>26</v>
      </c>
      <c r="D716" t="s">
        <v>2076</v>
      </c>
      <c r="E716">
        <v>16741</v>
      </c>
      <c r="F716" t="s">
        <v>2077</v>
      </c>
      <c r="G716" t="s">
        <v>2078</v>
      </c>
      <c r="H716" t="s">
        <v>104</v>
      </c>
      <c r="I716" t="s">
        <v>2078</v>
      </c>
      <c r="L716" t="b">
        <v>0</v>
      </c>
      <c r="M716" t="s">
        <v>50</v>
      </c>
      <c r="N716" t="s">
        <v>26</v>
      </c>
      <c r="P716" t="s">
        <v>33</v>
      </c>
      <c r="Q716">
        <v>1</v>
      </c>
      <c r="R716">
        <v>3</v>
      </c>
      <c r="S716">
        <v>102.0802983035</v>
      </c>
      <c r="T716">
        <v>4400000000</v>
      </c>
      <c r="U716">
        <v>4400000000</v>
      </c>
      <c r="V716">
        <v>1</v>
      </c>
      <c r="W716">
        <v>22000000</v>
      </c>
      <c r="X716">
        <v>4491533125.3599997</v>
      </c>
      <c r="Y716">
        <v>4513533125.3599997</v>
      </c>
    </row>
    <row r="717" spans="1:25" x14ac:dyDescent="0.25">
      <c r="A717">
        <v>11</v>
      </c>
      <c r="B717" t="s">
        <v>1781</v>
      </c>
      <c r="C717" t="s">
        <v>26</v>
      </c>
      <c r="D717" t="s">
        <v>2079</v>
      </c>
      <c r="E717">
        <v>46509</v>
      </c>
      <c r="F717" t="s">
        <v>2080</v>
      </c>
      <c r="G717" t="s">
        <v>2081</v>
      </c>
      <c r="H717" t="s">
        <v>104</v>
      </c>
      <c r="I717" t="s">
        <v>2081</v>
      </c>
      <c r="L717" t="b">
        <v>0</v>
      </c>
      <c r="M717" t="s">
        <v>50</v>
      </c>
      <c r="N717" t="s">
        <v>241</v>
      </c>
      <c r="P717" t="s">
        <v>33</v>
      </c>
      <c r="Q717">
        <v>1</v>
      </c>
      <c r="R717">
        <v>3</v>
      </c>
      <c r="S717">
        <v>95.696799999999996</v>
      </c>
      <c r="T717">
        <v>3000</v>
      </c>
      <c r="U717">
        <v>3000</v>
      </c>
      <c r="V717">
        <v>1</v>
      </c>
      <c r="W717">
        <v>0</v>
      </c>
      <c r="X717">
        <v>117261307.6099999</v>
      </c>
      <c r="Y717">
        <v>117261307.6099999</v>
      </c>
    </row>
    <row r="718" spans="1:25" x14ac:dyDescent="0.25">
      <c r="A718">
        <v>11</v>
      </c>
      <c r="B718" t="s">
        <v>1781</v>
      </c>
      <c r="C718" t="s">
        <v>26</v>
      </c>
      <c r="D718" t="s">
        <v>2082</v>
      </c>
      <c r="E718">
        <v>46510</v>
      </c>
      <c r="F718" t="s">
        <v>2083</v>
      </c>
      <c r="G718" t="s">
        <v>2084</v>
      </c>
      <c r="H718" t="s">
        <v>104</v>
      </c>
      <c r="I718" t="s">
        <v>2084</v>
      </c>
      <c r="L718" t="b">
        <v>0</v>
      </c>
      <c r="M718" t="s">
        <v>50</v>
      </c>
      <c r="N718" t="s">
        <v>241</v>
      </c>
      <c r="P718" t="s">
        <v>33</v>
      </c>
      <c r="Q718">
        <v>1</v>
      </c>
      <c r="R718">
        <v>3</v>
      </c>
      <c r="S718">
        <v>82.888800000000003</v>
      </c>
      <c r="T718">
        <v>6000</v>
      </c>
      <c r="U718">
        <v>6000</v>
      </c>
      <c r="V718">
        <v>1</v>
      </c>
      <c r="W718">
        <v>0</v>
      </c>
      <c r="X718">
        <v>203134619.44999999</v>
      </c>
      <c r="Y718">
        <v>203134619.44999999</v>
      </c>
    </row>
    <row r="719" spans="1:25" x14ac:dyDescent="0.25">
      <c r="A719">
        <v>11</v>
      </c>
      <c r="B719" t="s">
        <v>1781</v>
      </c>
      <c r="C719" t="s">
        <v>26</v>
      </c>
      <c r="D719" t="s">
        <v>2085</v>
      </c>
      <c r="E719">
        <v>690</v>
      </c>
      <c r="F719" t="s">
        <v>2086</v>
      </c>
      <c r="G719" t="s">
        <v>2087</v>
      </c>
      <c r="H719" t="s">
        <v>104</v>
      </c>
      <c r="I719" t="s">
        <v>2087</v>
      </c>
      <c r="L719" t="b">
        <v>0</v>
      </c>
      <c r="M719" t="s">
        <v>50</v>
      </c>
      <c r="N719" t="s">
        <v>241</v>
      </c>
      <c r="P719" t="s">
        <v>33</v>
      </c>
      <c r="Q719">
        <v>1</v>
      </c>
      <c r="R719">
        <v>3</v>
      </c>
      <c r="S719">
        <v>98.266507889600007</v>
      </c>
      <c r="T719">
        <v>1406500</v>
      </c>
      <c r="U719">
        <v>1406500</v>
      </c>
      <c r="V719">
        <v>1</v>
      </c>
      <c r="W719">
        <v>454798227.39999998</v>
      </c>
      <c r="X719">
        <v>56452336211.57</v>
      </c>
      <c r="Y719">
        <v>56907134438.970001</v>
      </c>
    </row>
    <row r="720" spans="1:25" x14ac:dyDescent="0.25">
      <c r="A720">
        <v>11</v>
      </c>
      <c r="B720" t="s">
        <v>1781</v>
      </c>
      <c r="C720" t="s">
        <v>26</v>
      </c>
      <c r="D720" t="s">
        <v>2088</v>
      </c>
      <c r="E720">
        <v>3983</v>
      </c>
      <c r="F720" t="s">
        <v>2089</v>
      </c>
      <c r="G720" t="s">
        <v>2090</v>
      </c>
      <c r="H720" t="s">
        <v>104</v>
      </c>
      <c r="I720" t="s">
        <v>2090</v>
      </c>
      <c r="L720" t="b">
        <v>0</v>
      </c>
      <c r="M720" t="s">
        <v>50</v>
      </c>
      <c r="N720" t="s">
        <v>241</v>
      </c>
      <c r="P720" t="s">
        <v>33</v>
      </c>
      <c r="Q720">
        <v>1</v>
      </c>
      <c r="R720">
        <v>3</v>
      </c>
      <c r="S720">
        <v>102.3978838646</v>
      </c>
      <c r="T720">
        <v>3500</v>
      </c>
      <c r="U720">
        <v>3500</v>
      </c>
      <c r="V720">
        <v>1</v>
      </c>
      <c r="W720">
        <v>357391.91</v>
      </c>
      <c r="X720">
        <v>146384868.22</v>
      </c>
      <c r="Y720">
        <v>146742260.13</v>
      </c>
    </row>
    <row r="721" spans="1:25" x14ac:dyDescent="0.25">
      <c r="A721">
        <v>11</v>
      </c>
      <c r="B721" t="s">
        <v>1781</v>
      </c>
      <c r="C721" t="s">
        <v>26</v>
      </c>
      <c r="D721" t="s">
        <v>2091</v>
      </c>
      <c r="E721">
        <v>691</v>
      </c>
      <c r="F721" t="s">
        <v>2092</v>
      </c>
      <c r="G721" t="s">
        <v>2093</v>
      </c>
      <c r="H721" t="s">
        <v>104</v>
      </c>
      <c r="I721" t="s">
        <v>2093</v>
      </c>
      <c r="L721" t="b">
        <v>0</v>
      </c>
      <c r="M721" t="s">
        <v>50</v>
      </c>
      <c r="N721" t="s">
        <v>241</v>
      </c>
      <c r="P721" t="s">
        <v>33</v>
      </c>
      <c r="Q721">
        <v>1</v>
      </c>
      <c r="R721">
        <v>3</v>
      </c>
      <c r="S721">
        <v>102.5037424705</v>
      </c>
      <c r="T721">
        <v>5000</v>
      </c>
      <c r="U721">
        <v>5000</v>
      </c>
      <c r="V721">
        <v>1</v>
      </c>
      <c r="W721">
        <v>510559.88</v>
      </c>
      <c r="X721">
        <v>209337309.25999999</v>
      </c>
      <c r="Y721">
        <v>209847869.13999999</v>
      </c>
    </row>
    <row r="722" spans="1:25" x14ac:dyDescent="0.25">
      <c r="A722">
        <v>68</v>
      </c>
      <c r="B722" t="s">
        <v>1545</v>
      </c>
      <c r="C722" t="s">
        <v>32</v>
      </c>
      <c r="D722" t="s">
        <v>559</v>
      </c>
      <c r="E722">
        <v>1545</v>
      </c>
      <c r="F722" t="s">
        <v>560</v>
      </c>
      <c r="G722" t="s">
        <v>561</v>
      </c>
      <c r="H722" t="s">
        <v>562</v>
      </c>
      <c r="I722" t="s">
        <v>563</v>
      </c>
      <c r="J722" t="s">
        <v>560</v>
      </c>
      <c r="K722" t="s">
        <v>564</v>
      </c>
      <c r="L722" t="b">
        <v>1</v>
      </c>
      <c r="M722" t="s">
        <v>31</v>
      </c>
      <c r="N722" t="s">
        <v>32</v>
      </c>
      <c r="P722" t="s">
        <v>579</v>
      </c>
      <c r="Q722">
        <v>1</v>
      </c>
      <c r="R722">
        <v>3</v>
      </c>
      <c r="S722">
        <v>101.2899</v>
      </c>
      <c r="T722">
        <v>2016299</v>
      </c>
      <c r="U722">
        <v>3000000</v>
      </c>
      <c r="V722">
        <v>0.67210000000000003</v>
      </c>
      <c r="W722">
        <v>22298.7</v>
      </c>
      <c r="X722">
        <v>2042307.23</v>
      </c>
      <c r="Y722">
        <v>2064605.93</v>
      </c>
    </row>
    <row r="723" spans="1:25" x14ac:dyDescent="0.25">
      <c r="A723">
        <v>68</v>
      </c>
      <c r="B723" t="s">
        <v>1545</v>
      </c>
      <c r="C723" t="s">
        <v>32</v>
      </c>
      <c r="D723" t="s">
        <v>2094</v>
      </c>
      <c r="E723">
        <v>30321</v>
      </c>
      <c r="F723" t="s">
        <v>2095</v>
      </c>
      <c r="G723" t="s">
        <v>2096</v>
      </c>
      <c r="H723" t="s">
        <v>270</v>
      </c>
      <c r="I723" t="s">
        <v>2097</v>
      </c>
      <c r="L723" t="b">
        <v>1</v>
      </c>
      <c r="M723" t="s">
        <v>44</v>
      </c>
      <c r="N723" t="s">
        <v>32</v>
      </c>
      <c r="P723" t="s">
        <v>579</v>
      </c>
      <c r="Q723">
        <v>1</v>
      </c>
      <c r="R723">
        <v>3</v>
      </c>
      <c r="S723">
        <v>88.881739999999994</v>
      </c>
      <c r="T723">
        <v>200000</v>
      </c>
      <c r="U723">
        <v>200000</v>
      </c>
      <c r="V723">
        <v>1</v>
      </c>
      <c r="W723">
        <v>4912.5</v>
      </c>
      <c r="X723">
        <v>177763.48</v>
      </c>
      <c r="Y723">
        <v>182675.98</v>
      </c>
    </row>
    <row r="724" spans="1:25" x14ac:dyDescent="0.25">
      <c r="A724">
        <v>68</v>
      </c>
      <c r="B724" t="s">
        <v>1545</v>
      </c>
      <c r="C724" t="s">
        <v>32</v>
      </c>
      <c r="D724" t="s">
        <v>2098</v>
      </c>
      <c r="E724">
        <v>167520</v>
      </c>
      <c r="F724" t="s">
        <v>2099</v>
      </c>
      <c r="G724" t="s">
        <v>2100</v>
      </c>
      <c r="H724" t="s">
        <v>2101</v>
      </c>
      <c r="I724" t="s">
        <v>2102</v>
      </c>
      <c r="L724" t="b">
        <v>1</v>
      </c>
      <c r="M724" t="s">
        <v>31</v>
      </c>
      <c r="N724" t="s">
        <v>32</v>
      </c>
      <c r="P724" t="s">
        <v>579</v>
      </c>
      <c r="Q724">
        <v>1</v>
      </c>
      <c r="R724">
        <v>3</v>
      </c>
      <c r="S724">
        <v>102.18980000000001</v>
      </c>
      <c r="T724">
        <v>1800000</v>
      </c>
      <c r="U724">
        <v>1800000</v>
      </c>
      <c r="V724">
        <v>1</v>
      </c>
      <c r="W724">
        <v>36960</v>
      </c>
      <c r="X724">
        <v>1839416.4</v>
      </c>
      <c r="Y724">
        <v>1876376.4</v>
      </c>
    </row>
    <row r="725" spans="1:25" x14ac:dyDescent="0.25">
      <c r="A725">
        <v>68</v>
      </c>
      <c r="B725" t="s">
        <v>1545</v>
      </c>
      <c r="C725" t="s">
        <v>32</v>
      </c>
      <c r="D725" t="s">
        <v>2103</v>
      </c>
      <c r="E725">
        <v>128164</v>
      </c>
      <c r="F725" t="s">
        <v>2104</v>
      </c>
      <c r="G725" t="s">
        <v>2105</v>
      </c>
      <c r="H725" t="s">
        <v>2101</v>
      </c>
      <c r="I725" t="s">
        <v>2106</v>
      </c>
      <c r="L725" t="b">
        <v>1</v>
      </c>
      <c r="M725" t="s">
        <v>31</v>
      </c>
      <c r="N725" t="s">
        <v>32</v>
      </c>
      <c r="P725" t="s">
        <v>579</v>
      </c>
      <c r="Q725">
        <v>1</v>
      </c>
      <c r="R725">
        <v>3</v>
      </c>
      <c r="S725">
        <v>103.6649</v>
      </c>
      <c r="T725">
        <v>700000</v>
      </c>
      <c r="U725">
        <v>700000</v>
      </c>
      <c r="V725">
        <v>1</v>
      </c>
      <c r="W725">
        <v>14568.75</v>
      </c>
      <c r="X725">
        <v>725654.3</v>
      </c>
      <c r="Y725">
        <v>740223.05</v>
      </c>
    </row>
    <row r="726" spans="1:25" x14ac:dyDescent="0.25">
      <c r="A726">
        <v>68</v>
      </c>
      <c r="B726" t="s">
        <v>1545</v>
      </c>
      <c r="C726" t="s">
        <v>32</v>
      </c>
      <c r="D726" t="s">
        <v>2107</v>
      </c>
      <c r="E726">
        <v>173646</v>
      </c>
      <c r="F726" t="s">
        <v>2108</v>
      </c>
      <c r="G726" t="s">
        <v>2109</v>
      </c>
      <c r="H726" t="s">
        <v>2110</v>
      </c>
      <c r="I726" t="s">
        <v>2111</v>
      </c>
      <c r="L726" t="b">
        <v>1</v>
      </c>
      <c r="M726" t="s">
        <v>81</v>
      </c>
      <c r="N726" t="s">
        <v>32</v>
      </c>
      <c r="P726" t="s">
        <v>579</v>
      </c>
      <c r="Q726">
        <v>1</v>
      </c>
      <c r="R726">
        <v>3</v>
      </c>
      <c r="S726">
        <v>110.949853</v>
      </c>
      <c r="T726">
        <v>2500000</v>
      </c>
      <c r="U726">
        <v>2500000</v>
      </c>
      <c r="V726">
        <v>1</v>
      </c>
      <c r="W726">
        <v>48750</v>
      </c>
      <c r="X726">
        <v>2773746.33</v>
      </c>
      <c r="Y726">
        <v>2822496.33</v>
      </c>
    </row>
    <row r="727" spans="1:25" x14ac:dyDescent="0.25">
      <c r="A727">
        <v>68</v>
      </c>
      <c r="B727" t="s">
        <v>1545</v>
      </c>
      <c r="C727" t="s">
        <v>32</v>
      </c>
      <c r="D727" t="s">
        <v>1288</v>
      </c>
      <c r="E727">
        <v>143842</v>
      </c>
      <c r="F727" t="s">
        <v>1289</v>
      </c>
      <c r="G727" t="s">
        <v>1290</v>
      </c>
      <c r="H727" t="s">
        <v>1291</v>
      </c>
      <c r="I727" t="s">
        <v>1292</v>
      </c>
      <c r="J727" t="s">
        <v>1289</v>
      </c>
      <c r="K727" t="s">
        <v>1293</v>
      </c>
      <c r="L727" t="b">
        <v>1</v>
      </c>
      <c r="M727" t="s">
        <v>31</v>
      </c>
      <c r="N727" t="s">
        <v>32</v>
      </c>
      <c r="P727" t="s">
        <v>579</v>
      </c>
      <c r="Q727">
        <v>1</v>
      </c>
      <c r="R727">
        <v>3</v>
      </c>
      <c r="S727">
        <v>48.625</v>
      </c>
      <c r="T727">
        <v>1164255</v>
      </c>
      <c r="U727">
        <v>1164255</v>
      </c>
      <c r="V727">
        <v>1</v>
      </c>
      <c r="W727">
        <v>0</v>
      </c>
      <c r="X727">
        <v>566119.01000000013</v>
      </c>
      <c r="Y727">
        <v>566119.01000000013</v>
      </c>
    </row>
    <row r="728" spans="1:25" x14ac:dyDescent="0.25">
      <c r="A728">
        <v>68</v>
      </c>
      <c r="B728" t="s">
        <v>1545</v>
      </c>
      <c r="C728" t="s">
        <v>32</v>
      </c>
      <c r="D728" t="s">
        <v>570</v>
      </c>
      <c r="E728">
        <v>944</v>
      </c>
      <c r="F728" t="s">
        <v>571</v>
      </c>
      <c r="G728" t="s">
        <v>572</v>
      </c>
      <c r="H728" t="s">
        <v>159</v>
      </c>
      <c r="I728" t="s">
        <v>573</v>
      </c>
      <c r="L728" t="b">
        <v>1</v>
      </c>
      <c r="M728" t="s">
        <v>81</v>
      </c>
      <c r="N728" t="s">
        <v>32</v>
      </c>
      <c r="P728" t="s">
        <v>579</v>
      </c>
      <c r="Q728">
        <v>1</v>
      </c>
      <c r="R728">
        <v>3</v>
      </c>
      <c r="S728">
        <v>101.3</v>
      </c>
      <c r="T728">
        <v>1735338</v>
      </c>
      <c r="U728">
        <v>2329000</v>
      </c>
      <c r="V728">
        <v>0.74509999999999998</v>
      </c>
      <c r="W728">
        <v>5965.23</v>
      </c>
      <c r="X728">
        <v>1757897.4</v>
      </c>
      <c r="Y728">
        <v>1763862.63</v>
      </c>
    </row>
    <row r="729" spans="1:25" x14ac:dyDescent="0.25">
      <c r="A729">
        <v>68</v>
      </c>
      <c r="B729" t="s">
        <v>1545</v>
      </c>
      <c r="C729" t="s">
        <v>32</v>
      </c>
      <c r="D729" t="s">
        <v>1325</v>
      </c>
      <c r="E729">
        <v>216350</v>
      </c>
      <c r="F729" t="s">
        <v>1326</v>
      </c>
      <c r="G729" t="s">
        <v>1327</v>
      </c>
      <c r="H729" t="s">
        <v>1328</v>
      </c>
      <c r="I729" t="s">
        <v>1327</v>
      </c>
      <c r="L729" t="b">
        <v>0</v>
      </c>
      <c r="M729" t="s">
        <v>31</v>
      </c>
      <c r="N729" t="s">
        <v>32</v>
      </c>
      <c r="P729" t="s">
        <v>579</v>
      </c>
      <c r="Q729">
        <v>1</v>
      </c>
      <c r="R729">
        <v>3</v>
      </c>
      <c r="S729">
        <v>99.896829999999994</v>
      </c>
      <c r="T729">
        <v>1900000</v>
      </c>
      <c r="U729">
        <v>1900000</v>
      </c>
      <c r="V729">
        <v>1</v>
      </c>
      <c r="W729">
        <v>29159.72</v>
      </c>
      <c r="X729">
        <v>1898039.77</v>
      </c>
      <c r="Y729">
        <v>1927199.49</v>
      </c>
    </row>
    <row r="730" spans="1:25" x14ac:dyDescent="0.25">
      <c r="A730">
        <v>68</v>
      </c>
      <c r="B730" t="s">
        <v>1545</v>
      </c>
      <c r="C730" t="s">
        <v>32</v>
      </c>
      <c r="D730" t="s">
        <v>1332</v>
      </c>
      <c r="E730">
        <v>155595</v>
      </c>
      <c r="F730" t="s">
        <v>1333</v>
      </c>
      <c r="G730" t="s">
        <v>1334</v>
      </c>
      <c r="H730" t="s">
        <v>1335</v>
      </c>
      <c r="I730" t="s">
        <v>1336</v>
      </c>
      <c r="J730" t="s">
        <v>1333</v>
      </c>
      <c r="K730" t="s">
        <v>1337</v>
      </c>
      <c r="L730" t="b">
        <v>1</v>
      </c>
      <c r="M730" t="s">
        <v>112</v>
      </c>
      <c r="N730" t="s">
        <v>32</v>
      </c>
      <c r="P730" t="s">
        <v>579</v>
      </c>
      <c r="Q730">
        <v>1</v>
      </c>
      <c r="R730">
        <v>3</v>
      </c>
      <c r="S730">
        <v>104.45099999999999</v>
      </c>
      <c r="T730">
        <v>1000000</v>
      </c>
      <c r="U730">
        <v>1000000</v>
      </c>
      <c r="V730">
        <v>1</v>
      </c>
      <c r="W730">
        <v>9625</v>
      </c>
      <c r="X730">
        <v>1044510</v>
      </c>
      <c r="Y730">
        <v>1054135</v>
      </c>
    </row>
    <row r="731" spans="1:25" x14ac:dyDescent="0.25">
      <c r="A731">
        <v>68</v>
      </c>
      <c r="B731" t="s">
        <v>1545</v>
      </c>
      <c r="C731" t="s">
        <v>32</v>
      </c>
      <c r="D731" t="s">
        <v>1342</v>
      </c>
      <c r="E731">
        <v>130578</v>
      </c>
      <c r="F731" t="s">
        <v>1343</v>
      </c>
      <c r="G731" t="s">
        <v>1344</v>
      </c>
      <c r="H731" t="s">
        <v>1345</v>
      </c>
      <c r="I731" t="s">
        <v>1346</v>
      </c>
      <c r="L731" t="b">
        <v>1</v>
      </c>
      <c r="M731" t="s">
        <v>112</v>
      </c>
      <c r="N731" t="s">
        <v>32</v>
      </c>
      <c r="P731" t="s">
        <v>579</v>
      </c>
      <c r="Q731">
        <v>1</v>
      </c>
      <c r="R731">
        <v>3</v>
      </c>
      <c r="S731">
        <v>107.97499999999999</v>
      </c>
      <c r="T731">
        <v>1291000</v>
      </c>
      <c r="U731">
        <v>1291000</v>
      </c>
      <c r="V731">
        <v>1</v>
      </c>
      <c r="W731">
        <v>27433.75</v>
      </c>
      <c r="X731">
        <v>1393957.25</v>
      </c>
      <c r="Y731">
        <v>1421391</v>
      </c>
    </row>
    <row r="732" spans="1:25" x14ac:dyDescent="0.25">
      <c r="A732">
        <v>68</v>
      </c>
      <c r="B732" t="s">
        <v>1545</v>
      </c>
      <c r="C732" t="s">
        <v>32</v>
      </c>
      <c r="D732" t="s">
        <v>1347</v>
      </c>
      <c r="E732">
        <v>226995</v>
      </c>
      <c r="F732" t="s">
        <v>1348</v>
      </c>
      <c r="G732" t="s">
        <v>1349</v>
      </c>
      <c r="H732" t="s">
        <v>577</v>
      </c>
      <c r="I732" t="s">
        <v>1350</v>
      </c>
      <c r="J732" t="s">
        <v>1348</v>
      </c>
      <c r="K732" t="s">
        <v>1351</v>
      </c>
      <c r="L732" t="b">
        <v>1</v>
      </c>
      <c r="M732" t="s">
        <v>112</v>
      </c>
      <c r="N732" t="s">
        <v>32</v>
      </c>
      <c r="P732" t="s">
        <v>579</v>
      </c>
      <c r="Q732">
        <v>1</v>
      </c>
      <c r="R732">
        <v>3</v>
      </c>
      <c r="S732">
        <v>98.83</v>
      </c>
      <c r="T732">
        <v>2850000</v>
      </c>
      <c r="U732">
        <v>2850000</v>
      </c>
      <c r="V732">
        <v>1</v>
      </c>
      <c r="W732">
        <v>1345.83</v>
      </c>
      <c r="X732">
        <v>2816655</v>
      </c>
      <c r="Y732">
        <v>2818000.83</v>
      </c>
    </row>
    <row r="733" spans="1:25" x14ac:dyDescent="0.25">
      <c r="A733">
        <v>68</v>
      </c>
      <c r="B733" t="s">
        <v>1545</v>
      </c>
      <c r="C733" t="s">
        <v>32</v>
      </c>
      <c r="D733" t="s">
        <v>1358</v>
      </c>
      <c r="E733">
        <v>2382</v>
      </c>
      <c r="F733" t="s">
        <v>1357</v>
      </c>
      <c r="G733" t="s">
        <v>1359</v>
      </c>
      <c r="H733" t="s">
        <v>1355</v>
      </c>
      <c r="I733" t="s">
        <v>1356</v>
      </c>
      <c r="J733" t="s">
        <v>1353</v>
      </c>
      <c r="K733" t="s">
        <v>1353</v>
      </c>
      <c r="L733" t="b">
        <v>1</v>
      </c>
      <c r="M733" t="s">
        <v>61</v>
      </c>
      <c r="N733" t="s">
        <v>32</v>
      </c>
      <c r="P733" t="s">
        <v>579</v>
      </c>
      <c r="Q733">
        <v>1</v>
      </c>
      <c r="R733">
        <v>3</v>
      </c>
      <c r="S733">
        <v>97.495328000000001</v>
      </c>
      <c r="T733">
        <v>266720</v>
      </c>
      <c r="U733">
        <v>400000</v>
      </c>
      <c r="V733">
        <v>0.66679999999999995</v>
      </c>
      <c r="W733">
        <v>5097.32</v>
      </c>
      <c r="X733">
        <v>260039.54</v>
      </c>
      <c r="Y733">
        <v>265136.86</v>
      </c>
    </row>
    <row r="734" spans="1:25" x14ac:dyDescent="0.25">
      <c r="A734">
        <v>68</v>
      </c>
      <c r="B734" t="s">
        <v>1545</v>
      </c>
      <c r="C734" t="s">
        <v>32</v>
      </c>
      <c r="D734" t="s">
        <v>1360</v>
      </c>
      <c r="E734">
        <v>186586</v>
      </c>
      <c r="F734" t="s">
        <v>1361</v>
      </c>
      <c r="G734" t="s">
        <v>1362</v>
      </c>
      <c r="H734" t="s">
        <v>356</v>
      </c>
      <c r="I734" t="s">
        <v>1362</v>
      </c>
      <c r="L734" t="b">
        <v>0</v>
      </c>
      <c r="M734" t="s">
        <v>31</v>
      </c>
      <c r="N734" t="s">
        <v>32</v>
      </c>
      <c r="P734" t="s">
        <v>579</v>
      </c>
      <c r="Q734">
        <v>1</v>
      </c>
      <c r="R734">
        <v>3</v>
      </c>
      <c r="S734">
        <v>97.64</v>
      </c>
      <c r="T734">
        <v>300000</v>
      </c>
      <c r="U734">
        <v>300000</v>
      </c>
      <c r="V734">
        <v>1</v>
      </c>
      <c r="W734">
        <v>5979.17</v>
      </c>
      <c r="X734">
        <v>292920</v>
      </c>
      <c r="Y734">
        <v>298899.17</v>
      </c>
    </row>
    <row r="735" spans="1:25" x14ac:dyDescent="0.25">
      <c r="A735">
        <v>68</v>
      </c>
      <c r="B735" t="s">
        <v>1545</v>
      </c>
      <c r="C735" t="s">
        <v>32</v>
      </c>
      <c r="D735" t="s">
        <v>1363</v>
      </c>
      <c r="E735">
        <v>146334</v>
      </c>
      <c r="F735" t="s">
        <v>1364</v>
      </c>
      <c r="G735" t="s">
        <v>1365</v>
      </c>
      <c r="H735" t="s">
        <v>356</v>
      </c>
      <c r="I735" t="s">
        <v>1365</v>
      </c>
      <c r="L735" t="b">
        <v>0</v>
      </c>
      <c r="M735" t="s">
        <v>31</v>
      </c>
      <c r="N735" t="s">
        <v>32</v>
      </c>
      <c r="P735" t="s">
        <v>579</v>
      </c>
      <c r="Q735">
        <v>1</v>
      </c>
      <c r="R735">
        <v>3</v>
      </c>
      <c r="S735">
        <v>98.462500000000006</v>
      </c>
      <c r="T735">
        <v>1000000</v>
      </c>
      <c r="U735">
        <v>1000000</v>
      </c>
      <c r="V735">
        <v>1</v>
      </c>
      <c r="W735">
        <v>2833.33</v>
      </c>
      <c r="X735">
        <v>984625</v>
      </c>
      <c r="Y735">
        <v>987458.33</v>
      </c>
    </row>
    <row r="736" spans="1:25" x14ac:dyDescent="0.25">
      <c r="A736">
        <v>68</v>
      </c>
      <c r="B736" t="s">
        <v>1545</v>
      </c>
      <c r="C736" t="s">
        <v>32</v>
      </c>
      <c r="D736" t="s">
        <v>580</v>
      </c>
      <c r="E736">
        <v>222557</v>
      </c>
      <c r="F736" t="s">
        <v>581</v>
      </c>
      <c r="G736" t="s">
        <v>582</v>
      </c>
      <c r="H736" t="s">
        <v>583</v>
      </c>
      <c r="I736" t="s">
        <v>584</v>
      </c>
      <c r="J736" t="s">
        <v>581</v>
      </c>
      <c r="K736" t="s">
        <v>585</v>
      </c>
      <c r="L736" t="b">
        <v>1</v>
      </c>
      <c r="M736" t="s">
        <v>81</v>
      </c>
      <c r="N736" t="s">
        <v>32</v>
      </c>
      <c r="P736" t="s">
        <v>579</v>
      </c>
      <c r="Q736">
        <v>1</v>
      </c>
      <c r="R736">
        <v>3</v>
      </c>
      <c r="S736">
        <v>102.07</v>
      </c>
      <c r="T736">
        <v>1550000</v>
      </c>
      <c r="U736">
        <v>1550000</v>
      </c>
      <c r="V736">
        <v>1</v>
      </c>
      <c r="W736">
        <v>12012.5</v>
      </c>
      <c r="X736">
        <v>1582085</v>
      </c>
      <c r="Y736">
        <v>1594097.5</v>
      </c>
    </row>
    <row r="737" spans="1:25" x14ac:dyDescent="0.25">
      <c r="A737">
        <v>68</v>
      </c>
      <c r="B737" t="s">
        <v>1545</v>
      </c>
      <c r="C737" t="s">
        <v>32</v>
      </c>
      <c r="D737" t="s">
        <v>586</v>
      </c>
      <c r="E737">
        <v>1944</v>
      </c>
      <c r="F737" t="s">
        <v>587</v>
      </c>
      <c r="G737" t="s">
        <v>588</v>
      </c>
      <c r="H737" t="s">
        <v>589</v>
      </c>
      <c r="I737" t="s">
        <v>590</v>
      </c>
      <c r="L737" t="b">
        <v>1</v>
      </c>
      <c r="M737" t="s">
        <v>31</v>
      </c>
      <c r="N737" t="s">
        <v>32</v>
      </c>
      <c r="P737" t="s">
        <v>579</v>
      </c>
      <c r="Q737">
        <v>1</v>
      </c>
      <c r="R737">
        <v>3</v>
      </c>
      <c r="S737">
        <v>101.55856799999999</v>
      </c>
      <c r="T737">
        <v>309574</v>
      </c>
      <c r="U737">
        <v>500000</v>
      </c>
      <c r="V737">
        <v>0.61909999999999998</v>
      </c>
      <c r="W737">
        <v>1934.84</v>
      </c>
      <c r="X737">
        <v>314398.92</v>
      </c>
      <c r="Y737">
        <v>316333.76</v>
      </c>
    </row>
    <row r="738" spans="1:25" x14ac:dyDescent="0.25">
      <c r="A738">
        <v>68</v>
      </c>
      <c r="B738" t="s">
        <v>1545</v>
      </c>
      <c r="C738" t="s">
        <v>32</v>
      </c>
      <c r="D738" t="s">
        <v>68</v>
      </c>
      <c r="E738">
        <v>194433</v>
      </c>
      <c r="F738" t="s">
        <v>69</v>
      </c>
      <c r="G738" t="s">
        <v>70</v>
      </c>
      <c r="H738" t="s">
        <v>71</v>
      </c>
      <c r="I738" t="s">
        <v>72</v>
      </c>
      <c r="J738" t="s">
        <v>69</v>
      </c>
      <c r="K738" t="s">
        <v>73</v>
      </c>
      <c r="L738" t="b">
        <v>1</v>
      </c>
      <c r="M738" t="s">
        <v>74</v>
      </c>
      <c r="N738" t="s">
        <v>32</v>
      </c>
      <c r="P738" t="s">
        <v>579</v>
      </c>
      <c r="Q738">
        <v>1</v>
      </c>
      <c r="R738">
        <v>3</v>
      </c>
      <c r="S738">
        <v>109.23654500000001</v>
      </c>
      <c r="T738">
        <v>750000</v>
      </c>
      <c r="U738">
        <v>750000</v>
      </c>
      <c r="V738">
        <v>1</v>
      </c>
      <c r="W738">
        <v>8437.5</v>
      </c>
      <c r="X738">
        <v>819274.09</v>
      </c>
      <c r="Y738">
        <v>827711.59</v>
      </c>
    </row>
    <row r="739" spans="1:25" x14ac:dyDescent="0.25">
      <c r="A739">
        <v>68</v>
      </c>
      <c r="B739" t="s">
        <v>1545</v>
      </c>
      <c r="C739" t="s">
        <v>32</v>
      </c>
      <c r="D739" t="s">
        <v>1388</v>
      </c>
      <c r="E739">
        <v>147225</v>
      </c>
      <c r="F739" t="s">
        <v>1389</v>
      </c>
      <c r="G739" t="s">
        <v>1390</v>
      </c>
      <c r="H739" t="s">
        <v>1297</v>
      </c>
      <c r="I739" t="s">
        <v>1391</v>
      </c>
      <c r="L739" t="b">
        <v>1</v>
      </c>
      <c r="M739" t="s">
        <v>31</v>
      </c>
      <c r="N739" t="s">
        <v>32</v>
      </c>
      <c r="P739" t="s">
        <v>579</v>
      </c>
      <c r="Q739">
        <v>1</v>
      </c>
      <c r="R739">
        <v>3</v>
      </c>
      <c r="S739">
        <v>53.164000000000001</v>
      </c>
      <c r="T739">
        <v>1500000</v>
      </c>
      <c r="U739">
        <v>1500000</v>
      </c>
      <c r="V739">
        <v>1</v>
      </c>
      <c r="W739">
        <v>0</v>
      </c>
      <c r="X739">
        <v>797460</v>
      </c>
      <c r="Y739">
        <v>797460</v>
      </c>
    </row>
    <row r="740" spans="1:25" x14ac:dyDescent="0.25">
      <c r="A740">
        <v>68</v>
      </c>
      <c r="B740" t="s">
        <v>1545</v>
      </c>
      <c r="C740" t="s">
        <v>32</v>
      </c>
      <c r="D740" t="s">
        <v>1464</v>
      </c>
      <c r="E740">
        <v>123483</v>
      </c>
      <c r="F740" t="s">
        <v>1465</v>
      </c>
      <c r="G740" t="s">
        <v>1466</v>
      </c>
      <c r="H740" t="s">
        <v>1297</v>
      </c>
      <c r="I740" t="s">
        <v>1467</v>
      </c>
      <c r="L740" t="b">
        <v>1</v>
      </c>
      <c r="M740" t="s">
        <v>31</v>
      </c>
      <c r="N740" t="s">
        <v>32</v>
      </c>
      <c r="P740" t="s">
        <v>579</v>
      </c>
      <c r="Q740">
        <v>1</v>
      </c>
      <c r="R740">
        <v>3</v>
      </c>
      <c r="S740">
        <v>53.287999999999997</v>
      </c>
      <c r="T740">
        <v>6500000</v>
      </c>
      <c r="U740">
        <v>6500000</v>
      </c>
      <c r="V740">
        <v>1</v>
      </c>
      <c r="W740">
        <v>0</v>
      </c>
      <c r="X740">
        <v>3463720</v>
      </c>
      <c r="Y740">
        <v>3463720</v>
      </c>
    </row>
    <row r="741" spans="1:25" x14ac:dyDescent="0.25">
      <c r="A741">
        <v>68</v>
      </c>
      <c r="B741" t="s">
        <v>1545</v>
      </c>
      <c r="C741" t="s">
        <v>32</v>
      </c>
      <c r="D741" t="s">
        <v>591</v>
      </c>
      <c r="E741">
        <v>114867</v>
      </c>
      <c r="F741" t="s">
        <v>592</v>
      </c>
      <c r="G741" t="s">
        <v>593</v>
      </c>
      <c r="H741" t="s">
        <v>594</v>
      </c>
      <c r="I741" t="s">
        <v>595</v>
      </c>
      <c r="J741" t="s">
        <v>592</v>
      </c>
      <c r="K741" t="s">
        <v>596</v>
      </c>
      <c r="L741" t="b">
        <v>1</v>
      </c>
      <c r="M741" t="s">
        <v>31</v>
      </c>
      <c r="N741" t="s">
        <v>32</v>
      </c>
      <c r="P741" t="s">
        <v>579</v>
      </c>
      <c r="Q741">
        <v>1</v>
      </c>
      <c r="R741">
        <v>3</v>
      </c>
      <c r="S741">
        <v>100.820808</v>
      </c>
      <c r="T741">
        <v>4737512</v>
      </c>
      <c r="U741">
        <v>4737512</v>
      </c>
      <c r="V741">
        <v>1</v>
      </c>
      <c r="W741">
        <v>35531.360000000001</v>
      </c>
      <c r="X741">
        <v>4776397.870000001</v>
      </c>
      <c r="Y741">
        <v>4811929.2300000014</v>
      </c>
    </row>
    <row r="742" spans="1:25" x14ac:dyDescent="0.25">
      <c r="A742">
        <v>68</v>
      </c>
      <c r="B742" t="s">
        <v>1545</v>
      </c>
      <c r="C742" t="s">
        <v>32</v>
      </c>
      <c r="D742" t="s">
        <v>1480</v>
      </c>
      <c r="E742">
        <v>203890</v>
      </c>
      <c r="F742" t="s">
        <v>1481</v>
      </c>
      <c r="G742" t="s">
        <v>1482</v>
      </c>
      <c r="H742" t="s">
        <v>1483</v>
      </c>
      <c r="I742" t="s">
        <v>1484</v>
      </c>
      <c r="J742" t="s">
        <v>1481</v>
      </c>
      <c r="K742" t="s">
        <v>1485</v>
      </c>
      <c r="L742" t="b">
        <v>1</v>
      </c>
      <c r="M742" t="s">
        <v>31</v>
      </c>
      <c r="N742" t="s">
        <v>32</v>
      </c>
      <c r="P742" t="s">
        <v>579</v>
      </c>
      <c r="Q742">
        <v>1</v>
      </c>
      <c r="R742">
        <v>3</v>
      </c>
      <c r="S742">
        <v>95.301050000000004</v>
      </c>
      <c r="T742">
        <v>4500000</v>
      </c>
      <c r="U742">
        <v>4500000</v>
      </c>
      <c r="V742">
        <v>1</v>
      </c>
      <c r="W742">
        <v>127218.75</v>
      </c>
      <c r="X742">
        <v>4288547.25</v>
      </c>
      <c r="Y742">
        <v>4415766</v>
      </c>
    </row>
    <row r="743" spans="1:25" x14ac:dyDescent="0.25">
      <c r="A743">
        <v>68</v>
      </c>
      <c r="B743" t="s">
        <v>1545</v>
      </c>
      <c r="C743" t="s">
        <v>32</v>
      </c>
      <c r="D743" t="s">
        <v>1486</v>
      </c>
      <c r="E743">
        <v>203892</v>
      </c>
      <c r="F743" t="s">
        <v>1487</v>
      </c>
      <c r="G743" t="s">
        <v>1488</v>
      </c>
      <c r="H743" t="s">
        <v>1483</v>
      </c>
      <c r="I743" t="s">
        <v>1489</v>
      </c>
      <c r="J743" t="s">
        <v>1487</v>
      </c>
      <c r="K743" t="s">
        <v>1490</v>
      </c>
      <c r="L743" t="b">
        <v>1</v>
      </c>
      <c r="M743" t="s">
        <v>31</v>
      </c>
      <c r="N743" t="s">
        <v>32</v>
      </c>
      <c r="P743" t="s">
        <v>579</v>
      </c>
      <c r="Q743">
        <v>1</v>
      </c>
      <c r="R743">
        <v>3</v>
      </c>
      <c r="S743">
        <v>91.677104</v>
      </c>
      <c r="T743">
        <v>1500000</v>
      </c>
      <c r="U743">
        <v>1500000</v>
      </c>
      <c r="V743">
        <v>1</v>
      </c>
      <c r="W743">
        <v>47937.5</v>
      </c>
      <c r="X743">
        <v>1375156.56</v>
      </c>
      <c r="Y743">
        <v>1423094.06</v>
      </c>
    </row>
    <row r="744" spans="1:25" x14ac:dyDescent="0.25">
      <c r="A744">
        <v>68</v>
      </c>
      <c r="B744" t="s">
        <v>1545</v>
      </c>
      <c r="C744" t="s">
        <v>32</v>
      </c>
      <c r="D744" t="s">
        <v>2112</v>
      </c>
      <c r="E744">
        <v>30094</v>
      </c>
      <c r="F744" t="s">
        <v>2113</v>
      </c>
      <c r="G744" t="s">
        <v>2114</v>
      </c>
      <c r="H744" t="s">
        <v>2115</v>
      </c>
      <c r="I744" t="s">
        <v>2114</v>
      </c>
      <c r="L744" t="b">
        <v>0</v>
      </c>
      <c r="M744" t="s">
        <v>44</v>
      </c>
      <c r="N744" t="s">
        <v>32</v>
      </c>
      <c r="P744" t="s">
        <v>579</v>
      </c>
      <c r="Q744">
        <v>1</v>
      </c>
      <c r="R744">
        <v>3</v>
      </c>
      <c r="S744">
        <v>113.17700000000001</v>
      </c>
      <c r="T744">
        <v>600000</v>
      </c>
      <c r="U744">
        <v>600000</v>
      </c>
      <c r="V744">
        <v>1</v>
      </c>
      <c r="W744">
        <v>375</v>
      </c>
      <c r="X744">
        <v>679062</v>
      </c>
      <c r="Y744">
        <v>679437</v>
      </c>
    </row>
    <row r="745" spans="1:25" x14ac:dyDescent="0.25">
      <c r="A745">
        <v>68</v>
      </c>
      <c r="B745" t="s">
        <v>1545</v>
      </c>
      <c r="C745" t="s">
        <v>32</v>
      </c>
      <c r="D745" t="s">
        <v>2116</v>
      </c>
      <c r="E745">
        <v>30683</v>
      </c>
      <c r="F745" t="s">
        <v>2117</v>
      </c>
      <c r="G745" t="s">
        <v>2118</v>
      </c>
      <c r="H745" t="s">
        <v>2119</v>
      </c>
      <c r="I745" t="s">
        <v>2118</v>
      </c>
      <c r="L745" t="b">
        <v>0</v>
      </c>
      <c r="M745" t="s">
        <v>44</v>
      </c>
      <c r="N745" t="s">
        <v>32</v>
      </c>
      <c r="P745" t="s">
        <v>579</v>
      </c>
      <c r="Q745">
        <v>1</v>
      </c>
      <c r="R745">
        <v>3</v>
      </c>
      <c r="S745">
        <v>77.279145</v>
      </c>
      <c r="T745">
        <v>200000</v>
      </c>
      <c r="U745">
        <v>200000</v>
      </c>
      <c r="V745">
        <v>1</v>
      </c>
      <c r="W745">
        <v>100</v>
      </c>
      <c r="X745">
        <v>154558.29</v>
      </c>
      <c r="Y745">
        <v>154658.29</v>
      </c>
    </row>
    <row r="746" spans="1:25" x14ac:dyDescent="0.25">
      <c r="A746">
        <v>68</v>
      </c>
      <c r="B746" t="s">
        <v>1545</v>
      </c>
      <c r="C746" t="s">
        <v>32</v>
      </c>
      <c r="D746" t="s">
        <v>1496</v>
      </c>
      <c r="E746">
        <v>119726</v>
      </c>
      <c r="F746" t="s">
        <v>1497</v>
      </c>
      <c r="G746" t="s">
        <v>1498</v>
      </c>
      <c r="H746" t="s">
        <v>1499</v>
      </c>
      <c r="I746" t="s">
        <v>1498</v>
      </c>
      <c r="L746" t="b">
        <v>0</v>
      </c>
      <c r="M746" t="s">
        <v>31</v>
      </c>
      <c r="N746" t="s">
        <v>32</v>
      </c>
      <c r="P746" t="s">
        <v>579</v>
      </c>
      <c r="Q746">
        <v>1</v>
      </c>
      <c r="R746">
        <v>3</v>
      </c>
      <c r="S746">
        <v>2.944</v>
      </c>
      <c r="T746">
        <v>429464</v>
      </c>
      <c r="U746">
        <v>429464</v>
      </c>
      <c r="V746">
        <v>1</v>
      </c>
      <c r="W746">
        <v>0</v>
      </c>
      <c r="X746">
        <v>12643.420000000009</v>
      </c>
      <c r="Y746">
        <v>12643.420000000009</v>
      </c>
    </row>
    <row r="747" spans="1:25" x14ac:dyDescent="0.25">
      <c r="A747">
        <v>68</v>
      </c>
      <c r="B747" t="s">
        <v>1545</v>
      </c>
      <c r="C747" t="s">
        <v>32</v>
      </c>
      <c r="D747" t="s">
        <v>2120</v>
      </c>
      <c r="E747">
        <v>39118</v>
      </c>
      <c r="F747" t="s">
        <v>2121</v>
      </c>
      <c r="G747" t="s">
        <v>2122</v>
      </c>
      <c r="H747" t="s">
        <v>2123</v>
      </c>
      <c r="I747" t="s">
        <v>2124</v>
      </c>
      <c r="L747" t="b">
        <v>1</v>
      </c>
      <c r="M747" t="s">
        <v>44</v>
      </c>
      <c r="N747" t="s">
        <v>32</v>
      </c>
      <c r="P747" t="s">
        <v>579</v>
      </c>
      <c r="Q747">
        <v>1</v>
      </c>
      <c r="R747">
        <v>3</v>
      </c>
      <c r="S747">
        <v>98.497799999999998</v>
      </c>
      <c r="T747">
        <v>1470000</v>
      </c>
      <c r="U747">
        <v>1470000</v>
      </c>
      <c r="V747">
        <v>1</v>
      </c>
      <c r="W747">
        <v>25459.59</v>
      </c>
      <c r="X747">
        <v>1447917.66</v>
      </c>
      <c r="Y747">
        <v>1473377.25</v>
      </c>
    </row>
    <row r="748" spans="1:25" x14ac:dyDescent="0.25">
      <c r="A748">
        <v>68</v>
      </c>
      <c r="B748" t="s">
        <v>1545</v>
      </c>
      <c r="C748" t="s">
        <v>32</v>
      </c>
      <c r="D748" t="s">
        <v>2125</v>
      </c>
      <c r="E748">
        <v>153892</v>
      </c>
      <c r="F748" t="s">
        <v>2126</v>
      </c>
      <c r="G748" t="s">
        <v>2127</v>
      </c>
      <c r="H748" t="s">
        <v>2123</v>
      </c>
      <c r="I748" t="s">
        <v>2128</v>
      </c>
      <c r="L748" t="b">
        <v>1</v>
      </c>
      <c r="M748" t="s">
        <v>44</v>
      </c>
      <c r="N748" t="s">
        <v>32</v>
      </c>
      <c r="P748" t="s">
        <v>579</v>
      </c>
      <c r="Q748">
        <v>1</v>
      </c>
      <c r="R748">
        <v>3</v>
      </c>
      <c r="S748">
        <v>101.8</v>
      </c>
      <c r="T748">
        <v>1500000</v>
      </c>
      <c r="U748">
        <v>1500000</v>
      </c>
      <c r="V748">
        <v>1</v>
      </c>
      <c r="W748">
        <v>16000</v>
      </c>
      <c r="X748">
        <v>1527000</v>
      </c>
      <c r="Y748">
        <v>1543000</v>
      </c>
    </row>
    <row r="749" spans="1:25" x14ac:dyDescent="0.25">
      <c r="A749">
        <v>68</v>
      </c>
      <c r="B749" t="s">
        <v>1545</v>
      </c>
      <c r="C749" t="s">
        <v>32</v>
      </c>
      <c r="D749" t="s">
        <v>2129</v>
      </c>
      <c r="E749">
        <v>213785</v>
      </c>
      <c r="F749" t="s">
        <v>2130</v>
      </c>
      <c r="G749" t="s">
        <v>2131</v>
      </c>
      <c r="H749" t="s">
        <v>2132</v>
      </c>
      <c r="I749" t="s">
        <v>2133</v>
      </c>
      <c r="L749" t="b">
        <v>1</v>
      </c>
      <c r="M749" t="s">
        <v>50</v>
      </c>
      <c r="N749" t="s">
        <v>32</v>
      </c>
      <c r="P749" t="s">
        <v>579</v>
      </c>
      <c r="Q749">
        <v>1</v>
      </c>
      <c r="R749">
        <v>3</v>
      </c>
      <c r="S749">
        <v>99.543000000000006</v>
      </c>
      <c r="T749">
        <v>5000000</v>
      </c>
      <c r="U749">
        <v>5000000</v>
      </c>
      <c r="V749">
        <v>1</v>
      </c>
      <c r="W749">
        <v>39906.25</v>
      </c>
      <c r="X749">
        <v>4977150</v>
      </c>
      <c r="Y749">
        <v>5017056.25</v>
      </c>
    </row>
    <row r="750" spans="1:25" x14ac:dyDescent="0.25">
      <c r="A750">
        <v>68</v>
      </c>
      <c r="B750" t="s">
        <v>1545</v>
      </c>
      <c r="C750" t="s">
        <v>32</v>
      </c>
      <c r="D750" t="s">
        <v>2134</v>
      </c>
      <c r="E750">
        <v>34544</v>
      </c>
      <c r="F750" t="s">
        <v>2135</v>
      </c>
      <c r="G750" t="s">
        <v>2136</v>
      </c>
      <c r="H750" t="s">
        <v>2050</v>
      </c>
      <c r="I750" t="s">
        <v>2137</v>
      </c>
      <c r="L750" t="b">
        <v>1</v>
      </c>
      <c r="M750" t="s">
        <v>50</v>
      </c>
      <c r="N750" t="s">
        <v>32</v>
      </c>
      <c r="P750" t="s">
        <v>579</v>
      </c>
      <c r="Q750">
        <v>1</v>
      </c>
      <c r="R750">
        <v>3</v>
      </c>
      <c r="S750">
        <v>64.753533000000004</v>
      </c>
      <c r="T750">
        <v>2730000</v>
      </c>
      <c r="U750">
        <v>2730000</v>
      </c>
      <c r="V750">
        <v>1</v>
      </c>
      <c r="W750">
        <v>37158.33</v>
      </c>
      <c r="X750">
        <v>1767771.45</v>
      </c>
      <c r="Y750">
        <v>1804929.78</v>
      </c>
    </row>
    <row r="751" spans="1:25" x14ac:dyDescent="0.25">
      <c r="A751">
        <v>68</v>
      </c>
      <c r="B751" t="s">
        <v>1545</v>
      </c>
      <c r="C751" t="s">
        <v>32</v>
      </c>
      <c r="D751" t="s">
        <v>2138</v>
      </c>
      <c r="E751">
        <v>30437</v>
      </c>
      <c r="F751" t="s">
        <v>2139</v>
      </c>
      <c r="G751" t="s">
        <v>2140</v>
      </c>
      <c r="H751" t="s">
        <v>2050</v>
      </c>
      <c r="I751" t="s">
        <v>2141</v>
      </c>
      <c r="L751" t="b">
        <v>1</v>
      </c>
      <c r="M751" t="s">
        <v>50</v>
      </c>
      <c r="N751" t="s">
        <v>32</v>
      </c>
      <c r="P751" t="s">
        <v>579</v>
      </c>
      <c r="Q751">
        <v>1</v>
      </c>
      <c r="R751">
        <v>3</v>
      </c>
      <c r="S751">
        <v>76.262579000000002</v>
      </c>
      <c r="T751">
        <v>290000</v>
      </c>
      <c r="U751">
        <v>290000</v>
      </c>
      <c r="V751">
        <v>1</v>
      </c>
      <c r="W751">
        <v>273.89</v>
      </c>
      <c r="X751">
        <v>221161.48</v>
      </c>
      <c r="Y751">
        <v>221435.37</v>
      </c>
    </row>
    <row r="752" spans="1:25" x14ac:dyDescent="0.25">
      <c r="A752">
        <v>68</v>
      </c>
      <c r="B752" t="s">
        <v>1545</v>
      </c>
      <c r="C752" t="s">
        <v>32</v>
      </c>
      <c r="D752" t="s">
        <v>2142</v>
      </c>
      <c r="E752">
        <v>146584</v>
      </c>
      <c r="F752" t="s">
        <v>2143</v>
      </c>
      <c r="G752" t="s">
        <v>2144</v>
      </c>
      <c r="H752" t="s">
        <v>2050</v>
      </c>
      <c r="I752" t="s">
        <v>2145</v>
      </c>
      <c r="L752" t="b">
        <v>1</v>
      </c>
      <c r="M752" t="s">
        <v>50</v>
      </c>
      <c r="N752" t="s">
        <v>32</v>
      </c>
      <c r="P752" t="s">
        <v>579</v>
      </c>
      <c r="Q752">
        <v>1</v>
      </c>
      <c r="R752">
        <v>3</v>
      </c>
      <c r="S752">
        <v>98.614999999999995</v>
      </c>
      <c r="T752">
        <v>1800000</v>
      </c>
      <c r="U752">
        <v>1800000</v>
      </c>
      <c r="V752">
        <v>1</v>
      </c>
      <c r="W752">
        <v>38500</v>
      </c>
      <c r="X752">
        <v>1775070</v>
      </c>
      <c r="Y752">
        <v>1813570</v>
      </c>
    </row>
    <row r="753" spans="1:25" x14ac:dyDescent="0.25">
      <c r="A753">
        <v>68</v>
      </c>
      <c r="B753" t="s">
        <v>1545</v>
      </c>
      <c r="C753" t="s">
        <v>32</v>
      </c>
      <c r="D753" t="s">
        <v>2146</v>
      </c>
      <c r="E753">
        <v>110399</v>
      </c>
      <c r="F753" t="s">
        <v>2147</v>
      </c>
      <c r="G753" t="s">
        <v>2148</v>
      </c>
      <c r="H753" t="s">
        <v>2050</v>
      </c>
      <c r="I753" t="s">
        <v>2149</v>
      </c>
      <c r="L753" t="b">
        <v>1</v>
      </c>
      <c r="M753" t="s">
        <v>50</v>
      </c>
      <c r="N753" t="s">
        <v>32</v>
      </c>
      <c r="P753" t="s">
        <v>579</v>
      </c>
      <c r="Q753">
        <v>1</v>
      </c>
      <c r="R753">
        <v>3</v>
      </c>
      <c r="S753">
        <v>104.8043</v>
      </c>
      <c r="T753">
        <v>2000000</v>
      </c>
      <c r="U753">
        <v>2000000</v>
      </c>
      <c r="V753">
        <v>1</v>
      </c>
      <c r="W753">
        <v>29972.22</v>
      </c>
      <c r="X753">
        <v>2096086</v>
      </c>
      <c r="Y753">
        <v>2126058.2200000002</v>
      </c>
    </row>
    <row r="754" spans="1:25" x14ac:dyDescent="0.25">
      <c r="A754">
        <v>68</v>
      </c>
      <c r="B754" t="s">
        <v>1545</v>
      </c>
      <c r="C754" t="s">
        <v>32</v>
      </c>
      <c r="D754" t="s">
        <v>2150</v>
      </c>
      <c r="E754">
        <v>31967</v>
      </c>
      <c r="F754" t="s">
        <v>2151</v>
      </c>
      <c r="G754" t="s">
        <v>2152</v>
      </c>
      <c r="H754" t="s">
        <v>2153</v>
      </c>
      <c r="I754" t="s">
        <v>2154</v>
      </c>
      <c r="L754" t="b">
        <v>1</v>
      </c>
      <c r="M754" t="s">
        <v>31</v>
      </c>
      <c r="N754" t="s">
        <v>32</v>
      </c>
      <c r="P754" t="s">
        <v>579</v>
      </c>
      <c r="Q754">
        <v>1</v>
      </c>
      <c r="R754">
        <v>3</v>
      </c>
      <c r="S754">
        <v>94.412499999999994</v>
      </c>
      <c r="T754">
        <v>1000000</v>
      </c>
      <c r="U754">
        <v>1000000</v>
      </c>
      <c r="V754">
        <v>1</v>
      </c>
      <c r="W754">
        <v>4827.78</v>
      </c>
      <c r="X754">
        <v>944125</v>
      </c>
      <c r="Y754">
        <v>948952.78</v>
      </c>
    </row>
    <row r="755" spans="1:25" x14ac:dyDescent="0.25">
      <c r="A755">
        <v>68</v>
      </c>
      <c r="B755" t="s">
        <v>1545</v>
      </c>
      <c r="C755" t="s">
        <v>32</v>
      </c>
      <c r="D755" t="s">
        <v>2155</v>
      </c>
      <c r="E755">
        <v>30534</v>
      </c>
      <c r="F755" t="s">
        <v>2156</v>
      </c>
      <c r="G755" t="s">
        <v>2157</v>
      </c>
      <c r="H755" t="s">
        <v>2158</v>
      </c>
      <c r="I755" t="s">
        <v>2157</v>
      </c>
      <c r="L755" t="b">
        <v>0</v>
      </c>
      <c r="M755" t="s">
        <v>31</v>
      </c>
      <c r="N755" t="s">
        <v>32</v>
      </c>
      <c r="P755" t="s">
        <v>579</v>
      </c>
      <c r="Q755">
        <v>1</v>
      </c>
      <c r="R755">
        <v>3</v>
      </c>
      <c r="S755">
        <v>101.3759</v>
      </c>
      <c r="T755">
        <v>850000</v>
      </c>
      <c r="U755">
        <v>850000</v>
      </c>
      <c r="V755">
        <v>1</v>
      </c>
      <c r="W755">
        <v>2125</v>
      </c>
      <c r="X755">
        <v>861695.15000000014</v>
      </c>
      <c r="Y755">
        <v>863820.15000000014</v>
      </c>
    </row>
    <row r="756" spans="1:25" x14ac:dyDescent="0.25">
      <c r="A756">
        <v>68</v>
      </c>
      <c r="B756" t="s">
        <v>1545</v>
      </c>
      <c r="C756" t="s">
        <v>32</v>
      </c>
      <c r="D756" t="s">
        <v>2159</v>
      </c>
      <c r="E756">
        <v>30114</v>
      </c>
      <c r="F756" t="s">
        <v>2160</v>
      </c>
      <c r="G756" t="s">
        <v>2161</v>
      </c>
      <c r="H756" t="s">
        <v>2158</v>
      </c>
      <c r="I756" t="s">
        <v>2162</v>
      </c>
      <c r="L756" t="b">
        <v>1</v>
      </c>
      <c r="M756" t="s">
        <v>31</v>
      </c>
      <c r="N756" t="s">
        <v>32</v>
      </c>
      <c r="P756" t="s">
        <v>579</v>
      </c>
      <c r="Q756">
        <v>1</v>
      </c>
      <c r="R756">
        <v>3</v>
      </c>
      <c r="S756">
        <v>104.669353</v>
      </c>
      <c r="T756">
        <v>600000</v>
      </c>
      <c r="U756">
        <v>600000</v>
      </c>
      <c r="V756">
        <v>1</v>
      </c>
      <c r="W756">
        <v>15633.33</v>
      </c>
      <c r="X756">
        <v>628016.12999999989</v>
      </c>
      <c r="Y756">
        <v>643649.45999999985</v>
      </c>
    </row>
    <row r="757" spans="1:25" x14ac:dyDescent="0.25">
      <c r="A757">
        <v>68</v>
      </c>
      <c r="B757" t="s">
        <v>1545</v>
      </c>
      <c r="C757" t="s">
        <v>32</v>
      </c>
      <c r="D757" t="s">
        <v>1500</v>
      </c>
      <c r="E757">
        <v>202993</v>
      </c>
      <c r="F757" t="s">
        <v>1501</v>
      </c>
      <c r="G757" t="s">
        <v>1502</v>
      </c>
      <c r="H757" t="s">
        <v>1503</v>
      </c>
      <c r="I757" t="s">
        <v>1504</v>
      </c>
      <c r="J757" t="s">
        <v>1501</v>
      </c>
      <c r="K757" t="s">
        <v>1505</v>
      </c>
      <c r="L757" t="b">
        <v>1</v>
      </c>
      <c r="M757" t="s">
        <v>112</v>
      </c>
      <c r="N757" t="s">
        <v>32</v>
      </c>
      <c r="P757" t="s">
        <v>579</v>
      </c>
      <c r="Q757">
        <v>1</v>
      </c>
      <c r="R757">
        <v>3</v>
      </c>
      <c r="S757">
        <v>104.4</v>
      </c>
      <c r="T757">
        <v>3000000</v>
      </c>
      <c r="U757">
        <v>3000000</v>
      </c>
      <c r="V757">
        <v>1</v>
      </c>
      <c r="W757">
        <v>7083.33</v>
      </c>
      <c r="X757">
        <v>3132000</v>
      </c>
      <c r="Y757">
        <v>3139083.33</v>
      </c>
    </row>
    <row r="758" spans="1:25" x14ac:dyDescent="0.25">
      <c r="A758">
        <v>68</v>
      </c>
      <c r="B758" t="s">
        <v>1545</v>
      </c>
      <c r="C758" t="s">
        <v>32</v>
      </c>
      <c r="D758" t="s">
        <v>1506</v>
      </c>
      <c r="E758">
        <v>173052</v>
      </c>
      <c r="F758" t="s">
        <v>1507</v>
      </c>
      <c r="G758" t="s">
        <v>1508</v>
      </c>
      <c r="H758" t="s">
        <v>1503</v>
      </c>
      <c r="I758" t="s">
        <v>1509</v>
      </c>
      <c r="J758" t="s">
        <v>1507</v>
      </c>
      <c r="K758" t="s">
        <v>1510</v>
      </c>
      <c r="L758" t="b">
        <v>1</v>
      </c>
      <c r="M758" t="s">
        <v>112</v>
      </c>
      <c r="N758" t="s">
        <v>32</v>
      </c>
      <c r="P758" t="s">
        <v>579</v>
      </c>
      <c r="Q758">
        <v>1</v>
      </c>
      <c r="R758">
        <v>3</v>
      </c>
      <c r="S758">
        <v>107.3031</v>
      </c>
      <c r="T758">
        <v>1490000</v>
      </c>
      <c r="U758">
        <v>1490000</v>
      </c>
      <c r="V758">
        <v>1</v>
      </c>
      <c r="W758">
        <v>23736.53</v>
      </c>
      <c r="X758">
        <v>1598816.19</v>
      </c>
      <c r="Y758">
        <v>1622552.72</v>
      </c>
    </row>
    <row r="759" spans="1:25" x14ac:dyDescent="0.25">
      <c r="A759">
        <v>68</v>
      </c>
      <c r="B759" t="s">
        <v>1545</v>
      </c>
      <c r="C759" t="s">
        <v>32</v>
      </c>
      <c r="D759" t="s">
        <v>1511</v>
      </c>
      <c r="E759">
        <v>139012</v>
      </c>
      <c r="F759" t="s">
        <v>1512</v>
      </c>
      <c r="G759" t="s">
        <v>1513</v>
      </c>
      <c r="H759" t="s">
        <v>1503</v>
      </c>
      <c r="I759" t="s">
        <v>1514</v>
      </c>
      <c r="J759" t="s">
        <v>1512</v>
      </c>
      <c r="K759" t="s">
        <v>1515</v>
      </c>
      <c r="L759" t="b">
        <v>1</v>
      </c>
      <c r="M759" t="s">
        <v>112</v>
      </c>
      <c r="N759" t="s">
        <v>32</v>
      </c>
      <c r="P759" t="s">
        <v>579</v>
      </c>
      <c r="Q759">
        <v>1</v>
      </c>
      <c r="R759">
        <v>3</v>
      </c>
      <c r="S759">
        <v>108.41500000000001</v>
      </c>
      <c r="T759">
        <v>1450000</v>
      </c>
      <c r="U759">
        <v>1450000</v>
      </c>
      <c r="V759">
        <v>1</v>
      </c>
      <c r="W759">
        <v>3826.39</v>
      </c>
      <c r="X759">
        <v>1572017.5</v>
      </c>
      <c r="Y759">
        <v>1575843.89</v>
      </c>
    </row>
    <row r="760" spans="1:25" x14ac:dyDescent="0.25">
      <c r="A760">
        <v>68</v>
      </c>
      <c r="B760" t="s">
        <v>1545</v>
      </c>
      <c r="C760" t="s">
        <v>32</v>
      </c>
      <c r="D760" t="s">
        <v>1516</v>
      </c>
      <c r="E760">
        <v>159686</v>
      </c>
      <c r="F760" t="s">
        <v>1517</v>
      </c>
      <c r="G760" t="s">
        <v>1518</v>
      </c>
      <c r="H760" t="s">
        <v>1519</v>
      </c>
      <c r="I760" t="s">
        <v>1520</v>
      </c>
      <c r="J760" t="s">
        <v>1517</v>
      </c>
      <c r="K760" t="s">
        <v>1521</v>
      </c>
      <c r="L760" t="b">
        <v>1</v>
      </c>
      <c r="M760" t="s">
        <v>112</v>
      </c>
      <c r="N760" t="s">
        <v>32</v>
      </c>
      <c r="P760" t="s">
        <v>579</v>
      </c>
      <c r="Q760">
        <v>1</v>
      </c>
      <c r="R760">
        <v>3</v>
      </c>
      <c r="S760">
        <v>104.05</v>
      </c>
      <c r="T760">
        <v>500000</v>
      </c>
      <c r="U760">
        <v>500000</v>
      </c>
      <c r="V760">
        <v>1</v>
      </c>
      <c r="W760">
        <v>847.22</v>
      </c>
      <c r="X760">
        <v>520250</v>
      </c>
      <c r="Y760">
        <v>521097.22</v>
      </c>
    </row>
    <row r="761" spans="1:25" x14ac:dyDescent="0.25">
      <c r="A761">
        <v>68</v>
      </c>
      <c r="B761" t="s">
        <v>1545</v>
      </c>
      <c r="C761" t="s">
        <v>32</v>
      </c>
      <c r="D761" t="s">
        <v>1522</v>
      </c>
      <c r="E761">
        <v>192587</v>
      </c>
      <c r="F761" t="s">
        <v>1523</v>
      </c>
      <c r="G761" t="s">
        <v>1524</v>
      </c>
      <c r="H761" t="s">
        <v>1519</v>
      </c>
      <c r="I761" t="s">
        <v>1525</v>
      </c>
      <c r="L761" t="b">
        <v>1</v>
      </c>
      <c r="M761" t="s">
        <v>112</v>
      </c>
      <c r="N761" t="s">
        <v>32</v>
      </c>
      <c r="P761" t="s">
        <v>579</v>
      </c>
      <c r="Q761">
        <v>1</v>
      </c>
      <c r="R761">
        <v>3</v>
      </c>
      <c r="S761">
        <v>103.05500000000001</v>
      </c>
      <c r="T761">
        <v>1000000</v>
      </c>
      <c r="U761">
        <v>1000000</v>
      </c>
      <c r="V761">
        <v>1</v>
      </c>
      <c r="W761">
        <v>18427.080000000002</v>
      </c>
      <c r="X761">
        <v>1030550</v>
      </c>
      <c r="Y761">
        <v>1048977.08</v>
      </c>
    </row>
    <row r="762" spans="1:25" x14ac:dyDescent="0.25">
      <c r="A762">
        <v>68</v>
      </c>
      <c r="B762" t="s">
        <v>1545</v>
      </c>
      <c r="C762" t="s">
        <v>32</v>
      </c>
      <c r="D762" t="s">
        <v>75</v>
      </c>
      <c r="E762">
        <v>147061</v>
      </c>
      <c r="F762" t="s">
        <v>76</v>
      </c>
      <c r="G762" t="s">
        <v>77</v>
      </c>
      <c r="H762" t="s">
        <v>78</v>
      </c>
      <c r="I762" t="s">
        <v>79</v>
      </c>
      <c r="J762" t="s">
        <v>76</v>
      </c>
      <c r="K762" t="s">
        <v>80</v>
      </c>
      <c r="L762" t="b">
        <v>1</v>
      </c>
      <c r="M762" t="s">
        <v>81</v>
      </c>
      <c r="N762" t="s">
        <v>32</v>
      </c>
      <c r="P762" t="s">
        <v>579</v>
      </c>
      <c r="Q762">
        <v>1</v>
      </c>
      <c r="R762">
        <v>3</v>
      </c>
      <c r="S762">
        <v>102.258</v>
      </c>
      <c r="T762">
        <v>1500000</v>
      </c>
      <c r="U762">
        <v>1500000</v>
      </c>
      <c r="V762">
        <v>1</v>
      </c>
      <c r="W762">
        <v>42947.92</v>
      </c>
      <c r="X762">
        <v>1533870</v>
      </c>
      <c r="Y762">
        <v>1576817.92</v>
      </c>
    </row>
    <row r="763" spans="1:25" x14ac:dyDescent="0.25">
      <c r="A763">
        <v>68</v>
      </c>
      <c r="B763" t="s">
        <v>1545</v>
      </c>
      <c r="C763" t="s">
        <v>32</v>
      </c>
      <c r="D763" t="s">
        <v>2163</v>
      </c>
      <c r="E763">
        <v>31119</v>
      </c>
      <c r="F763" t="s">
        <v>2164</v>
      </c>
      <c r="G763" t="s">
        <v>2165</v>
      </c>
      <c r="H763" t="s">
        <v>2166</v>
      </c>
      <c r="I763" t="s">
        <v>2165</v>
      </c>
      <c r="L763" t="b">
        <v>0</v>
      </c>
      <c r="M763" t="s">
        <v>44</v>
      </c>
      <c r="N763" t="s">
        <v>32</v>
      </c>
      <c r="P763" t="s">
        <v>579</v>
      </c>
      <c r="Q763">
        <v>1</v>
      </c>
      <c r="R763">
        <v>3</v>
      </c>
      <c r="S763">
        <v>94.22</v>
      </c>
      <c r="T763">
        <v>1427657</v>
      </c>
      <c r="U763">
        <v>1820000</v>
      </c>
      <c r="V763">
        <v>0.78439999999999999</v>
      </c>
      <c r="W763">
        <v>13453.68</v>
      </c>
      <c r="X763">
        <v>1345138.43</v>
      </c>
      <c r="Y763">
        <v>1358592.11</v>
      </c>
    </row>
    <row r="764" spans="1:25" x14ac:dyDescent="0.25">
      <c r="A764">
        <v>68</v>
      </c>
      <c r="B764" t="s">
        <v>1545</v>
      </c>
      <c r="C764" t="s">
        <v>32</v>
      </c>
      <c r="D764" t="s">
        <v>82</v>
      </c>
      <c r="E764">
        <v>1104</v>
      </c>
      <c r="F764" t="s">
        <v>83</v>
      </c>
      <c r="G764" t="s">
        <v>84</v>
      </c>
      <c r="H764" t="s">
        <v>85</v>
      </c>
      <c r="I764" t="s">
        <v>86</v>
      </c>
      <c r="J764" t="s">
        <v>83</v>
      </c>
      <c r="K764" t="s">
        <v>87</v>
      </c>
      <c r="L764" t="b">
        <v>1</v>
      </c>
      <c r="M764" t="s">
        <v>61</v>
      </c>
      <c r="N764" t="s">
        <v>32</v>
      </c>
      <c r="P764" t="s">
        <v>579</v>
      </c>
      <c r="Q764">
        <v>1</v>
      </c>
      <c r="R764">
        <v>3</v>
      </c>
      <c r="S764">
        <v>101.600002</v>
      </c>
      <c r="T764">
        <v>166371.283</v>
      </c>
      <c r="U764">
        <v>200000</v>
      </c>
      <c r="V764">
        <v>0.83189999999999997</v>
      </c>
      <c r="W764">
        <v>1088.92</v>
      </c>
      <c r="X764">
        <v>169033.23</v>
      </c>
      <c r="Y764">
        <v>170122.15</v>
      </c>
    </row>
    <row r="765" spans="1:25" x14ac:dyDescent="0.25">
      <c r="A765">
        <v>68</v>
      </c>
      <c r="B765" t="s">
        <v>1545</v>
      </c>
      <c r="C765" t="s">
        <v>32</v>
      </c>
      <c r="D765" t="s">
        <v>1530</v>
      </c>
      <c r="E765">
        <v>195282</v>
      </c>
      <c r="F765" t="s">
        <v>1531</v>
      </c>
      <c r="G765" t="s">
        <v>1532</v>
      </c>
      <c r="H765" t="s">
        <v>1533</v>
      </c>
      <c r="I765" t="s">
        <v>1534</v>
      </c>
      <c r="L765" t="b">
        <v>1</v>
      </c>
      <c r="M765" t="s">
        <v>112</v>
      </c>
      <c r="N765" t="s">
        <v>32</v>
      </c>
      <c r="P765" t="s">
        <v>579</v>
      </c>
      <c r="Q765">
        <v>1</v>
      </c>
      <c r="R765">
        <v>3</v>
      </c>
      <c r="S765">
        <v>103.85</v>
      </c>
      <c r="T765">
        <v>500000</v>
      </c>
      <c r="U765">
        <v>500000</v>
      </c>
      <c r="V765">
        <v>1</v>
      </c>
      <c r="W765">
        <v>7534.72</v>
      </c>
      <c r="X765">
        <v>519250</v>
      </c>
      <c r="Y765">
        <v>526784.72</v>
      </c>
    </row>
    <row r="766" spans="1:25" x14ac:dyDescent="0.25">
      <c r="A766">
        <v>68</v>
      </c>
      <c r="B766" t="s">
        <v>1545</v>
      </c>
      <c r="C766" t="s">
        <v>32</v>
      </c>
      <c r="D766" t="s">
        <v>1535</v>
      </c>
      <c r="E766">
        <v>139465</v>
      </c>
      <c r="F766" t="s">
        <v>1536</v>
      </c>
      <c r="G766" t="s">
        <v>1537</v>
      </c>
      <c r="H766" t="s">
        <v>1533</v>
      </c>
      <c r="I766" t="s">
        <v>1538</v>
      </c>
      <c r="J766" t="s">
        <v>1536</v>
      </c>
      <c r="K766" t="s">
        <v>1539</v>
      </c>
      <c r="L766" t="b">
        <v>1</v>
      </c>
      <c r="M766" t="s">
        <v>112</v>
      </c>
      <c r="N766" t="s">
        <v>32</v>
      </c>
      <c r="P766" t="s">
        <v>579</v>
      </c>
      <c r="Q766">
        <v>1</v>
      </c>
      <c r="R766">
        <v>3</v>
      </c>
      <c r="S766">
        <v>106.198519</v>
      </c>
      <c r="T766">
        <v>700000</v>
      </c>
      <c r="U766">
        <v>700000</v>
      </c>
      <c r="V766">
        <v>1</v>
      </c>
      <c r="W766">
        <v>991.66000000000008</v>
      </c>
      <c r="X766">
        <v>743389.64</v>
      </c>
      <c r="Y766">
        <v>744381.3</v>
      </c>
    </row>
    <row r="767" spans="1:25" x14ac:dyDescent="0.25">
      <c r="A767">
        <v>68</v>
      </c>
      <c r="B767" t="s">
        <v>1545</v>
      </c>
      <c r="C767" t="s">
        <v>32</v>
      </c>
      <c r="D767" t="s">
        <v>1540</v>
      </c>
      <c r="E767">
        <v>2222</v>
      </c>
      <c r="F767" t="s">
        <v>1541</v>
      </c>
      <c r="G767" t="s">
        <v>1542</v>
      </c>
      <c r="H767" t="s">
        <v>1543</v>
      </c>
      <c r="I767" t="s">
        <v>1544</v>
      </c>
      <c r="L767" t="b">
        <v>1</v>
      </c>
      <c r="M767" t="s">
        <v>1030</v>
      </c>
      <c r="N767" t="s">
        <v>32</v>
      </c>
      <c r="P767" t="s">
        <v>579</v>
      </c>
      <c r="Q767">
        <v>1</v>
      </c>
      <c r="R767">
        <v>3</v>
      </c>
      <c r="S767">
        <v>92.25</v>
      </c>
      <c r="T767">
        <v>1203680</v>
      </c>
      <c r="U767">
        <v>1500000</v>
      </c>
      <c r="V767">
        <v>0.80249999999999999</v>
      </c>
      <c r="W767">
        <v>3845.09</v>
      </c>
      <c r="X767">
        <v>1110394.8</v>
      </c>
      <c r="Y767">
        <v>1114239.8899999999</v>
      </c>
    </row>
    <row r="768" spans="1:25" x14ac:dyDescent="0.25">
      <c r="A768">
        <v>68</v>
      </c>
      <c r="B768" t="s">
        <v>1545</v>
      </c>
      <c r="C768" t="s">
        <v>32</v>
      </c>
      <c r="D768" t="s">
        <v>1653</v>
      </c>
      <c r="E768">
        <v>160999</v>
      </c>
      <c r="F768" t="s">
        <v>1654</v>
      </c>
      <c r="G768" t="s">
        <v>1655</v>
      </c>
      <c r="H768" t="s">
        <v>1656</v>
      </c>
      <c r="I768" t="s">
        <v>1657</v>
      </c>
      <c r="L768" t="b">
        <v>1</v>
      </c>
      <c r="M768" t="s">
        <v>31</v>
      </c>
      <c r="N768" t="s">
        <v>32</v>
      </c>
      <c r="P768" t="s">
        <v>579</v>
      </c>
      <c r="Q768">
        <v>1</v>
      </c>
      <c r="R768">
        <v>3</v>
      </c>
      <c r="S768">
        <v>3</v>
      </c>
      <c r="T768">
        <v>352697</v>
      </c>
      <c r="U768">
        <v>352697</v>
      </c>
      <c r="V768">
        <v>1</v>
      </c>
      <c r="W768">
        <v>0</v>
      </c>
      <c r="X768">
        <v>10580.909999999991</v>
      </c>
      <c r="Y768">
        <v>10580.909999999991</v>
      </c>
    </row>
    <row r="769" spans="1:25" x14ac:dyDescent="0.25">
      <c r="A769">
        <v>68</v>
      </c>
      <c r="B769" t="s">
        <v>1545</v>
      </c>
      <c r="C769" t="s">
        <v>32</v>
      </c>
      <c r="D769" t="s">
        <v>1658</v>
      </c>
      <c r="E769">
        <v>159992</v>
      </c>
      <c r="F769" t="s">
        <v>1659</v>
      </c>
      <c r="G769" t="s">
        <v>1660</v>
      </c>
      <c r="H769" t="s">
        <v>1661</v>
      </c>
      <c r="I769" t="s">
        <v>1662</v>
      </c>
      <c r="J769" t="s">
        <v>1659</v>
      </c>
      <c r="K769" t="s">
        <v>1663</v>
      </c>
      <c r="L769" t="b">
        <v>1</v>
      </c>
      <c r="M769" t="s">
        <v>31</v>
      </c>
      <c r="N769" t="s">
        <v>32</v>
      </c>
      <c r="P769" t="s">
        <v>579</v>
      </c>
      <c r="Q769">
        <v>1</v>
      </c>
      <c r="R769">
        <v>3</v>
      </c>
      <c r="S769">
        <v>102.82899999999999</v>
      </c>
      <c r="T769">
        <v>550000</v>
      </c>
      <c r="U769">
        <v>550000</v>
      </c>
      <c r="V769">
        <v>1</v>
      </c>
      <c r="W769">
        <v>458.33</v>
      </c>
      <c r="X769">
        <v>565559.5</v>
      </c>
      <c r="Y769">
        <v>566017.82999999996</v>
      </c>
    </row>
    <row r="770" spans="1:25" x14ac:dyDescent="0.25">
      <c r="A770">
        <v>68</v>
      </c>
      <c r="B770" t="s">
        <v>1545</v>
      </c>
      <c r="C770" t="s">
        <v>32</v>
      </c>
      <c r="D770" t="s">
        <v>2167</v>
      </c>
      <c r="E770">
        <v>30469</v>
      </c>
      <c r="F770" t="s">
        <v>2168</v>
      </c>
      <c r="G770" t="s">
        <v>2169</v>
      </c>
      <c r="H770" t="s">
        <v>2170</v>
      </c>
      <c r="I770" t="s">
        <v>2169</v>
      </c>
      <c r="L770" t="b">
        <v>0</v>
      </c>
      <c r="M770" t="s">
        <v>31</v>
      </c>
      <c r="N770" t="s">
        <v>32</v>
      </c>
      <c r="P770" t="s">
        <v>579</v>
      </c>
      <c r="Q770">
        <v>1</v>
      </c>
      <c r="R770">
        <v>3</v>
      </c>
      <c r="S770">
        <v>95.260279999999995</v>
      </c>
      <c r="T770">
        <v>850000</v>
      </c>
      <c r="U770">
        <v>850000</v>
      </c>
      <c r="V770">
        <v>1</v>
      </c>
      <c r="W770">
        <v>1947.92</v>
      </c>
      <c r="X770">
        <v>809712.38</v>
      </c>
      <c r="Y770">
        <v>811660.3</v>
      </c>
    </row>
    <row r="771" spans="1:25" x14ac:dyDescent="0.25">
      <c r="A771">
        <v>68</v>
      </c>
      <c r="B771" t="s">
        <v>1545</v>
      </c>
      <c r="C771" t="s">
        <v>32</v>
      </c>
      <c r="D771" t="s">
        <v>2171</v>
      </c>
      <c r="E771">
        <v>94966</v>
      </c>
      <c r="F771" t="s">
        <v>2172</v>
      </c>
      <c r="G771" t="s">
        <v>2173</v>
      </c>
      <c r="H771" t="s">
        <v>2170</v>
      </c>
      <c r="I771" t="s">
        <v>2173</v>
      </c>
      <c r="L771" t="b">
        <v>0</v>
      </c>
      <c r="M771" t="s">
        <v>31</v>
      </c>
      <c r="N771" t="s">
        <v>32</v>
      </c>
      <c r="P771" t="s">
        <v>579</v>
      </c>
      <c r="Q771">
        <v>1</v>
      </c>
      <c r="R771">
        <v>3</v>
      </c>
      <c r="S771">
        <v>103.74</v>
      </c>
      <c r="T771">
        <v>500000</v>
      </c>
      <c r="U771">
        <v>500000</v>
      </c>
      <c r="V771">
        <v>1</v>
      </c>
      <c r="W771">
        <v>4083.33</v>
      </c>
      <c r="X771">
        <v>518700</v>
      </c>
      <c r="Y771">
        <v>522783.33</v>
      </c>
    </row>
    <row r="772" spans="1:25" x14ac:dyDescent="0.25">
      <c r="A772">
        <v>2</v>
      </c>
      <c r="B772" t="s">
        <v>2174</v>
      </c>
      <c r="C772" t="s">
        <v>32</v>
      </c>
      <c r="D772" t="s">
        <v>2175</v>
      </c>
      <c r="E772">
        <v>41160</v>
      </c>
      <c r="F772" t="s">
        <v>2176</v>
      </c>
      <c r="G772" t="s">
        <v>2177</v>
      </c>
      <c r="H772" t="s">
        <v>835</v>
      </c>
      <c r="I772" t="s">
        <v>2177</v>
      </c>
      <c r="L772" t="b">
        <v>0</v>
      </c>
      <c r="M772" t="s">
        <v>50</v>
      </c>
      <c r="N772" t="s">
        <v>32</v>
      </c>
      <c r="P772" t="s">
        <v>579</v>
      </c>
      <c r="Q772">
        <v>1</v>
      </c>
      <c r="R772">
        <v>3</v>
      </c>
      <c r="S772">
        <v>57.273000000000003</v>
      </c>
      <c r="T772">
        <v>12896906</v>
      </c>
      <c r="U772">
        <v>12896906</v>
      </c>
      <c r="V772">
        <v>1</v>
      </c>
      <c r="W772">
        <v>25793.81</v>
      </c>
      <c r="X772">
        <v>7386444.9699999997</v>
      </c>
      <c r="Y772">
        <v>7412238.7799999993</v>
      </c>
    </row>
    <row r="773" spans="1:25" x14ac:dyDescent="0.25">
      <c r="A773">
        <v>68</v>
      </c>
      <c r="B773" t="s">
        <v>1545</v>
      </c>
      <c r="C773" t="s">
        <v>32</v>
      </c>
      <c r="D773" t="s">
        <v>2178</v>
      </c>
      <c r="E773">
        <v>137207</v>
      </c>
      <c r="F773" t="s">
        <v>2179</v>
      </c>
      <c r="G773" t="s">
        <v>2180</v>
      </c>
      <c r="H773" t="s">
        <v>2170</v>
      </c>
      <c r="I773" t="s">
        <v>2180</v>
      </c>
      <c r="L773" t="b">
        <v>0</v>
      </c>
      <c r="M773" t="s">
        <v>31</v>
      </c>
      <c r="N773" t="s">
        <v>32</v>
      </c>
      <c r="P773" t="s">
        <v>579</v>
      </c>
      <c r="Q773">
        <v>1</v>
      </c>
      <c r="R773">
        <v>3</v>
      </c>
      <c r="S773">
        <v>99.224999999999994</v>
      </c>
      <c r="T773">
        <v>2320000</v>
      </c>
      <c r="U773">
        <v>2320000</v>
      </c>
      <c r="V773">
        <v>1</v>
      </c>
      <c r="W773">
        <v>12785.78</v>
      </c>
      <c r="X773">
        <v>2302020</v>
      </c>
      <c r="Y773">
        <v>2314805.7799999998</v>
      </c>
    </row>
    <row r="774" spans="1:25" x14ac:dyDescent="0.25">
      <c r="A774">
        <v>68</v>
      </c>
      <c r="B774" t="s">
        <v>1545</v>
      </c>
      <c r="C774" t="s">
        <v>32</v>
      </c>
      <c r="D774" t="s">
        <v>2181</v>
      </c>
      <c r="E774">
        <v>195834</v>
      </c>
      <c r="F774" t="s">
        <v>2182</v>
      </c>
      <c r="G774" t="s">
        <v>2183</v>
      </c>
      <c r="H774" t="s">
        <v>2170</v>
      </c>
      <c r="I774" t="s">
        <v>2184</v>
      </c>
      <c r="L774" t="b">
        <v>1</v>
      </c>
      <c r="M774" t="s">
        <v>31</v>
      </c>
      <c r="N774" t="s">
        <v>32</v>
      </c>
      <c r="P774" t="s">
        <v>579</v>
      </c>
      <c r="Q774">
        <v>1</v>
      </c>
      <c r="R774">
        <v>3</v>
      </c>
      <c r="S774">
        <v>99.84</v>
      </c>
      <c r="T774">
        <v>4000000</v>
      </c>
      <c r="U774">
        <v>4000000</v>
      </c>
      <c r="V774">
        <v>1</v>
      </c>
      <c r="W774">
        <v>103333.33</v>
      </c>
      <c r="X774">
        <v>3993600</v>
      </c>
      <c r="Y774">
        <v>4096933.33</v>
      </c>
    </row>
    <row r="775" spans="1:25" x14ac:dyDescent="0.25">
      <c r="A775">
        <v>68</v>
      </c>
      <c r="B775" t="s">
        <v>1545</v>
      </c>
      <c r="C775" t="s">
        <v>32</v>
      </c>
      <c r="D775" t="s">
        <v>2185</v>
      </c>
      <c r="E775">
        <v>119541</v>
      </c>
      <c r="F775" t="s">
        <v>2186</v>
      </c>
      <c r="G775" t="s">
        <v>2187</v>
      </c>
      <c r="H775" t="s">
        <v>2188</v>
      </c>
      <c r="I775" t="s">
        <v>2189</v>
      </c>
      <c r="L775" t="b">
        <v>1</v>
      </c>
      <c r="M775" t="s">
        <v>44</v>
      </c>
      <c r="N775" t="s">
        <v>32</v>
      </c>
      <c r="P775" t="s">
        <v>579</v>
      </c>
      <c r="Q775">
        <v>1</v>
      </c>
      <c r="R775">
        <v>3</v>
      </c>
      <c r="S775">
        <v>104.07995</v>
      </c>
      <c r="T775">
        <v>2921210</v>
      </c>
      <c r="U775">
        <v>2930000</v>
      </c>
      <c r="V775">
        <v>0.997</v>
      </c>
      <c r="W775">
        <v>105437.43</v>
      </c>
      <c r="X775">
        <v>3040393.91</v>
      </c>
      <c r="Y775">
        <v>3145831.34</v>
      </c>
    </row>
    <row r="776" spans="1:25" x14ac:dyDescent="0.25">
      <c r="A776">
        <v>68</v>
      </c>
      <c r="B776" t="s">
        <v>1545</v>
      </c>
      <c r="C776" t="s">
        <v>32</v>
      </c>
      <c r="D776" t="s">
        <v>1664</v>
      </c>
      <c r="E776">
        <v>189331</v>
      </c>
      <c r="F776" t="s">
        <v>1665</v>
      </c>
      <c r="G776" t="s">
        <v>1666</v>
      </c>
      <c r="H776" t="s">
        <v>1667</v>
      </c>
      <c r="I776" t="s">
        <v>1668</v>
      </c>
      <c r="J776" t="s">
        <v>1665</v>
      </c>
      <c r="K776" t="s">
        <v>1669</v>
      </c>
      <c r="L776" t="b">
        <v>1</v>
      </c>
      <c r="M776" t="s">
        <v>31</v>
      </c>
      <c r="N776" t="s">
        <v>32</v>
      </c>
      <c r="P776" t="s">
        <v>579</v>
      </c>
      <c r="Q776">
        <v>1</v>
      </c>
      <c r="R776">
        <v>3</v>
      </c>
      <c r="S776">
        <v>95.1</v>
      </c>
      <c r="T776">
        <v>1200000</v>
      </c>
      <c r="U776">
        <v>1200000</v>
      </c>
      <c r="V776">
        <v>1</v>
      </c>
      <c r="W776">
        <v>1226.67</v>
      </c>
      <c r="X776">
        <v>1141200</v>
      </c>
      <c r="Y776">
        <v>1142426.67</v>
      </c>
    </row>
    <row r="777" spans="1:25" x14ac:dyDescent="0.25">
      <c r="A777">
        <v>68</v>
      </c>
      <c r="B777" t="s">
        <v>1545</v>
      </c>
      <c r="C777" t="s">
        <v>32</v>
      </c>
      <c r="D777" t="s">
        <v>1676</v>
      </c>
      <c r="E777">
        <v>176271</v>
      </c>
      <c r="F777" t="s">
        <v>1677</v>
      </c>
      <c r="G777" t="s">
        <v>1678</v>
      </c>
      <c r="H777" t="s">
        <v>1673</v>
      </c>
      <c r="I777" t="s">
        <v>1679</v>
      </c>
      <c r="L777" t="b">
        <v>1</v>
      </c>
      <c r="M777" t="s">
        <v>112</v>
      </c>
      <c r="N777" t="s">
        <v>32</v>
      </c>
      <c r="P777" t="s">
        <v>579</v>
      </c>
      <c r="Q777">
        <v>1</v>
      </c>
      <c r="R777">
        <v>3</v>
      </c>
      <c r="S777">
        <v>105.696687</v>
      </c>
      <c r="T777">
        <v>500000</v>
      </c>
      <c r="U777">
        <v>500000</v>
      </c>
      <c r="V777">
        <v>1</v>
      </c>
      <c r="W777">
        <v>5902.77</v>
      </c>
      <c r="X777">
        <v>528483.43000000005</v>
      </c>
      <c r="Y777">
        <v>534386.20000000007</v>
      </c>
    </row>
    <row r="778" spans="1:25" x14ac:dyDescent="0.25">
      <c r="A778">
        <v>68</v>
      </c>
      <c r="B778" t="s">
        <v>1545</v>
      </c>
      <c r="C778" t="s">
        <v>32</v>
      </c>
      <c r="D778" t="s">
        <v>2190</v>
      </c>
      <c r="E778">
        <v>127347</v>
      </c>
      <c r="F778" t="s">
        <v>2191</v>
      </c>
      <c r="G778" t="s">
        <v>2192</v>
      </c>
      <c r="H778" t="s">
        <v>2193</v>
      </c>
      <c r="I778" t="s">
        <v>2194</v>
      </c>
      <c r="L778" t="b">
        <v>1</v>
      </c>
      <c r="M778" t="s">
        <v>31</v>
      </c>
      <c r="N778" t="s">
        <v>32</v>
      </c>
      <c r="P778" t="s">
        <v>579</v>
      </c>
      <c r="Q778">
        <v>1</v>
      </c>
      <c r="R778">
        <v>3</v>
      </c>
      <c r="S778">
        <v>100.1806</v>
      </c>
      <c r="T778">
        <v>2250000</v>
      </c>
      <c r="U778">
        <v>2250000</v>
      </c>
      <c r="V778">
        <v>1</v>
      </c>
      <c r="W778">
        <v>42406.25</v>
      </c>
      <c r="X778">
        <v>2254063.5</v>
      </c>
      <c r="Y778">
        <v>2296469.75</v>
      </c>
    </row>
    <row r="779" spans="1:25" x14ac:dyDescent="0.25">
      <c r="A779">
        <v>68</v>
      </c>
      <c r="B779" t="s">
        <v>1545</v>
      </c>
      <c r="C779" t="s">
        <v>32</v>
      </c>
      <c r="D779" t="s">
        <v>1680</v>
      </c>
      <c r="E779">
        <v>126886</v>
      </c>
      <c r="F779" t="s">
        <v>1681</v>
      </c>
      <c r="G779" t="s">
        <v>1682</v>
      </c>
      <c r="H779" t="s">
        <v>1683</v>
      </c>
      <c r="I779" t="s">
        <v>1682</v>
      </c>
      <c r="L779" t="b">
        <v>0</v>
      </c>
      <c r="M779" t="s">
        <v>31</v>
      </c>
      <c r="N779" t="s">
        <v>32</v>
      </c>
      <c r="P779" t="s">
        <v>579</v>
      </c>
      <c r="Q779">
        <v>1</v>
      </c>
      <c r="R779">
        <v>3</v>
      </c>
      <c r="S779">
        <v>101.93756399999999</v>
      </c>
      <c r="T779">
        <v>951622</v>
      </c>
      <c r="U779">
        <v>951622</v>
      </c>
      <c r="V779">
        <v>1</v>
      </c>
      <c r="W779">
        <v>2643.4</v>
      </c>
      <c r="X779">
        <v>970060.27999999991</v>
      </c>
      <c r="Y779">
        <v>972703.67999999993</v>
      </c>
    </row>
    <row r="780" spans="1:25" x14ac:dyDescent="0.25">
      <c r="A780">
        <v>68</v>
      </c>
      <c r="B780" t="s">
        <v>1545</v>
      </c>
      <c r="C780" t="s">
        <v>32</v>
      </c>
      <c r="D780" t="s">
        <v>90</v>
      </c>
      <c r="E780">
        <v>166674</v>
      </c>
      <c r="F780" t="s">
        <v>91</v>
      </c>
      <c r="G780" t="s">
        <v>92</v>
      </c>
      <c r="H780" t="s">
        <v>93</v>
      </c>
      <c r="I780" t="s">
        <v>94</v>
      </c>
      <c r="J780" t="s">
        <v>91</v>
      </c>
      <c r="K780" t="s">
        <v>95</v>
      </c>
      <c r="L780" t="b">
        <v>1</v>
      </c>
      <c r="M780" t="s">
        <v>50</v>
      </c>
      <c r="N780" t="s">
        <v>32</v>
      </c>
      <c r="P780" t="s">
        <v>579</v>
      </c>
      <c r="Q780">
        <v>1</v>
      </c>
      <c r="R780">
        <v>3</v>
      </c>
      <c r="S780">
        <v>90.39</v>
      </c>
      <c r="T780">
        <v>2210317</v>
      </c>
      <c r="U780">
        <v>2210317</v>
      </c>
      <c r="V780">
        <v>1</v>
      </c>
      <c r="W780">
        <v>36531.629999999997</v>
      </c>
      <c r="X780">
        <v>1997905.54</v>
      </c>
      <c r="Y780">
        <v>2034437.17</v>
      </c>
    </row>
    <row r="781" spans="1:25" x14ac:dyDescent="0.25">
      <c r="A781">
        <v>68</v>
      </c>
      <c r="B781" t="s">
        <v>1545</v>
      </c>
      <c r="C781" t="s">
        <v>32</v>
      </c>
      <c r="D781" t="s">
        <v>96</v>
      </c>
      <c r="E781">
        <v>166676</v>
      </c>
      <c r="F781" t="s">
        <v>97</v>
      </c>
      <c r="G781" t="s">
        <v>98</v>
      </c>
      <c r="H781" t="s">
        <v>93</v>
      </c>
      <c r="I781" t="s">
        <v>99</v>
      </c>
      <c r="J781" t="s">
        <v>97</v>
      </c>
      <c r="K781" t="s">
        <v>100</v>
      </c>
      <c r="L781" t="b">
        <v>1</v>
      </c>
      <c r="M781" t="s">
        <v>50</v>
      </c>
      <c r="N781" t="s">
        <v>32</v>
      </c>
      <c r="P781" t="s">
        <v>579</v>
      </c>
      <c r="Q781">
        <v>1</v>
      </c>
      <c r="R781">
        <v>3</v>
      </c>
      <c r="S781">
        <v>103.75</v>
      </c>
      <c r="T781">
        <v>2265190</v>
      </c>
      <c r="U781">
        <v>2265190</v>
      </c>
      <c r="V781">
        <v>1</v>
      </c>
      <c r="W781">
        <v>82364.820000000007</v>
      </c>
      <c r="X781">
        <v>2350134.63</v>
      </c>
      <c r="Y781">
        <v>2432499.4500000002</v>
      </c>
    </row>
    <row r="782" spans="1:25" x14ac:dyDescent="0.25">
      <c r="A782">
        <v>68</v>
      </c>
      <c r="B782" t="s">
        <v>1545</v>
      </c>
      <c r="C782" t="s">
        <v>32</v>
      </c>
      <c r="D782" t="s">
        <v>1684</v>
      </c>
      <c r="E782">
        <v>1144</v>
      </c>
      <c r="F782" t="s">
        <v>1685</v>
      </c>
      <c r="G782" t="s">
        <v>1686</v>
      </c>
      <c r="H782" t="s">
        <v>605</v>
      </c>
      <c r="I782" t="s">
        <v>1687</v>
      </c>
      <c r="L782" t="b">
        <v>1</v>
      </c>
      <c r="M782" t="s">
        <v>112</v>
      </c>
      <c r="N782" t="s">
        <v>32</v>
      </c>
      <c r="P782" t="s">
        <v>579</v>
      </c>
      <c r="Q782">
        <v>1</v>
      </c>
      <c r="R782">
        <v>3</v>
      </c>
      <c r="S782">
        <v>100.58240000000001</v>
      </c>
      <c r="T782">
        <v>500000</v>
      </c>
      <c r="U782">
        <v>500000</v>
      </c>
      <c r="V782">
        <v>1</v>
      </c>
      <c r="W782">
        <v>868.75</v>
      </c>
      <c r="X782">
        <v>502912</v>
      </c>
      <c r="Y782">
        <v>503780.75</v>
      </c>
    </row>
    <row r="783" spans="1:25" x14ac:dyDescent="0.25">
      <c r="A783">
        <v>68</v>
      </c>
      <c r="B783" t="s">
        <v>1545</v>
      </c>
      <c r="C783" t="s">
        <v>32</v>
      </c>
      <c r="D783" t="s">
        <v>1692</v>
      </c>
      <c r="E783">
        <v>159225</v>
      </c>
      <c r="F783" t="s">
        <v>1693</v>
      </c>
      <c r="G783" t="s">
        <v>1694</v>
      </c>
      <c r="H783" t="s">
        <v>605</v>
      </c>
      <c r="I783" t="s">
        <v>1695</v>
      </c>
      <c r="J783" t="s">
        <v>1693</v>
      </c>
      <c r="K783" t="s">
        <v>1696</v>
      </c>
      <c r="L783" t="b">
        <v>1</v>
      </c>
      <c r="M783" t="s">
        <v>112</v>
      </c>
      <c r="N783" t="s">
        <v>32</v>
      </c>
      <c r="P783" t="s">
        <v>579</v>
      </c>
      <c r="Q783">
        <v>1</v>
      </c>
      <c r="R783">
        <v>3</v>
      </c>
      <c r="S783">
        <v>105.59353900000001</v>
      </c>
      <c r="T783">
        <v>4300000</v>
      </c>
      <c r="U783">
        <v>4300000</v>
      </c>
      <c r="V783">
        <v>1</v>
      </c>
      <c r="W783">
        <v>12810.41</v>
      </c>
      <c r="X783">
        <v>4540522.1800000006</v>
      </c>
      <c r="Y783">
        <v>4553332.5900000008</v>
      </c>
    </row>
    <row r="784" spans="1:25" x14ac:dyDescent="0.25">
      <c r="A784">
        <v>68</v>
      </c>
      <c r="B784" t="s">
        <v>1545</v>
      </c>
      <c r="C784" t="s">
        <v>32</v>
      </c>
      <c r="D784" t="s">
        <v>1697</v>
      </c>
      <c r="E784">
        <v>1147</v>
      </c>
      <c r="F784" t="s">
        <v>1698</v>
      </c>
      <c r="G784" t="s">
        <v>1699</v>
      </c>
      <c r="H784" t="s">
        <v>605</v>
      </c>
      <c r="I784" t="s">
        <v>1700</v>
      </c>
      <c r="L784" t="b">
        <v>1</v>
      </c>
      <c r="M784" t="s">
        <v>112</v>
      </c>
      <c r="N784" t="s">
        <v>32</v>
      </c>
      <c r="P784" t="s">
        <v>579</v>
      </c>
      <c r="Q784">
        <v>1</v>
      </c>
      <c r="R784">
        <v>3</v>
      </c>
      <c r="S784">
        <v>104.552955</v>
      </c>
      <c r="T784">
        <v>750000</v>
      </c>
      <c r="U784">
        <v>750000</v>
      </c>
      <c r="V784">
        <v>1</v>
      </c>
      <c r="W784">
        <v>5843.75</v>
      </c>
      <c r="X784">
        <v>784147.16</v>
      </c>
      <c r="Y784">
        <v>789990.91</v>
      </c>
    </row>
    <row r="785" spans="1:25" x14ac:dyDescent="0.25">
      <c r="A785">
        <v>68</v>
      </c>
      <c r="B785" t="s">
        <v>1545</v>
      </c>
      <c r="C785" t="s">
        <v>32</v>
      </c>
      <c r="D785" t="s">
        <v>1706</v>
      </c>
      <c r="E785">
        <v>146386</v>
      </c>
      <c r="F785" t="s">
        <v>1705</v>
      </c>
      <c r="G785" t="s">
        <v>1707</v>
      </c>
      <c r="H785" t="s">
        <v>605</v>
      </c>
      <c r="I785" t="s">
        <v>1704</v>
      </c>
      <c r="J785" t="s">
        <v>1702</v>
      </c>
      <c r="K785" t="s">
        <v>1702</v>
      </c>
      <c r="L785" t="b">
        <v>1</v>
      </c>
      <c r="M785" t="s">
        <v>112</v>
      </c>
      <c r="N785" t="s">
        <v>32</v>
      </c>
      <c r="P785" t="s">
        <v>579</v>
      </c>
      <c r="Q785">
        <v>1</v>
      </c>
      <c r="R785">
        <v>3</v>
      </c>
      <c r="S785">
        <v>106.1785</v>
      </c>
      <c r="T785">
        <v>5500000</v>
      </c>
      <c r="U785">
        <v>5500000</v>
      </c>
      <c r="V785">
        <v>1</v>
      </c>
      <c r="W785">
        <v>185815.97</v>
      </c>
      <c r="X785">
        <v>5839817.5</v>
      </c>
      <c r="Y785">
        <v>6025633.4699999997</v>
      </c>
    </row>
    <row r="786" spans="1:25" x14ac:dyDescent="0.25">
      <c r="A786">
        <v>68</v>
      </c>
      <c r="B786" t="s">
        <v>1545</v>
      </c>
      <c r="C786" t="s">
        <v>32</v>
      </c>
      <c r="D786" t="s">
        <v>1708</v>
      </c>
      <c r="E786">
        <v>118893</v>
      </c>
      <c r="F786" t="s">
        <v>1709</v>
      </c>
      <c r="G786" t="s">
        <v>1710</v>
      </c>
      <c r="H786" t="s">
        <v>605</v>
      </c>
      <c r="I786" t="s">
        <v>1711</v>
      </c>
      <c r="L786" t="b">
        <v>1</v>
      </c>
      <c r="M786" t="s">
        <v>112</v>
      </c>
      <c r="N786" t="s">
        <v>32</v>
      </c>
      <c r="P786" t="s">
        <v>579</v>
      </c>
      <c r="Q786">
        <v>1</v>
      </c>
      <c r="R786">
        <v>3</v>
      </c>
      <c r="S786">
        <v>106.2775</v>
      </c>
      <c r="T786">
        <v>1062000</v>
      </c>
      <c r="U786">
        <v>1180000</v>
      </c>
      <c r="V786">
        <v>0.9</v>
      </c>
      <c r="W786">
        <v>3643.25</v>
      </c>
      <c r="X786">
        <v>1128667.05</v>
      </c>
      <c r="Y786">
        <v>1132310.3</v>
      </c>
    </row>
    <row r="787" spans="1:25" x14ac:dyDescent="0.25">
      <c r="A787">
        <v>68</v>
      </c>
      <c r="B787" t="s">
        <v>1545</v>
      </c>
      <c r="C787" t="s">
        <v>32</v>
      </c>
      <c r="D787" t="s">
        <v>1712</v>
      </c>
      <c r="E787">
        <v>149417</v>
      </c>
      <c r="F787" t="s">
        <v>1713</v>
      </c>
      <c r="G787" t="s">
        <v>1714</v>
      </c>
      <c r="H787" t="s">
        <v>1715</v>
      </c>
      <c r="I787" t="s">
        <v>1716</v>
      </c>
      <c r="J787" t="s">
        <v>1713</v>
      </c>
      <c r="K787" t="s">
        <v>1717</v>
      </c>
      <c r="L787" t="b">
        <v>1</v>
      </c>
      <c r="M787" t="s">
        <v>112</v>
      </c>
      <c r="N787" t="s">
        <v>32</v>
      </c>
      <c r="P787" t="s">
        <v>579</v>
      </c>
      <c r="Q787">
        <v>1</v>
      </c>
      <c r="R787">
        <v>3</v>
      </c>
      <c r="S787">
        <v>103.7752</v>
      </c>
      <c r="T787">
        <v>900000</v>
      </c>
      <c r="U787">
        <v>900000</v>
      </c>
      <c r="V787">
        <v>1</v>
      </c>
      <c r="W787">
        <v>20475</v>
      </c>
      <c r="X787">
        <v>933976.8</v>
      </c>
      <c r="Y787">
        <v>954451.8</v>
      </c>
    </row>
    <row r="788" spans="1:25" x14ac:dyDescent="0.25">
      <c r="A788">
        <v>68</v>
      </c>
      <c r="B788" t="s">
        <v>1545</v>
      </c>
      <c r="C788" t="s">
        <v>32</v>
      </c>
      <c r="D788" t="s">
        <v>1718</v>
      </c>
      <c r="E788">
        <v>176141</v>
      </c>
      <c r="F788" t="s">
        <v>1719</v>
      </c>
      <c r="G788" t="s">
        <v>1720</v>
      </c>
      <c r="H788" t="s">
        <v>600</v>
      </c>
      <c r="I788" t="s">
        <v>1721</v>
      </c>
      <c r="J788" t="s">
        <v>1719</v>
      </c>
      <c r="K788" t="s">
        <v>1722</v>
      </c>
      <c r="L788" t="b">
        <v>1</v>
      </c>
      <c r="M788" t="s">
        <v>31</v>
      </c>
      <c r="N788" t="s">
        <v>32</v>
      </c>
      <c r="P788" t="s">
        <v>579</v>
      </c>
      <c r="Q788">
        <v>1</v>
      </c>
      <c r="R788">
        <v>3</v>
      </c>
      <c r="S788">
        <v>107.29694600000001</v>
      </c>
      <c r="T788">
        <v>1268579</v>
      </c>
      <c r="U788">
        <v>1300000</v>
      </c>
      <c r="V788">
        <v>0.9758</v>
      </c>
      <c r="W788">
        <v>0</v>
      </c>
      <c r="X788">
        <v>1361146.52</v>
      </c>
      <c r="Y788">
        <v>1361146.52</v>
      </c>
    </row>
    <row r="789" spans="1:25" x14ac:dyDescent="0.25">
      <c r="A789">
        <v>68</v>
      </c>
      <c r="B789" t="s">
        <v>1545</v>
      </c>
      <c r="C789" t="s">
        <v>32</v>
      </c>
      <c r="D789" t="s">
        <v>2195</v>
      </c>
      <c r="E789">
        <v>119731</v>
      </c>
      <c r="F789" t="s">
        <v>2196</v>
      </c>
      <c r="G789" t="s">
        <v>2197</v>
      </c>
      <c r="H789" t="s">
        <v>638</v>
      </c>
      <c r="I789" t="s">
        <v>2197</v>
      </c>
      <c r="L789" t="b">
        <v>0</v>
      </c>
      <c r="M789" t="s">
        <v>31</v>
      </c>
      <c r="N789" t="s">
        <v>32</v>
      </c>
      <c r="P789" t="s">
        <v>579</v>
      </c>
      <c r="Q789">
        <v>1</v>
      </c>
      <c r="R789">
        <v>3</v>
      </c>
      <c r="S789">
        <v>96.075000000000003</v>
      </c>
      <c r="T789">
        <v>4050000</v>
      </c>
      <c r="U789">
        <v>4050000</v>
      </c>
      <c r="V789">
        <v>1</v>
      </c>
      <c r="W789">
        <v>61720.31</v>
      </c>
      <c r="X789">
        <v>3891037.5</v>
      </c>
      <c r="Y789">
        <v>3952757.81</v>
      </c>
    </row>
    <row r="790" spans="1:25" x14ac:dyDescent="0.25">
      <c r="A790">
        <v>68</v>
      </c>
      <c r="B790" t="s">
        <v>1545</v>
      </c>
      <c r="C790" t="s">
        <v>32</v>
      </c>
      <c r="D790" t="s">
        <v>1734</v>
      </c>
      <c r="E790">
        <v>216183</v>
      </c>
      <c r="F790" t="s">
        <v>1735</v>
      </c>
      <c r="G790" t="s">
        <v>1736</v>
      </c>
      <c r="H790" t="s">
        <v>1732</v>
      </c>
      <c r="I790" t="s">
        <v>1737</v>
      </c>
      <c r="J790" t="s">
        <v>1735</v>
      </c>
      <c r="K790" t="s">
        <v>1738</v>
      </c>
      <c r="L790" t="b">
        <v>1</v>
      </c>
      <c r="M790" t="s">
        <v>112</v>
      </c>
      <c r="N790" t="s">
        <v>32</v>
      </c>
      <c r="P790" t="s">
        <v>579</v>
      </c>
      <c r="Q790">
        <v>1</v>
      </c>
      <c r="R790">
        <v>3</v>
      </c>
      <c r="S790">
        <v>97.724999999999994</v>
      </c>
      <c r="T790">
        <v>300000</v>
      </c>
      <c r="U790">
        <v>300000</v>
      </c>
      <c r="V790">
        <v>1</v>
      </c>
      <c r="W790">
        <v>4523.75</v>
      </c>
      <c r="X790">
        <v>293175</v>
      </c>
      <c r="Y790">
        <v>297698.75</v>
      </c>
    </row>
    <row r="791" spans="1:25" x14ac:dyDescent="0.25">
      <c r="A791">
        <v>68</v>
      </c>
      <c r="B791" t="s">
        <v>1545</v>
      </c>
      <c r="C791" t="s">
        <v>32</v>
      </c>
      <c r="D791" t="s">
        <v>1739</v>
      </c>
      <c r="E791">
        <v>195836</v>
      </c>
      <c r="F791" t="s">
        <v>1740</v>
      </c>
      <c r="G791" t="s">
        <v>1741</v>
      </c>
      <c r="H791" t="s">
        <v>1732</v>
      </c>
      <c r="I791" t="s">
        <v>1742</v>
      </c>
      <c r="J791" t="s">
        <v>1740</v>
      </c>
      <c r="K791" t="s">
        <v>1743</v>
      </c>
      <c r="L791" t="b">
        <v>1</v>
      </c>
      <c r="M791" t="s">
        <v>112</v>
      </c>
      <c r="N791" t="s">
        <v>32</v>
      </c>
      <c r="P791" t="s">
        <v>579</v>
      </c>
      <c r="Q791">
        <v>1</v>
      </c>
      <c r="R791">
        <v>3</v>
      </c>
      <c r="S791">
        <v>104.569</v>
      </c>
      <c r="T791">
        <v>1250000</v>
      </c>
      <c r="U791">
        <v>1250000</v>
      </c>
      <c r="V791">
        <v>1</v>
      </c>
      <c r="W791">
        <v>17333.330000000002</v>
      </c>
      <c r="X791">
        <v>1307112.5</v>
      </c>
      <c r="Y791">
        <v>1324445.83</v>
      </c>
    </row>
    <row r="792" spans="1:25" x14ac:dyDescent="0.25">
      <c r="A792">
        <v>68</v>
      </c>
      <c r="B792" t="s">
        <v>1545</v>
      </c>
      <c r="C792" t="s">
        <v>32</v>
      </c>
      <c r="D792" t="s">
        <v>1744</v>
      </c>
      <c r="E792">
        <v>214282</v>
      </c>
      <c r="F792" t="s">
        <v>1745</v>
      </c>
      <c r="G792" t="s">
        <v>1746</v>
      </c>
      <c r="H792" t="s">
        <v>1747</v>
      </c>
      <c r="I792" t="s">
        <v>1748</v>
      </c>
      <c r="J792" t="s">
        <v>1745</v>
      </c>
      <c r="K792" t="s">
        <v>1749</v>
      </c>
      <c r="L792" t="b">
        <v>1</v>
      </c>
      <c r="M792" t="s">
        <v>112</v>
      </c>
      <c r="N792" t="s">
        <v>32</v>
      </c>
      <c r="P792" t="s">
        <v>579</v>
      </c>
      <c r="Q792">
        <v>1</v>
      </c>
      <c r="R792">
        <v>3</v>
      </c>
      <c r="S792">
        <v>106.672</v>
      </c>
      <c r="T792">
        <v>1650000</v>
      </c>
      <c r="U792">
        <v>1650000</v>
      </c>
      <c r="V792">
        <v>1</v>
      </c>
      <c r="W792">
        <v>433.13</v>
      </c>
      <c r="X792">
        <v>1760088</v>
      </c>
      <c r="Y792">
        <v>1760521.13</v>
      </c>
    </row>
    <row r="793" spans="1:25" x14ac:dyDescent="0.25">
      <c r="A793">
        <v>68</v>
      </c>
      <c r="B793" t="s">
        <v>1545</v>
      </c>
      <c r="C793" t="s">
        <v>32</v>
      </c>
      <c r="D793" t="s">
        <v>784</v>
      </c>
      <c r="E793">
        <v>29877</v>
      </c>
      <c r="F793" t="s">
        <v>785</v>
      </c>
      <c r="G793" t="s">
        <v>786</v>
      </c>
      <c r="H793" t="s">
        <v>787</v>
      </c>
      <c r="I793" t="s">
        <v>786</v>
      </c>
      <c r="L793" t="b">
        <v>0</v>
      </c>
      <c r="M793" t="s">
        <v>112</v>
      </c>
      <c r="N793" t="s">
        <v>32</v>
      </c>
      <c r="P793" t="s">
        <v>579</v>
      </c>
      <c r="Q793">
        <v>1</v>
      </c>
      <c r="R793">
        <v>3</v>
      </c>
      <c r="S793">
        <v>98.25</v>
      </c>
      <c r="T793">
        <v>1664817</v>
      </c>
      <c r="U793">
        <v>4439511</v>
      </c>
      <c r="V793">
        <v>0.375</v>
      </c>
      <c r="W793">
        <v>39169.449999999997</v>
      </c>
      <c r="X793">
        <v>1635682.71</v>
      </c>
      <c r="Y793">
        <v>1674852.16</v>
      </c>
    </row>
    <row r="794" spans="1:25" x14ac:dyDescent="0.25">
      <c r="A794">
        <v>68</v>
      </c>
      <c r="B794" t="s">
        <v>1545</v>
      </c>
      <c r="C794" t="s">
        <v>32</v>
      </c>
      <c r="D794" t="s">
        <v>1766</v>
      </c>
      <c r="E794">
        <v>176138</v>
      </c>
      <c r="F794" t="s">
        <v>1767</v>
      </c>
      <c r="G794" t="s">
        <v>1768</v>
      </c>
      <c r="H794" t="s">
        <v>184</v>
      </c>
      <c r="I794" t="s">
        <v>1769</v>
      </c>
      <c r="J794" t="s">
        <v>1767</v>
      </c>
      <c r="K794" t="s">
        <v>1770</v>
      </c>
      <c r="L794" t="b">
        <v>1</v>
      </c>
      <c r="M794" t="s">
        <v>112</v>
      </c>
      <c r="N794" t="s">
        <v>32</v>
      </c>
      <c r="P794" t="s">
        <v>579</v>
      </c>
      <c r="Q794">
        <v>1</v>
      </c>
      <c r="R794">
        <v>3</v>
      </c>
      <c r="S794">
        <v>107.02500499999999</v>
      </c>
      <c r="T794">
        <v>2500000</v>
      </c>
      <c r="U794">
        <v>2500000</v>
      </c>
      <c r="V794">
        <v>1</v>
      </c>
      <c r="W794">
        <v>18958.330000000002</v>
      </c>
      <c r="X794">
        <v>2675625.13</v>
      </c>
      <c r="Y794">
        <v>2694583.46</v>
      </c>
    </row>
    <row r="795" spans="1:25" x14ac:dyDescent="0.25">
      <c r="A795">
        <v>68</v>
      </c>
      <c r="B795" t="s">
        <v>1545</v>
      </c>
      <c r="C795" t="s">
        <v>32</v>
      </c>
      <c r="D795" t="s">
        <v>1771</v>
      </c>
      <c r="E795">
        <v>981</v>
      </c>
      <c r="F795" t="s">
        <v>1772</v>
      </c>
      <c r="G795" t="s">
        <v>1773</v>
      </c>
      <c r="H795" t="s">
        <v>1774</v>
      </c>
      <c r="I795" t="s">
        <v>1775</v>
      </c>
      <c r="L795" t="b">
        <v>1</v>
      </c>
      <c r="M795" t="s">
        <v>112</v>
      </c>
      <c r="N795" t="s">
        <v>32</v>
      </c>
      <c r="P795" t="s">
        <v>579</v>
      </c>
      <c r="Q795">
        <v>1</v>
      </c>
      <c r="R795">
        <v>3</v>
      </c>
      <c r="S795">
        <v>98.375000999999997</v>
      </c>
      <c r="T795">
        <v>339111</v>
      </c>
      <c r="U795">
        <v>763000</v>
      </c>
      <c r="V795">
        <v>0.44440000000000002</v>
      </c>
      <c r="W795">
        <v>9066.51</v>
      </c>
      <c r="X795">
        <v>333600.45</v>
      </c>
      <c r="Y795">
        <v>342666.96</v>
      </c>
    </row>
    <row r="796" spans="1:25" x14ac:dyDescent="0.25">
      <c r="A796">
        <v>2</v>
      </c>
      <c r="B796" t="s">
        <v>2174</v>
      </c>
      <c r="C796" t="s">
        <v>32</v>
      </c>
      <c r="D796" t="s">
        <v>832</v>
      </c>
      <c r="E796">
        <v>88647</v>
      </c>
      <c r="F796" t="s">
        <v>833</v>
      </c>
      <c r="G796" t="s">
        <v>834</v>
      </c>
      <c r="H796" t="s">
        <v>835</v>
      </c>
      <c r="I796" t="s">
        <v>834</v>
      </c>
      <c r="L796" t="b">
        <v>0</v>
      </c>
      <c r="M796" t="s">
        <v>50</v>
      </c>
      <c r="N796" t="s">
        <v>32</v>
      </c>
      <c r="P796" t="s">
        <v>579</v>
      </c>
      <c r="Q796">
        <v>1</v>
      </c>
      <c r="R796">
        <v>3</v>
      </c>
      <c r="S796">
        <v>8</v>
      </c>
      <c r="T796">
        <v>17186097</v>
      </c>
      <c r="U796">
        <v>17186097</v>
      </c>
      <c r="V796">
        <v>1</v>
      </c>
      <c r="W796">
        <v>103116.58</v>
      </c>
      <c r="X796">
        <v>1374887.76</v>
      </c>
      <c r="Y796">
        <v>1478004.34</v>
      </c>
    </row>
    <row r="797" spans="1:25" x14ac:dyDescent="0.25">
      <c r="A797">
        <v>2</v>
      </c>
      <c r="B797" t="s">
        <v>2174</v>
      </c>
      <c r="C797" t="s">
        <v>32</v>
      </c>
      <c r="D797" t="s">
        <v>836</v>
      </c>
      <c r="E797">
        <v>89366</v>
      </c>
      <c r="F797" t="s">
        <v>837</v>
      </c>
      <c r="G797" t="s">
        <v>838</v>
      </c>
      <c r="H797" t="s">
        <v>835</v>
      </c>
      <c r="I797" t="s">
        <v>838</v>
      </c>
      <c r="L797" t="b">
        <v>0</v>
      </c>
      <c r="M797" t="s">
        <v>50</v>
      </c>
      <c r="N797" t="s">
        <v>32</v>
      </c>
      <c r="P797" t="s">
        <v>579</v>
      </c>
      <c r="Q797">
        <v>1</v>
      </c>
      <c r="R797">
        <v>3</v>
      </c>
      <c r="S797">
        <v>57.273000000000003</v>
      </c>
      <c r="T797">
        <v>5513902</v>
      </c>
      <c r="U797">
        <v>5513902</v>
      </c>
      <c r="V797">
        <v>1</v>
      </c>
      <c r="W797">
        <v>11027.8</v>
      </c>
      <c r="X797">
        <v>3157977.09</v>
      </c>
      <c r="Y797">
        <v>3169004.89</v>
      </c>
    </row>
    <row r="798" spans="1:25" x14ac:dyDescent="0.25">
      <c r="A798">
        <v>2</v>
      </c>
      <c r="B798" t="s">
        <v>2174</v>
      </c>
      <c r="C798" t="s">
        <v>32</v>
      </c>
      <c r="D798" t="s">
        <v>984</v>
      </c>
      <c r="E798">
        <v>177297</v>
      </c>
      <c r="F798" t="s">
        <v>985</v>
      </c>
      <c r="G798" t="s">
        <v>986</v>
      </c>
      <c r="H798" t="s">
        <v>987</v>
      </c>
      <c r="I798" t="s">
        <v>986</v>
      </c>
      <c r="L798" t="b">
        <v>0</v>
      </c>
      <c r="M798" t="s">
        <v>112</v>
      </c>
      <c r="N798" t="s">
        <v>32</v>
      </c>
      <c r="P798" t="s">
        <v>579</v>
      </c>
      <c r="Q798">
        <v>1</v>
      </c>
      <c r="R798">
        <v>3</v>
      </c>
      <c r="S798">
        <v>100</v>
      </c>
      <c r="T798">
        <v>11430000</v>
      </c>
      <c r="U798">
        <v>11430000</v>
      </c>
      <c r="V798">
        <v>1</v>
      </c>
      <c r="W798">
        <v>74120.62</v>
      </c>
      <c r="X798">
        <v>11430000</v>
      </c>
      <c r="Y798">
        <v>11504120.619999999</v>
      </c>
    </row>
    <row r="799" spans="1:25" x14ac:dyDescent="0.25">
      <c r="A799">
        <v>2</v>
      </c>
      <c r="B799" t="s">
        <v>2174</v>
      </c>
      <c r="C799" t="s">
        <v>32</v>
      </c>
      <c r="D799" t="s">
        <v>1003</v>
      </c>
      <c r="E799">
        <v>157995</v>
      </c>
      <c r="F799" t="s">
        <v>1004</v>
      </c>
      <c r="G799" t="s">
        <v>1005</v>
      </c>
      <c r="H799" t="s">
        <v>502</v>
      </c>
      <c r="I799" t="s">
        <v>1006</v>
      </c>
      <c r="J799" t="s">
        <v>1004</v>
      </c>
      <c r="K799" t="s">
        <v>1007</v>
      </c>
      <c r="L799" t="b">
        <v>1</v>
      </c>
      <c r="M799" t="s">
        <v>31</v>
      </c>
      <c r="N799" t="s">
        <v>32</v>
      </c>
      <c r="P799" t="s">
        <v>579</v>
      </c>
      <c r="Q799">
        <v>1</v>
      </c>
      <c r="R799">
        <v>3</v>
      </c>
      <c r="S799">
        <v>124.95099999999999</v>
      </c>
      <c r="T799">
        <v>6000000</v>
      </c>
      <c r="U799">
        <v>6000000</v>
      </c>
      <c r="V799">
        <v>1</v>
      </c>
      <c r="W799">
        <v>95850</v>
      </c>
      <c r="X799">
        <v>7497059.9999999972</v>
      </c>
      <c r="Y799">
        <v>7592909.9999999972</v>
      </c>
    </row>
    <row r="800" spans="1:25" x14ac:dyDescent="0.25">
      <c r="A800">
        <v>2</v>
      </c>
      <c r="B800" t="s">
        <v>2174</v>
      </c>
      <c r="C800" t="s">
        <v>32</v>
      </c>
      <c r="D800" t="s">
        <v>1165</v>
      </c>
      <c r="E800">
        <v>172961</v>
      </c>
      <c r="F800" t="s">
        <v>1166</v>
      </c>
      <c r="G800" t="s">
        <v>1167</v>
      </c>
      <c r="H800" t="s">
        <v>1168</v>
      </c>
      <c r="I800" t="s">
        <v>1169</v>
      </c>
      <c r="L800" t="b">
        <v>1</v>
      </c>
      <c r="M800" t="s">
        <v>31</v>
      </c>
      <c r="N800" t="s">
        <v>32</v>
      </c>
      <c r="P800" t="s">
        <v>579</v>
      </c>
      <c r="Q800">
        <v>1</v>
      </c>
      <c r="R800">
        <v>3</v>
      </c>
      <c r="S800">
        <v>97.167583333300001</v>
      </c>
      <c r="T800">
        <v>15488000</v>
      </c>
      <c r="U800">
        <v>15488000</v>
      </c>
      <c r="V800">
        <v>1</v>
      </c>
      <c r="W800">
        <v>296853.33</v>
      </c>
      <c r="X800">
        <v>15049315.310000001</v>
      </c>
      <c r="Y800">
        <v>15346168.640000001</v>
      </c>
    </row>
    <row r="801" spans="1:25" x14ac:dyDescent="0.25">
      <c r="A801">
        <v>2</v>
      </c>
      <c r="B801" t="s">
        <v>2174</v>
      </c>
      <c r="C801" t="s">
        <v>32</v>
      </c>
      <c r="D801" t="s">
        <v>1110</v>
      </c>
      <c r="E801">
        <v>86445</v>
      </c>
      <c r="F801" t="s">
        <v>1111</v>
      </c>
      <c r="G801" t="s">
        <v>1112</v>
      </c>
      <c r="H801" t="s">
        <v>43</v>
      </c>
      <c r="I801" t="s">
        <v>1112</v>
      </c>
      <c r="L801" t="b">
        <v>0</v>
      </c>
      <c r="M801" t="s">
        <v>44</v>
      </c>
      <c r="N801" t="s">
        <v>32</v>
      </c>
      <c r="P801" t="s">
        <v>579</v>
      </c>
      <c r="Q801">
        <v>1</v>
      </c>
      <c r="R801">
        <v>3</v>
      </c>
      <c r="S801">
        <v>98</v>
      </c>
      <c r="T801">
        <v>13649562</v>
      </c>
      <c r="U801">
        <v>13649562</v>
      </c>
      <c r="V801">
        <v>1</v>
      </c>
      <c r="W801">
        <v>68247.839999999997</v>
      </c>
      <c r="X801">
        <v>13376570.76</v>
      </c>
      <c r="Y801">
        <v>13444818.6</v>
      </c>
    </row>
    <row r="802" spans="1:25" x14ac:dyDescent="0.25">
      <c r="A802">
        <v>2</v>
      </c>
      <c r="B802" t="s">
        <v>2174</v>
      </c>
      <c r="C802" t="s">
        <v>32</v>
      </c>
      <c r="D802" t="s">
        <v>1113</v>
      </c>
      <c r="E802">
        <v>884</v>
      </c>
      <c r="F802" t="s">
        <v>1114</v>
      </c>
      <c r="G802" t="s">
        <v>1115</v>
      </c>
      <c r="H802" t="s">
        <v>43</v>
      </c>
      <c r="I802" t="s">
        <v>1115</v>
      </c>
      <c r="L802" t="b">
        <v>0</v>
      </c>
      <c r="M802" t="s">
        <v>44</v>
      </c>
      <c r="N802" t="s">
        <v>32</v>
      </c>
      <c r="P802" t="s">
        <v>579</v>
      </c>
      <c r="Q802">
        <v>1</v>
      </c>
      <c r="R802">
        <v>3</v>
      </c>
      <c r="S802">
        <v>70.634</v>
      </c>
      <c r="T802">
        <v>8956407</v>
      </c>
      <c r="U802">
        <v>8956407</v>
      </c>
      <c r="V802">
        <v>1</v>
      </c>
      <c r="W802">
        <v>32635.67</v>
      </c>
      <c r="X802">
        <v>6326268.5199999996</v>
      </c>
      <c r="Y802">
        <v>6358904.1899999985</v>
      </c>
    </row>
    <row r="803" spans="1:25" x14ac:dyDescent="0.25">
      <c r="A803">
        <v>2</v>
      </c>
      <c r="B803" t="s">
        <v>2174</v>
      </c>
      <c r="C803" t="s">
        <v>32</v>
      </c>
      <c r="D803" t="s">
        <v>1116</v>
      </c>
      <c r="E803">
        <v>1628</v>
      </c>
      <c r="F803" t="s">
        <v>1117</v>
      </c>
      <c r="G803" t="s">
        <v>1118</v>
      </c>
      <c r="H803" t="s">
        <v>43</v>
      </c>
      <c r="I803" t="s">
        <v>1118</v>
      </c>
      <c r="L803" t="b">
        <v>0</v>
      </c>
      <c r="M803" t="s">
        <v>44</v>
      </c>
      <c r="N803" t="s">
        <v>32</v>
      </c>
      <c r="P803" t="s">
        <v>579</v>
      </c>
      <c r="Q803">
        <v>1</v>
      </c>
      <c r="R803">
        <v>3</v>
      </c>
      <c r="S803">
        <v>63.08</v>
      </c>
      <c r="T803">
        <v>5524318</v>
      </c>
      <c r="U803">
        <v>5524318</v>
      </c>
      <c r="V803">
        <v>1</v>
      </c>
      <c r="W803">
        <v>19335.11</v>
      </c>
      <c r="X803">
        <v>3484739.79</v>
      </c>
      <c r="Y803">
        <v>3504074.9</v>
      </c>
    </row>
    <row r="804" spans="1:25" x14ac:dyDescent="0.25">
      <c r="A804">
        <v>2</v>
      </c>
      <c r="B804" t="s">
        <v>2174</v>
      </c>
      <c r="C804" t="s">
        <v>32</v>
      </c>
      <c r="D804" t="s">
        <v>1250</v>
      </c>
      <c r="E804">
        <v>166141</v>
      </c>
      <c r="F804" t="s">
        <v>1251</v>
      </c>
      <c r="G804" t="s">
        <v>1252</v>
      </c>
      <c r="H804" t="s">
        <v>1253</v>
      </c>
      <c r="I804" t="s">
        <v>1252</v>
      </c>
      <c r="L804" t="b">
        <v>0</v>
      </c>
      <c r="M804" t="s">
        <v>31</v>
      </c>
      <c r="N804" t="s">
        <v>32</v>
      </c>
      <c r="P804" t="s">
        <v>579</v>
      </c>
      <c r="Q804">
        <v>1</v>
      </c>
      <c r="R804">
        <v>3</v>
      </c>
      <c r="S804">
        <v>96.766999999999996</v>
      </c>
      <c r="T804">
        <v>16300000</v>
      </c>
      <c r="U804">
        <v>16300000</v>
      </c>
      <c r="V804">
        <v>1</v>
      </c>
      <c r="W804">
        <v>221861.11</v>
      </c>
      <c r="X804">
        <v>15773021</v>
      </c>
      <c r="Y804">
        <v>15994882.109999999</v>
      </c>
    </row>
    <row r="805" spans="1:25" x14ac:dyDescent="0.25">
      <c r="A805">
        <v>2</v>
      </c>
      <c r="B805" t="s">
        <v>2174</v>
      </c>
      <c r="C805" t="s">
        <v>32</v>
      </c>
      <c r="D805" t="s">
        <v>1266</v>
      </c>
      <c r="E805">
        <v>158667</v>
      </c>
      <c r="F805" t="s">
        <v>1267</v>
      </c>
      <c r="G805" t="s">
        <v>1268</v>
      </c>
      <c r="H805" t="s">
        <v>1263</v>
      </c>
      <c r="I805" t="s">
        <v>1269</v>
      </c>
      <c r="J805" t="s">
        <v>1267</v>
      </c>
      <c r="K805" t="s">
        <v>1270</v>
      </c>
      <c r="L805" t="b">
        <v>1</v>
      </c>
      <c r="M805" t="s">
        <v>112</v>
      </c>
      <c r="N805" t="s">
        <v>32</v>
      </c>
      <c r="P805" t="s">
        <v>579</v>
      </c>
      <c r="Q805">
        <v>1</v>
      </c>
      <c r="R805">
        <v>3</v>
      </c>
      <c r="S805">
        <v>102.1875</v>
      </c>
      <c r="T805">
        <v>10000000</v>
      </c>
      <c r="U805">
        <v>10000000</v>
      </c>
      <c r="V805">
        <v>1</v>
      </c>
      <c r="W805">
        <v>157083.32999999999</v>
      </c>
      <c r="X805">
        <v>10218750</v>
      </c>
      <c r="Y805">
        <v>10375833.33</v>
      </c>
    </row>
    <row r="806" spans="1:25" x14ac:dyDescent="0.25">
      <c r="A806">
        <v>2</v>
      </c>
      <c r="B806" t="s">
        <v>2174</v>
      </c>
      <c r="C806" t="s">
        <v>32</v>
      </c>
      <c r="D806" t="s">
        <v>2198</v>
      </c>
      <c r="E806">
        <v>166675</v>
      </c>
      <c r="F806" t="s">
        <v>100</v>
      </c>
      <c r="G806" t="s">
        <v>2199</v>
      </c>
      <c r="H806" t="s">
        <v>93</v>
      </c>
      <c r="I806" t="s">
        <v>99</v>
      </c>
      <c r="J806" t="s">
        <v>97</v>
      </c>
      <c r="K806" t="s">
        <v>97</v>
      </c>
      <c r="L806" t="b">
        <v>1</v>
      </c>
      <c r="M806" t="s">
        <v>50</v>
      </c>
      <c r="N806" t="s">
        <v>32</v>
      </c>
      <c r="P806" t="s">
        <v>579</v>
      </c>
      <c r="Q806">
        <v>1</v>
      </c>
      <c r="R806">
        <v>3</v>
      </c>
      <c r="S806">
        <v>103.34399999999999</v>
      </c>
      <c r="T806">
        <v>7928152</v>
      </c>
      <c r="U806">
        <v>7928152</v>
      </c>
      <c r="V806">
        <v>1</v>
      </c>
      <c r="W806">
        <v>295543.89</v>
      </c>
      <c r="X806">
        <v>8193269.4100000001</v>
      </c>
      <c r="Y806">
        <v>8488813.3000000007</v>
      </c>
    </row>
    <row r="807" spans="1:25" x14ac:dyDescent="0.25">
      <c r="A807">
        <v>2</v>
      </c>
      <c r="B807" t="s">
        <v>2174</v>
      </c>
      <c r="C807" t="s">
        <v>32</v>
      </c>
      <c r="D807" t="s">
        <v>457</v>
      </c>
      <c r="E807">
        <v>166886</v>
      </c>
      <c r="F807" t="s">
        <v>458</v>
      </c>
      <c r="G807" t="s">
        <v>459</v>
      </c>
      <c r="H807" t="s">
        <v>456</v>
      </c>
      <c r="I807" t="s">
        <v>459</v>
      </c>
      <c r="L807" t="b">
        <v>0</v>
      </c>
      <c r="M807" t="s">
        <v>61</v>
      </c>
      <c r="N807" t="s">
        <v>32</v>
      </c>
      <c r="P807" t="s">
        <v>579</v>
      </c>
      <c r="Q807">
        <v>1</v>
      </c>
      <c r="R807">
        <v>3</v>
      </c>
      <c r="S807">
        <v>100.84</v>
      </c>
      <c r="T807">
        <v>15650444</v>
      </c>
      <c r="U807">
        <v>15650444</v>
      </c>
      <c r="V807">
        <v>1</v>
      </c>
      <c r="W807">
        <v>198238.96</v>
      </c>
      <c r="X807">
        <v>15781907.74</v>
      </c>
      <c r="Y807">
        <v>15980146.699999999</v>
      </c>
    </row>
    <row r="808" spans="1:25" x14ac:dyDescent="0.25">
      <c r="A808">
        <v>59</v>
      </c>
      <c r="B808" t="s">
        <v>2200</v>
      </c>
      <c r="C808" t="s">
        <v>32</v>
      </c>
      <c r="D808" t="s">
        <v>242</v>
      </c>
      <c r="E808">
        <v>2054</v>
      </c>
      <c r="F808" t="s">
        <v>243</v>
      </c>
      <c r="G808" t="s">
        <v>244</v>
      </c>
      <c r="H808" t="s">
        <v>245</v>
      </c>
      <c r="I808" t="s">
        <v>246</v>
      </c>
      <c r="L808" t="b">
        <v>1</v>
      </c>
      <c r="M808" t="s">
        <v>44</v>
      </c>
      <c r="N808" t="s">
        <v>180</v>
      </c>
      <c r="P808" t="s">
        <v>579</v>
      </c>
      <c r="Q808">
        <v>1</v>
      </c>
      <c r="R808">
        <v>3</v>
      </c>
      <c r="S808">
        <v>88.200004057000001</v>
      </c>
      <c r="T808">
        <v>113716500</v>
      </c>
      <c r="U808">
        <v>129040000</v>
      </c>
      <c r="V808">
        <v>0.88129999999999997</v>
      </c>
      <c r="W808">
        <v>10377.35</v>
      </c>
      <c r="X808">
        <v>5780728.8299999991</v>
      </c>
      <c r="Y808">
        <v>5791106.1799999988</v>
      </c>
    </row>
    <row r="809" spans="1:25" x14ac:dyDescent="0.25">
      <c r="A809">
        <v>59</v>
      </c>
      <c r="B809" t="s">
        <v>2200</v>
      </c>
      <c r="C809" t="s">
        <v>32</v>
      </c>
      <c r="D809" t="s">
        <v>2201</v>
      </c>
      <c r="E809">
        <v>152596</v>
      </c>
      <c r="F809" t="s">
        <v>726</v>
      </c>
      <c r="G809" t="s">
        <v>2202</v>
      </c>
      <c r="H809" t="s">
        <v>724</v>
      </c>
      <c r="I809" t="s">
        <v>725</v>
      </c>
      <c r="J809" t="s">
        <v>722</v>
      </c>
      <c r="K809" t="s">
        <v>722</v>
      </c>
      <c r="L809" t="b">
        <v>1</v>
      </c>
      <c r="M809" t="s">
        <v>81</v>
      </c>
      <c r="N809" t="s">
        <v>32</v>
      </c>
      <c r="P809" t="s">
        <v>579</v>
      </c>
      <c r="Q809">
        <v>1</v>
      </c>
      <c r="R809">
        <v>3</v>
      </c>
      <c r="S809">
        <v>98.257000000000005</v>
      </c>
      <c r="T809">
        <v>2187378</v>
      </c>
      <c r="U809">
        <v>2187378</v>
      </c>
      <c r="V809">
        <v>1</v>
      </c>
      <c r="W809">
        <v>26370.05</v>
      </c>
      <c r="X809">
        <v>2149252</v>
      </c>
      <c r="Y809">
        <v>2175622.0499999998</v>
      </c>
    </row>
    <row r="810" spans="1:25" x14ac:dyDescent="0.25">
      <c r="A810">
        <v>59</v>
      </c>
      <c r="B810" t="s">
        <v>2200</v>
      </c>
      <c r="C810" t="s">
        <v>32</v>
      </c>
      <c r="D810" t="s">
        <v>721</v>
      </c>
      <c r="E810">
        <v>151394</v>
      </c>
      <c r="F810" t="s">
        <v>722</v>
      </c>
      <c r="G810" t="s">
        <v>723</v>
      </c>
      <c r="H810" t="s">
        <v>724</v>
      </c>
      <c r="I810" t="s">
        <v>725</v>
      </c>
      <c r="J810" t="s">
        <v>722</v>
      </c>
      <c r="K810" t="s">
        <v>726</v>
      </c>
      <c r="L810" t="b">
        <v>1</v>
      </c>
      <c r="M810" t="s">
        <v>81</v>
      </c>
      <c r="N810" t="s">
        <v>32</v>
      </c>
      <c r="P810" t="s">
        <v>579</v>
      </c>
      <c r="Q810">
        <v>1</v>
      </c>
      <c r="R810">
        <v>3</v>
      </c>
      <c r="S810">
        <v>98.257000000000005</v>
      </c>
      <c r="T810">
        <v>53535560</v>
      </c>
      <c r="U810">
        <v>53535560</v>
      </c>
      <c r="V810">
        <v>1</v>
      </c>
      <c r="W810">
        <v>666220.2799999998</v>
      </c>
      <c r="X810">
        <v>52602435.200000003</v>
      </c>
      <c r="Y810">
        <v>53268655.479999997</v>
      </c>
    </row>
    <row r="811" spans="1:25" x14ac:dyDescent="0.25">
      <c r="A811">
        <v>59</v>
      </c>
      <c r="B811" t="s">
        <v>2200</v>
      </c>
      <c r="C811" t="s">
        <v>32</v>
      </c>
      <c r="D811" t="s">
        <v>727</v>
      </c>
      <c r="E811">
        <v>440</v>
      </c>
      <c r="F811" t="s">
        <v>728</v>
      </c>
      <c r="G811" t="s">
        <v>729</v>
      </c>
      <c r="H811" t="s">
        <v>730</v>
      </c>
      <c r="I811" t="s">
        <v>731</v>
      </c>
      <c r="J811" t="s">
        <v>728</v>
      </c>
      <c r="K811" t="s">
        <v>732</v>
      </c>
      <c r="L811" t="b">
        <v>1</v>
      </c>
      <c r="M811" t="s">
        <v>39</v>
      </c>
      <c r="N811" t="s">
        <v>32</v>
      </c>
      <c r="P811" t="s">
        <v>579</v>
      </c>
      <c r="Q811">
        <v>1</v>
      </c>
      <c r="R811">
        <v>3</v>
      </c>
      <c r="S811">
        <v>100</v>
      </c>
      <c r="T811">
        <v>1036232.5159999999</v>
      </c>
      <c r="U811">
        <v>1800000</v>
      </c>
      <c r="V811">
        <v>0.57569999999999999</v>
      </c>
      <c r="W811">
        <v>12269.28</v>
      </c>
      <c r="X811">
        <v>1036232.51</v>
      </c>
      <c r="Y811">
        <v>1048501.79</v>
      </c>
    </row>
    <row r="812" spans="1:25" x14ac:dyDescent="0.25">
      <c r="A812">
        <v>59</v>
      </c>
      <c r="B812" t="s">
        <v>2200</v>
      </c>
      <c r="C812" t="s">
        <v>32</v>
      </c>
      <c r="D812" t="s">
        <v>733</v>
      </c>
      <c r="E812">
        <v>3662</v>
      </c>
      <c r="F812" t="s">
        <v>732</v>
      </c>
      <c r="G812" t="s">
        <v>734</v>
      </c>
      <c r="H812" t="s">
        <v>730</v>
      </c>
      <c r="I812" t="s">
        <v>731</v>
      </c>
      <c r="J812" t="s">
        <v>728</v>
      </c>
      <c r="K812" t="s">
        <v>728</v>
      </c>
      <c r="L812" t="b">
        <v>1</v>
      </c>
      <c r="M812" t="s">
        <v>39</v>
      </c>
      <c r="N812" t="s">
        <v>32</v>
      </c>
      <c r="P812" t="s">
        <v>579</v>
      </c>
      <c r="Q812">
        <v>1</v>
      </c>
      <c r="R812">
        <v>3</v>
      </c>
      <c r="S812">
        <v>100</v>
      </c>
      <c r="T812">
        <v>141116</v>
      </c>
      <c r="U812">
        <v>221902</v>
      </c>
      <c r="V812">
        <v>0.63590000000000002</v>
      </c>
      <c r="W812">
        <v>1670.85</v>
      </c>
      <c r="X812">
        <v>141116</v>
      </c>
      <c r="Y812">
        <v>142786.85</v>
      </c>
    </row>
    <row r="813" spans="1:25" x14ac:dyDescent="0.25">
      <c r="A813">
        <v>59</v>
      </c>
      <c r="B813" t="s">
        <v>2200</v>
      </c>
      <c r="C813" t="s">
        <v>32</v>
      </c>
      <c r="D813" t="s">
        <v>2203</v>
      </c>
      <c r="E813">
        <v>35667</v>
      </c>
      <c r="F813" t="s">
        <v>739</v>
      </c>
      <c r="G813" t="s">
        <v>2204</v>
      </c>
      <c r="H813" t="s">
        <v>730</v>
      </c>
      <c r="I813" t="s">
        <v>738</v>
      </c>
      <c r="J813" t="s">
        <v>736</v>
      </c>
      <c r="K813" t="s">
        <v>736</v>
      </c>
      <c r="L813" t="b">
        <v>1</v>
      </c>
      <c r="M813" t="s">
        <v>39</v>
      </c>
      <c r="N813" t="s">
        <v>32</v>
      </c>
      <c r="P813" t="s">
        <v>579</v>
      </c>
      <c r="Q813">
        <v>1</v>
      </c>
      <c r="R813">
        <v>3</v>
      </c>
      <c r="S813">
        <v>100</v>
      </c>
      <c r="T813">
        <v>10634031</v>
      </c>
      <c r="U813">
        <v>11113002</v>
      </c>
      <c r="V813">
        <v>0.95689999999999997</v>
      </c>
      <c r="W813">
        <v>125909.88</v>
      </c>
      <c r="X813">
        <v>10634031</v>
      </c>
      <c r="Y813">
        <v>10759940.880000001</v>
      </c>
    </row>
    <row r="814" spans="1:25" x14ac:dyDescent="0.25">
      <c r="A814">
        <v>59</v>
      </c>
      <c r="B814" t="s">
        <v>2200</v>
      </c>
      <c r="C814" t="s">
        <v>32</v>
      </c>
      <c r="D814" t="s">
        <v>735</v>
      </c>
      <c r="E814">
        <v>35524</v>
      </c>
      <c r="F814" t="s">
        <v>736</v>
      </c>
      <c r="G814" t="s">
        <v>737</v>
      </c>
      <c r="H814" t="s">
        <v>730</v>
      </c>
      <c r="I814" t="s">
        <v>738</v>
      </c>
      <c r="J814" t="s">
        <v>736</v>
      </c>
      <c r="K814" t="s">
        <v>739</v>
      </c>
      <c r="L814" t="b">
        <v>1</v>
      </c>
      <c r="M814" t="s">
        <v>39</v>
      </c>
      <c r="N814" t="s">
        <v>32</v>
      </c>
      <c r="P814" t="s">
        <v>579</v>
      </c>
      <c r="Q814">
        <v>1</v>
      </c>
      <c r="R814">
        <v>3</v>
      </c>
      <c r="S814">
        <v>100</v>
      </c>
      <c r="T814">
        <v>84828706</v>
      </c>
      <c r="U814">
        <v>88649499</v>
      </c>
      <c r="V814">
        <v>0.95689999999999997</v>
      </c>
      <c r="W814">
        <v>1004395.44</v>
      </c>
      <c r="X814">
        <v>84828706</v>
      </c>
      <c r="Y814">
        <v>85833101.439999998</v>
      </c>
    </row>
    <row r="815" spans="1:25" x14ac:dyDescent="0.25">
      <c r="A815">
        <v>59</v>
      </c>
      <c r="B815" t="s">
        <v>2200</v>
      </c>
      <c r="C815" t="s">
        <v>32</v>
      </c>
      <c r="D815" t="s">
        <v>746</v>
      </c>
      <c r="E815">
        <v>36160</v>
      </c>
      <c r="F815" t="s">
        <v>745</v>
      </c>
      <c r="G815" t="s">
        <v>744</v>
      </c>
      <c r="H815" t="s">
        <v>743</v>
      </c>
      <c r="I815" t="s">
        <v>744</v>
      </c>
      <c r="J815" t="s">
        <v>741</v>
      </c>
      <c r="K815" t="s">
        <v>741</v>
      </c>
      <c r="L815" t="b">
        <v>0</v>
      </c>
      <c r="M815" t="s">
        <v>31</v>
      </c>
      <c r="N815" t="s">
        <v>32</v>
      </c>
      <c r="P815" t="s">
        <v>579</v>
      </c>
      <c r="Q815">
        <v>1</v>
      </c>
      <c r="R815">
        <v>3</v>
      </c>
      <c r="S815">
        <v>102.7582</v>
      </c>
      <c r="T815">
        <v>18294648</v>
      </c>
      <c r="U815">
        <v>22834000</v>
      </c>
      <c r="V815">
        <v>0.80120000000000002</v>
      </c>
      <c r="W815">
        <v>68604.939999999988</v>
      </c>
      <c r="X815">
        <v>18799250.969999999</v>
      </c>
      <c r="Y815">
        <v>18867855.91</v>
      </c>
    </row>
    <row r="816" spans="1:25" x14ac:dyDescent="0.25">
      <c r="A816">
        <v>59</v>
      </c>
      <c r="B816" t="s">
        <v>2200</v>
      </c>
      <c r="C816" t="s">
        <v>32</v>
      </c>
      <c r="D816" t="s">
        <v>747</v>
      </c>
      <c r="E816">
        <v>106547</v>
      </c>
      <c r="F816" t="s">
        <v>748</v>
      </c>
      <c r="G816" t="s">
        <v>749</v>
      </c>
      <c r="H816" t="s">
        <v>750</v>
      </c>
      <c r="I816" t="s">
        <v>751</v>
      </c>
      <c r="L816" t="b">
        <v>1</v>
      </c>
      <c r="M816" t="s">
        <v>31</v>
      </c>
      <c r="N816" t="s">
        <v>32</v>
      </c>
      <c r="P816" t="s">
        <v>579</v>
      </c>
      <c r="Q816">
        <v>1</v>
      </c>
      <c r="R816">
        <v>3</v>
      </c>
      <c r="S816">
        <v>97.332144999999997</v>
      </c>
      <c r="T816">
        <v>11950000</v>
      </c>
      <c r="U816">
        <v>11950000</v>
      </c>
      <c r="V816">
        <v>1</v>
      </c>
      <c r="W816">
        <v>32862.5</v>
      </c>
      <c r="X816">
        <v>11631191.33</v>
      </c>
      <c r="Y816">
        <v>11664053.83</v>
      </c>
    </row>
    <row r="817" spans="1:25" x14ac:dyDescent="0.25">
      <c r="A817">
        <v>59</v>
      </c>
      <c r="B817" t="s">
        <v>2200</v>
      </c>
      <c r="C817" t="s">
        <v>32</v>
      </c>
      <c r="D817" t="s">
        <v>752</v>
      </c>
      <c r="E817">
        <v>137445</v>
      </c>
      <c r="F817" t="s">
        <v>753</v>
      </c>
      <c r="G817" t="s">
        <v>754</v>
      </c>
      <c r="H817" t="s">
        <v>755</v>
      </c>
      <c r="I817" t="s">
        <v>756</v>
      </c>
      <c r="J817" t="s">
        <v>753</v>
      </c>
      <c r="K817" t="s">
        <v>757</v>
      </c>
      <c r="L817" t="b">
        <v>1</v>
      </c>
      <c r="M817" t="s">
        <v>681</v>
      </c>
      <c r="N817" t="s">
        <v>32</v>
      </c>
      <c r="P817" t="s">
        <v>579</v>
      </c>
      <c r="Q817">
        <v>1</v>
      </c>
      <c r="R817">
        <v>3</v>
      </c>
      <c r="S817">
        <v>102.574</v>
      </c>
      <c r="T817">
        <v>6770000</v>
      </c>
      <c r="U817">
        <v>6770000</v>
      </c>
      <c r="V817">
        <v>1</v>
      </c>
      <c r="W817">
        <v>40808.050000000003</v>
      </c>
      <c r="X817">
        <v>6944259.7999999998</v>
      </c>
      <c r="Y817">
        <v>6985067.8499999996</v>
      </c>
    </row>
    <row r="818" spans="1:25" x14ac:dyDescent="0.25">
      <c r="A818">
        <v>59</v>
      </c>
      <c r="B818" t="s">
        <v>2200</v>
      </c>
      <c r="C818" t="s">
        <v>32</v>
      </c>
      <c r="D818" t="s">
        <v>758</v>
      </c>
      <c r="E818">
        <v>444</v>
      </c>
      <c r="F818" t="s">
        <v>759</v>
      </c>
      <c r="G818" t="s">
        <v>760</v>
      </c>
      <c r="H818" t="s">
        <v>761</v>
      </c>
      <c r="I818" t="s">
        <v>762</v>
      </c>
      <c r="J818" t="s">
        <v>759</v>
      </c>
      <c r="K818" t="s">
        <v>763</v>
      </c>
      <c r="L818" t="b">
        <v>1</v>
      </c>
      <c r="M818" t="s">
        <v>112</v>
      </c>
      <c r="N818" t="s">
        <v>32</v>
      </c>
      <c r="P818" t="s">
        <v>579</v>
      </c>
      <c r="Q818">
        <v>1</v>
      </c>
      <c r="R818">
        <v>3</v>
      </c>
      <c r="S818">
        <v>100</v>
      </c>
      <c r="T818">
        <v>1111406.25</v>
      </c>
      <c r="U818">
        <v>11855000</v>
      </c>
      <c r="V818">
        <v>9.3799999999999994E-2</v>
      </c>
      <c r="W818">
        <v>19102.29</v>
      </c>
      <c r="X818">
        <v>1111406.25</v>
      </c>
      <c r="Y818">
        <v>1130508.54</v>
      </c>
    </row>
    <row r="819" spans="1:25" x14ac:dyDescent="0.25">
      <c r="A819">
        <v>59</v>
      </c>
      <c r="B819" t="s">
        <v>2200</v>
      </c>
      <c r="C819" t="s">
        <v>32</v>
      </c>
      <c r="D819" t="s">
        <v>764</v>
      </c>
      <c r="E819">
        <v>3902</v>
      </c>
      <c r="F819" t="s">
        <v>765</v>
      </c>
      <c r="G819" t="s">
        <v>766</v>
      </c>
      <c r="H819" t="s">
        <v>761</v>
      </c>
      <c r="I819" t="s">
        <v>762</v>
      </c>
      <c r="J819" t="s">
        <v>759</v>
      </c>
      <c r="K819" t="s">
        <v>767</v>
      </c>
      <c r="L819" t="b">
        <v>1</v>
      </c>
      <c r="M819" t="s">
        <v>112</v>
      </c>
      <c r="N819" t="s">
        <v>32</v>
      </c>
      <c r="P819" t="s">
        <v>579</v>
      </c>
      <c r="Q819">
        <v>1</v>
      </c>
      <c r="R819">
        <v>3</v>
      </c>
      <c r="S819">
        <v>100</v>
      </c>
      <c r="T819">
        <v>958060</v>
      </c>
      <c r="U819">
        <v>7668706</v>
      </c>
      <c r="V819">
        <v>0.1249</v>
      </c>
      <c r="W819">
        <v>16466.650000000001</v>
      </c>
      <c r="X819">
        <v>958059.99999999988</v>
      </c>
      <c r="Y819">
        <v>974526.64999999991</v>
      </c>
    </row>
    <row r="820" spans="1:25" x14ac:dyDescent="0.25">
      <c r="A820">
        <v>59</v>
      </c>
      <c r="B820" t="s">
        <v>2200</v>
      </c>
      <c r="C820" t="s">
        <v>32</v>
      </c>
      <c r="D820" t="s">
        <v>768</v>
      </c>
      <c r="E820">
        <v>35525</v>
      </c>
      <c r="F820" t="s">
        <v>769</v>
      </c>
      <c r="G820" t="s">
        <v>770</v>
      </c>
      <c r="H820" t="s">
        <v>761</v>
      </c>
      <c r="I820" t="s">
        <v>771</v>
      </c>
      <c r="L820" t="b">
        <v>1</v>
      </c>
      <c r="M820" t="s">
        <v>112</v>
      </c>
      <c r="N820" t="s">
        <v>32</v>
      </c>
      <c r="P820" t="s">
        <v>579</v>
      </c>
      <c r="Q820">
        <v>1</v>
      </c>
      <c r="R820">
        <v>3</v>
      </c>
      <c r="S820">
        <v>105.494085</v>
      </c>
      <c r="T820">
        <v>13735984</v>
      </c>
      <c r="U820">
        <v>13949254</v>
      </c>
      <c r="V820">
        <v>0.98470000000000002</v>
      </c>
      <c r="W820">
        <v>291889.67</v>
      </c>
      <c r="X820">
        <v>14490650.640000001</v>
      </c>
      <c r="Y820">
        <v>14782540.310000001</v>
      </c>
    </row>
    <row r="821" spans="1:25" x14ac:dyDescent="0.25">
      <c r="A821">
        <v>59</v>
      </c>
      <c r="B821" t="s">
        <v>2200</v>
      </c>
      <c r="C821" t="s">
        <v>32</v>
      </c>
      <c r="D821" t="s">
        <v>795</v>
      </c>
      <c r="E821">
        <v>35456</v>
      </c>
      <c r="F821" t="s">
        <v>796</v>
      </c>
      <c r="G821" t="s">
        <v>797</v>
      </c>
      <c r="H821" t="s">
        <v>761</v>
      </c>
      <c r="I821" t="s">
        <v>797</v>
      </c>
      <c r="L821" t="b">
        <v>0</v>
      </c>
      <c r="M821" t="s">
        <v>112</v>
      </c>
      <c r="N821" t="s">
        <v>32</v>
      </c>
      <c r="P821" t="s">
        <v>579</v>
      </c>
      <c r="Q821">
        <v>1</v>
      </c>
      <c r="R821">
        <v>3</v>
      </c>
      <c r="S821">
        <v>100.43728900000001</v>
      </c>
      <c r="T821">
        <v>5392716</v>
      </c>
      <c r="U821">
        <v>7351026</v>
      </c>
      <c r="V821">
        <v>0.73360000000000003</v>
      </c>
      <c r="W821">
        <v>128077.01</v>
      </c>
      <c r="X821">
        <v>5416297.75</v>
      </c>
      <c r="Y821">
        <v>5544374.7599999998</v>
      </c>
    </row>
    <row r="822" spans="1:25" x14ac:dyDescent="0.25">
      <c r="A822">
        <v>59</v>
      </c>
      <c r="B822" t="s">
        <v>2200</v>
      </c>
      <c r="C822" t="s">
        <v>32</v>
      </c>
      <c r="D822" t="s">
        <v>798</v>
      </c>
      <c r="E822">
        <v>152069</v>
      </c>
      <c r="F822" t="s">
        <v>799</v>
      </c>
      <c r="G822" t="s">
        <v>800</v>
      </c>
      <c r="H822" t="s">
        <v>362</v>
      </c>
      <c r="I822" t="s">
        <v>801</v>
      </c>
      <c r="J822" t="s">
        <v>799</v>
      </c>
      <c r="K822" t="s">
        <v>802</v>
      </c>
      <c r="L822" t="b">
        <v>1</v>
      </c>
      <c r="M822" t="s">
        <v>44</v>
      </c>
      <c r="N822" t="s">
        <v>32</v>
      </c>
      <c r="P822" t="s">
        <v>579</v>
      </c>
      <c r="Q822">
        <v>1</v>
      </c>
      <c r="R822">
        <v>3</v>
      </c>
      <c r="S822">
        <v>100.898</v>
      </c>
      <c r="T822">
        <v>34300000</v>
      </c>
      <c r="U822">
        <v>34300000</v>
      </c>
      <c r="V822">
        <v>1</v>
      </c>
      <c r="W822">
        <v>597391.66999999993</v>
      </c>
      <c r="X822">
        <v>34608014</v>
      </c>
      <c r="Y822">
        <v>35205405.670000002</v>
      </c>
    </row>
    <row r="823" spans="1:25" x14ac:dyDescent="0.25">
      <c r="A823">
        <v>59</v>
      </c>
      <c r="B823" t="s">
        <v>2200</v>
      </c>
      <c r="C823" t="s">
        <v>32</v>
      </c>
      <c r="D823" t="s">
        <v>359</v>
      </c>
      <c r="E823">
        <v>152071</v>
      </c>
      <c r="F823" t="s">
        <v>360</v>
      </c>
      <c r="G823" t="s">
        <v>361</v>
      </c>
      <c r="H823" t="s">
        <v>362</v>
      </c>
      <c r="I823" t="s">
        <v>363</v>
      </c>
      <c r="J823" t="s">
        <v>360</v>
      </c>
      <c r="K823" t="s">
        <v>364</v>
      </c>
      <c r="L823" t="b">
        <v>1</v>
      </c>
      <c r="M823" t="s">
        <v>44</v>
      </c>
      <c r="N823" t="s">
        <v>32</v>
      </c>
      <c r="P823" t="s">
        <v>579</v>
      </c>
      <c r="Q823">
        <v>1</v>
      </c>
      <c r="R823">
        <v>3</v>
      </c>
      <c r="S823">
        <v>101</v>
      </c>
      <c r="T823">
        <v>28200000</v>
      </c>
      <c r="U823">
        <v>28200000</v>
      </c>
      <c r="V823">
        <v>1</v>
      </c>
      <c r="W823">
        <v>513475</v>
      </c>
      <c r="X823">
        <v>28482000</v>
      </c>
      <c r="Y823">
        <v>28995475</v>
      </c>
    </row>
    <row r="824" spans="1:25" x14ac:dyDescent="0.25">
      <c r="A824">
        <v>59</v>
      </c>
      <c r="B824" t="s">
        <v>2200</v>
      </c>
      <c r="C824" t="s">
        <v>32</v>
      </c>
      <c r="D824" t="s">
        <v>803</v>
      </c>
      <c r="E824">
        <v>31626</v>
      </c>
      <c r="F824" t="s">
        <v>804</v>
      </c>
      <c r="G824" t="s">
        <v>805</v>
      </c>
      <c r="H824" t="s">
        <v>806</v>
      </c>
      <c r="I824" t="s">
        <v>807</v>
      </c>
      <c r="L824" t="b">
        <v>1</v>
      </c>
      <c r="M824" t="s">
        <v>681</v>
      </c>
      <c r="N824" t="s">
        <v>32</v>
      </c>
      <c r="P824" t="s">
        <v>579</v>
      </c>
      <c r="Q824">
        <v>1</v>
      </c>
      <c r="R824">
        <v>3</v>
      </c>
      <c r="S824">
        <v>99.371011999999993</v>
      </c>
      <c r="T824">
        <v>7843000</v>
      </c>
      <c r="U824">
        <v>7843000</v>
      </c>
      <c r="V824">
        <v>1</v>
      </c>
      <c r="W824">
        <v>108037.34</v>
      </c>
      <c r="X824">
        <v>7793668.4700000016</v>
      </c>
      <c r="Y824">
        <v>7901705.8100000015</v>
      </c>
    </row>
    <row r="825" spans="1:25" x14ac:dyDescent="0.25">
      <c r="A825">
        <v>59</v>
      </c>
      <c r="B825" t="s">
        <v>2200</v>
      </c>
      <c r="C825" t="s">
        <v>32</v>
      </c>
      <c r="D825" t="s">
        <v>808</v>
      </c>
      <c r="E825">
        <v>227438</v>
      </c>
      <c r="F825" t="s">
        <v>809</v>
      </c>
      <c r="G825" t="s">
        <v>810</v>
      </c>
      <c r="H825" t="s">
        <v>806</v>
      </c>
      <c r="I825" t="s">
        <v>811</v>
      </c>
      <c r="J825" t="s">
        <v>809</v>
      </c>
      <c r="K825" t="s">
        <v>812</v>
      </c>
      <c r="L825" t="b">
        <v>1</v>
      </c>
      <c r="M825" t="s">
        <v>681</v>
      </c>
      <c r="N825" t="s">
        <v>32</v>
      </c>
      <c r="P825" t="s">
        <v>579</v>
      </c>
      <c r="Q825">
        <v>1</v>
      </c>
      <c r="R825">
        <v>3</v>
      </c>
      <c r="S825">
        <v>100.53448</v>
      </c>
      <c r="T825">
        <v>20300000</v>
      </c>
      <c r="U825">
        <v>20300000</v>
      </c>
      <c r="V825">
        <v>1</v>
      </c>
      <c r="W825">
        <v>0</v>
      </c>
      <c r="X825">
        <v>20408499.440000001</v>
      </c>
      <c r="Y825">
        <v>20408499.440000001</v>
      </c>
    </row>
    <row r="826" spans="1:25" x14ac:dyDescent="0.25">
      <c r="A826">
        <v>59</v>
      </c>
      <c r="B826" t="s">
        <v>2200</v>
      </c>
      <c r="C826" t="s">
        <v>32</v>
      </c>
      <c r="D826" t="s">
        <v>813</v>
      </c>
      <c r="E826">
        <v>116573</v>
      </c>
      <c r="F826" t="s">
        <v>814</v>
      </c>
      <c r="G826" t="s">
        <v>815</v>
      </c>
      <c r="H826" t="s">
        <v>816</v>
      </c>
      <c r="I826" t="s">
        <v>817</v>
      </c>
      <c r="L826" t="b">
        <v>1</v>
      </c>
      <c r="M826" t="s">
        <v>112</v>
      </c>
      <c r="N826" t="s">
        <v>32</v>
      </c>
      <c r="P826" t="s">
        <v>579</v>
      </c>
      <c r="Q826">
        <v>1</v>
      </c>
      <c r="R826">
        <v>3</v>
      </c>
      <c r="S826">
        <v>100.9755</v>
      </c>
      <c r="T826">
        <v>4167000</v>
      </c>
      <c r="U826">
        <v>5556000</v>
      </c>
      <c r="V826">
        <v>0.75</v>
      </c>
      <c r="W826">
        <v>169342.25</v>
      </c>
      <c r="X826">
        <v>4207649.09</v>
      </c>
      <c r="Y826">
        <v>4376991.34</v>
      </c>
    </row>
    <row r="827" spans="1:25" x14ac:dyDescent="0.25">
      <c r="A827">
        <v>59</v>
      </c>
      <c r="B827" t="s">
        <v>2200</v>
      </c>
      <c r="C827" t="s">
        <v>32</v>
      </c>
      <c r="D827" t="s">
        <v>818</v>
      </c>
      <c r="E827">
        <v>450</v>
      </c>
      <c r="F827" t="s">
        <v>819</v>
      </c>
      <c r="G827" t="s">
        <v>820</v>
      </c>
      <c r="H827" t="s">
        <v>821</v>
      </c>
      <c r="I827" t="s">
        <v>822</v>
      </c>
      <c r="L827" t="b">
        <v>1</v>
      </c>
      <c r="M827" t="s">
        <v>31</v>
      </c>
      <c r="N827" t="s">
        <v>32</v>
      </c>
      <c r="P827" t="s">
        <v>579</v>
      </c>
      <c r="Q827">
        <v>1</v>
      </c>
      <c r="R827">
        <v>3</v>
      </c>
      <c r="S827">
        <v>98.772999999999996</v>
      </c>
      <c r="T827">
        <v>2600000</v>
      </c>
      <c r="U827">
        <v>2600000</v>
      </c>
      <c r="V827">
        <v>1</v>
      </c>
      <c r="W827">
        <v>56333.34</v>
      </c>
      <c r="X827">
        <v>2568098</v>
      </c>
      <c r="Y827">
        <v>2624431.34</v>
      </c>
    </row>
    <row r="828" spans="1:25" x14ac:dyDescent="0.25">
      <c r="A828">
        <v>59</v>
      </c>
      <c r="B828" t="s">
        <v>2200</v>
      </c>
      <c r="C828" t="s">
        <v>32</v>
      </c>
      <c r="D828" t="s">
        <v>823</v>
      </c>
      <c r="E828">
        <v>31690</v>
      </c>
      <c r="F828" t="s">
        <v>824</v>
      </c>
      <c r="G828" t="s">
        <v>825</v>
      </c>
      <c r="H828" t="s">
        <v>826</v>
      </c>
      <c r="I828" t="s">
        <v>827</v>
      </c>
      <c r="L828" t="b">
        <v>1</v>
      </c>
      <c r="M828" t="s">
        <v>81</v>
      </c>
      <c r="N828" t="s">
        <v>32</v>
      </c>
      <c r="P828" t="s">
        <v>579</v>
      </c>
      <c r="Q828">
        <v>1</v>
      </c>
      <c r="R828">
        <v>3</v>
      </c>
      <c r="S828">
        <v>92.349000000000004</v>
      </c>
      <c r="T828">
        <v>6924000</v>
      </c>
      <c r="U828">
        <v>6924000</v>
      </c>
      <c r="V828">
        <v>1</v>
      </c>
      <c r="W828">
        <v>50872.17</v>
      </c>
      <c r="X828">
        <v>6394244.7599999998</v>
      </c>
      <c r="Y828">
        <v>6445116.9299999997</v>
      </c>
    </row>
    <row r="829" spans="1:25" x14ac:dyDescent="0.25">
      <c r="A829">
        <v>59</v>
      </c>
      <c r="B829" t="s">
        <v>2200</v>
      </c>
      <c r="C829" t="s">
        <v>32</v>
      </c>
      <c r="D829" t="s">
        <v>828</v>
      </c>
      <c r="E829">
        <v>452</v>
      </c>
      <c r="F829" t="s">
        <v>829</v>
      </c>
      <c r="G829" t="s">
        <v>830</v>
      </c>
      <c r="H829" t="s">
        <v>826</v>
      </c>
      <c r="I829" t="s">
        <v>831</v>
      </c>
      <c r="L829" t="b">
        <v>1</v>
      </c>
      <c r="M829" t="s">
        <v>81</v>
      </c>
      <c r="N829" t="s">
        <v>32</v>
      </c>
      <c r="P829" t="s">
        <v>579</v>
      </c>
      <c r="Q829">
        <v>1</v>
      </c>
      <c r="R829">
        <v>3</v>
      </c>
      <c r="S829">
        <v>102.3175</v>
      </c>
      <c r="T829">
        <v>15769070</v>
      </c>
      <c r="U829">
        <v>29567000</v>
      </c>
      <c r="V829">
        <v>0.5333</v>
      </c>
      <c r="W829">
        <v>151120.25</v>
      </c>
      <c r="X829">
        <v>16134518.189999999</v>
      </c>
      <c r="Y829">
        <v>16285638.439999999</v>
      </c>
    </row>
    <row r="830" spans="1:25" x14ac:dyDescent="0.25">
      <c r="A830">
        <v>59</v>
      </c>
      <c r="B830" t="s">
        <v>2200</v>
      </c>
      <c r="C830" t="s">
        <v>32</v>
      </c>
      <c r="D830" t="s">
        <v>2175</v>
      </c>
      <c r="E830">
        <v>41160</v>
      </c>
      <c r="F830" t="s">
        <v>2176</v>
      </c>
      <c r="G830" t="s">
        <v>2177</v>
      </c>
      <c r="H830" t="s">
        <v>835</v>
      </c>
      <c r="I830" t="s">
        <v>2177</v>
      </c>
      <c r="L830" t="b">
        <v>0</v>
      </c>
      <c r="M830" t="s">
        <v>50</v>
      </c>
      <c r="N830" t="s">
        <v>32</v>
      </c>
      <c r="P830" t="s">
        <v>579</v>
      </c>
      <c r="Q830">
        <v>1</v>
      </c>
      <c r="R830">
        <v>3</v>
      </c>
      <c r="S830">
        <v>57.273000000000003</v>
      </c>
      <c r="T830">
        <v>32818130</v>
      </c>
      <c r="U830">
        <v>32818130</v>
      </c>
      <c r="V830">
        <v>1</v>
      </c>
      <c r="W830">
        <v>58343.35</v>
      </c>
      <c r="X830">
        <v>18795927.59</v>
      </c>
      <c r="Y830">
        <v>18854270.940000001</v>
      </c>
    </row>
    <row r="831" spans="1:25" x14ac:dyDescent="0.25">
      <c r="A831">
        <v>59</v>
      </c>
      <c r="B831" t="s">
        <v>2200</v>
      </c>
      <c r="C831" t="s">
        <v>32</v>
      </c>
      <c r="D831" t="s">
        <v>832</v>
      </c>
      <c r="E831">
        <v>88647</v>
      </c>
      <c r="F831" t="s">
        <v>833</v>
      </c>
      <c r="G831" t="s">
        <v>834</v>
      </c>
      <c r="H831" t="s">
        <v>835</v>
      </c>
      <c r="I831" t="s">
        <v>834</v>
      </c>
      <c r="L831" t="b">
        <v>0</v>
      </c>
      <c r="M831" t="s">
        <v>50</v>
      </c>
      <c r="N831" t="s">
        <v>32</v>
      </c>
      <c r="P831" t="s">
        <v>579</v>
      </c>
      <c r="Q831">
        <v>1</v>
      </c>
      <c r="R831">
        <v>3</v>
      </c>
      <c r="S831">
        <v>8</v>
      </c>
      <c r="T831">
        <v>32860639</v>
      </c>
      <c r="U831">
        <v>32860639</v>
      </c>
      <c r="V831">
        <v>1</v>
      </c>
      <c r="W831">
        <v>193512.65</v>
      </c>
      <c r="X831">
        <v>2628851.120000002</v>
      </c>
      <c r="Y831">
        <v>2822363.7700000009</v>
      </c>
    </row>
    <row r="832" spans="1:25" x14ac:dyDescent="0.25">
      <c r="A832">
        <v>59</v>
      </c>
      <c r="B832" t="s">
        <v>2200</v>
      </c>
      <c r="C832" t="s">
        <v>32</v>
      </c>
      <c r="D832" t="s">
        <v>836</v>
      </c>
      <c r="E832">
        <v>89366</v>
      </c>
      <c r="F832" t="s">
        <v>837</v>
      </c>
      <c r="G832" t="s">
        <v>838</v>
      </c>
      <c r="H832" t="s">
        <v>835</v>
      </c>
      <c r="I832" t="s">
        <v>838</v>
      </c>
      <c r="L832" t="b">
        <v>0</v>
      </c>
      <c r="M832" t="s">
        <v>50</v>
      </c>
      <c r="N832" t="s">
        <v>32</v>
      </c>
      <c r="P832" t="s">
        <v>579</v>
      </c>
      <c r="Q832">
        <v>1</v>
      </c>
      <c r="R832">
        <v>3</v>
      </c>
      <c r="S832">
        <v>57.273000000000003</v>
      </c>
      <c r="T832">
        <v>2805698</v>
      </c>
      <c r="U832">
        <v>2805698</v>
      </c>
      <c r="V832">
        <v>1</v>
      </c>
      <c r="W832">
        <v>4987.9100000000008</v>
      </c>
      <c r="X832">
        <v>1606907.41</v>
      </c>
      <c r="Y832">
        <v>1611895.32</v>
      </c>
    </row>
    <row r="833" spans="1:25" x14ac:dyDescent="0.25">
      <c r="A833">
        <v>59</v>
      </c>
      <c r="B833" t="s">
        <v>2200</v>
      </c>
      <c r="C833" t="s">
        <v>32</v>
      </c>
      <c r="D833" t="s">
        <v>369</v>
      </c>
      <c r="E833">
        <v>160292</v>
      </c>
      <c r="F833" t="s">
        <v>370</v>
      </c>
      <c r="G833" t="s">
        <v>371</v>
      </c>
      <c r="H833" t="s">
        <v>372</v>
      </c>
      <c r="I833" t="s">
        <v>373</v>
      </c>
      <c r="J833" t="s">
        <v>370</v>
      </c>
      <c r="K833" t="s">
        <v>374</v>
      </c>
      <c r="L833" t="b">
        <v>1</v>
      </c>
      <c r="M833" t="s">
        <v>81</v>
      </c>
      <c r="N833" t="s">
        <v>32</v>
      </c>
      <c r="P833" t="s">
        <v>579</v>
      </c>
      <c r="Q833">
        <v>1</v>
      </c>
      <c r="R833">
        <v>3</v>
      </c>
      <c r="S833">
        <v>102.160719</v>
      </c>
      <c r="T833">
        <v>11800000</v>
      </c>
      <c r="U833">
        <v>11800000</v>
      </c>
      <c r="V833">
        <v>1</v>
      </c>
      <c r="W833">
        <v>459462.5</v>
      </c>
      <c r="X833">
        <v>12054964.84</v>
      </c>
      <c r="Y833">
        <v>12514427.34</v>
      </c>
    </row>
    <row r="834" spans="1:25" x14ac:dyDescent="0.25">
      <c r="A834">
        <v>59</v>
      </c>
      <c r="B834" t="s">
        <v>2200</v>
      </c>
      <c r="C834" t="s">
        <v>32</v>
      </c>
      <c r="D834" t="s">
        <v>839</v>
      </c>
      <c r="E834">
        <v>116576</v>
      </c>
      <c r="F834" t="s">
        <v>840</v>
      </c>
      <c r="G834" t="s">
        <v>841</v>
      </c>
      <c r="H834" t="s">
        <v>378</v>
      </c>
      <c r="I834" t="s">
        <v>842</v>
      </c>
      <c r="L834" t="b">
        <v>1</v>
      </c>
      <c r="M834" t="s">
        <v>61</v>
      </c>
      <c r="N834" t="s">
        <v>32</v>
      </c>
      <c r="P834" t="s">
        <v>579</v>
      </c>
      <c r="Q834">
        <v>1</v>
      </c>
      <c r="R834">
        <v>3</v>
      </c>
      <c r="S834">
        <v>105.880011</v>
      </c>
      <c r="T834">
        <v>5210400</v>
      </c>
      <c r="U834">
        <v>5210400</v>
      </c>
      <c r="V834">
        <v>1</v>
      </c>
      <c r="W834">
        <v>66577.33</v>
      </c>
      <c r="X834">
        <v>5516772.0899999999</v>
      </c>
      <c r="Y834">
        <v>5583349.4199999999</v>
      </c>
    </row>
    <row r="835" spans="1:25" x14ac:dyDescent="0.25">
      <c r="A835">
        <v>59</v>
      </c>
      <c r="B835" t="s">
        <v>2200</v>
      </c>
      <c r="C835" t="s">
        <v>32</v>
      </c>
      <c r="D835" t="s">
        <v>375</v>
      </c>
      <c r="E835">
        <v>193917</v>
      </c>
      <c r="F835" t="s">
        <v>376</v>
      </c>
      <c r="G835" t="s">
        <v>377</v>
      </c>
      <c r="H835" t="s">
        <v>378</v>
      </c>
      <c r="I835" t="s">
        <v>379</v>
      </c>
      <c r="J835" t="s">
        <v>376</v>
      </c>
      <c r="K835" t="s">
        <v>380</v>
      </c>
      <c r="L835" t="b">
        <v>1</v>
      </c>
      <c r="M835" t="s">
        <v>61</v>
      </c>
      <c r="N835" t="s">
        <v>32</v>
      </c>
      <c r="P835" t="s">
        <v>579</v>
      </c>
      <c r="Q835">
        <v>1</v>
      </c>
      <c r="R835">
        <v>3</v>
      </c>
      <c r="S835">
        <v>99.787499999999994</v>
      </c>
      <c r="T835">
        <v>19000000</v>
      </c>
      <c r="U835">
        <v>19000000</v>
      </c>
      <c r="V835">
        <v>1</v>
      </c>
      <c r="W835">
        <v>392534.72</v>
      </c>
      <c r="X835">
        <v>18959625</v>
      </c>
      <c r="Y835">
        <v>19352159.719999999</v>
      </c>
    </row>
    <row r="836" spans="1:25" x14ac:dyDescent="0.25">
      <c r="A836">
        <v>59</v>
      </c>
      <c r="B836" t="s">
        <v>2200</v>
      </c>
      <c r="C836" t="s">
        <v>32</v>
      </c>
      <c r="D836" t="s">
        <v>843</v>
      </c>
      <c r="E836">
        <v>492</v>
      </c>
      <c r="F836" t="s">
        <v>844</v>
      </c>
      <c r="G836" t="s">
        <v>845</v>
      </c>
      <c r="H836" t="s">
        <v>846</v>
      </c>
      <c r="I836" t="s">
        <v>847</v>
      </c>
      <c r="L836" t="b">
        <v>1</v>
      </c>
      <c r="M836" t="s">
        <v>848</v>
      </c>
      <c r="N836" t="s">
        <v>32</v>
      </c>
      <c r="P836" t="s">
        <v>579</v>
      </c>
      <c r="Q836">
        <v>1</v>
      </c>
      <c r="R836">
        <v>3</v>
      </c>
      <c r="S836">
        <v>99.936999999999998</v>
      </c>
      <c r="T836">
        <v>8539772</v>
      </c>
      <c r="U836">
        <v>15791000</v>
      </c>
      <c r="V836">
        <v>0.54079999999999995</v>
      </c>
      <c r="W836">
        <v>54233.490000000013</v>
      </c>
      <c r="X836">
        <v>8534391.9500000011</v>
      </c>
      <c r="Y836">
        <v>8588625.4400000013</v>
      </c>
    </row>
    <row r="837" spans="1:25" x14ac:dyDescent="0.25">
      <c r="A837">
        <v>59</v>
      </c>
      <c r="B837" t="s">
        <v>2200</v>
      </c>
      <c r="C837" t="s">
        <v>32</v>
      </c>
      <c r="D837" t="s">
        <v>849</v>
      </c>
      <c r="E837">
        <v>4290</v>
      </c>
      <c r="F837" t="s">
        <v>850</v>
      </c>
      <c r="G837" t="s">
        <v>851</v>
      </c>
      <c r="H837" t="s">
        <v>852</v>
      </c>
      <c r="I837" t="s">
        <v>853</v>
      </c>
      <c r="L837" t="b">
        <v>1</v>
      </c>
      <c r="M837" t="s">
        <v>81</v>
      </c>
      <c r="N837" t="s">
        <v>32</v>
      </c>
      <c r="P837" t="s">
        <v>579</v>
      </c>
      <c r="Q837">
        <v>1</v>
      </c>
      <c r="R837">
        <v>3</v>
      </c>
      <c r="S837">
        <v>93.72</v>
      </c>
      <c r="T837">
        <v>10150000</v>
      </c>
      <c r="U837">
        <v>10150000</v>
      </c>
      <c r="V837">
        <v>1</v>
      </c>
      <c r="W837">
        <v>218330.74</v>
      </c>
      <c r="X837">
        <v>9512580</v>
      </c>
      <c r="Y837">
        <v>9730910.7400000002</v>
      </c>
    </row>
    <row r="838" spans="1:25" x14ac:dyDescent="0.25">
      <c r="A838">
        <v>59</v>
      </c>
      <c r="B838" t="s">
        <v>2200</v>
      </c>
      <c r="C838" t="s">
        <v>32</v>
      </c>
      <c r="D838" t="s">
        <v>381</v>
      </c>
      <c r="E838">
        <v>223116</v>
      </c>
      <c r="F838" t="s">
        <v>382</v>
      </c>
      <c r="G838" t="s">
        <v>383</v>
      </c>
      <c r="H838" t="s">
        <v>384</v>
      </c>
      <c r="I838" t="s">
        <v>385</v>
      </c>
      <c r="J838" t="s">
        <v>382</v>
      </c>
      <c r="K838" t="s">
        <v>386</v>
      </c>
      <c r="L838" t="b">
        <v>1</v>
      </c>
      <c r="M838" t="s">
        <v>81</v>
      </c>
      <c r="N838" t="s">
        <v>32</v>
      </c>
      <c r="P838" t="s">
        <v>579</v>
      </c>
      <c r="Q838">
        <v>1</v>
      </c>
      <c r="R838">
        <v>3</v>
      </c>
      <c r="S838">
        <v>93.867999999999995</v>
      </c>
      <c r="T838">
        <v>33200000</v>
      </c>
      <c r="U838">
        <v>33200000</v>
      </c>
      <c r="V838">
        <v>1</v>
      </c>
      <c r="W838">
        <v>226866.67</v>
      </c>
      <c r="X838">
        <v>31164176</v>
      </c>
      <c r="Y838">
        <v>31391042.670000002</v>
      </c>
    </row>
    <row r="839" spans="1:25" x14ac:dyDescent="0.25">
      <c r="A839">
        <v>59</v>
      </c>
      <c r="B839" t="s">
        <v>2200</v>
      </c>
      <c r="C839" t="s">
        <v>32</v>
      </c>
      <c r="D839" t="s">
        <v>387</v>
      </c>
      <c r="E839">
        <v>202700</v>
      </c>
      <c r="F839" t="s">
        <v>388</v>
      </c>
      <c r="G839" t="s">
        <v>389</v>
      </c>
      <c r="H839" t="s">
        <v>384</v>
      </c>
      <c r="I839" t="s">
        <v>390</v>
      </c>
      <c r="J839" t="s">
        <v>388</v>
      </c>
      <c r="K839" t="s">
        <v>391</v>
      </c>
      <c r="L839" t="b">
        <v>1</v>
      </c>
      <c r="M839" t="s">
        <v>81</v>
      </c>
      <c r="N839" t="s">
        <v>32</v>
      </c>
      <c r="P839" t="s">
        <v>579</v>
      </c>
      <c r="Q839">
        <v>1</v>
      </c>
      <c r="R839">
        <v>3</v>
      </c>
      <c r="S839">
        <v>93.649277999999995</v>
      </c>
      <c r="T839">
        <v>18100000</v>
      </c>
      <c r="U839">
        <v>18100000</v>
      </c>
      <c r="V839">
        <v>1</v>
      </c>
      <c r="W839">
        <v>14329.17</v>
      </c>
      <c r="X839">
        <v>16950519.32</v>
      </c>
      <c r="Y839">
        <v>16964848.489999998</v>
      </c>
    </row>
    <row r="840" spans="1:25" x14ac:dyDescent="0.25">
      <c r="A840">
        <v>59</v>
      </c>
      <c r="B840" t="s">
        <v>2200</v>
      </c>
      <c r="C840" t="s">
        <v>32</v>
      </c>
      <c r="D840" t="s">
        <v>859</v>
      </c>
      <c r="E840">
        <v>204148</v>
      </c>
      <c r="F840" t="s">
        <v>860</v>
      </c>
      <c r="G840" t="s">
        <v>861</v>
      </c>
      <c r="H840" t="s">
        <v>862</v>
      </c>
      <c r="I840" t="s">
        <v>863</v>
      </c>
      <c r="J840" t="s">
        <v>860</v>
      </c>
      <c r="K840" t="s">
        <v>864</v>
      </c>
      <c r="L840" t="b">
        <v>1</v>
      </c>
      <c r="M840" t="s">
        <v>31</v>
      </c>
      <c r="N840" t="s">
        <v>32</v>
      </c>
      <c r="P840" t="s">
        <v>579</v>
      </c>
      <c r="Q840">
        <v>1</v>
      </c>
      <c r="R840">
        <v>3</v>
      </c>
      <c r="S840">
        <v>92.625</v>
      </c>
      <c r="T840">
        <v>14650000</v>
      </c>
      <c r="U840">
        <v>14650000</v>
      </c>
      <c r="V840">
        <v>1</v>
      </c>
      <c r="W840">
        <v>703250.87</v>
      </c>
      <c r="X840">
        <v>13569562.5</v>
      </c>
      <c r="Y840">
        <v>14272813.369999999</v>
      </c>
    </row>
    <row r="841" spans="1:25" x14ac:dyDescent="0.25">
      <c r="A841">
        <v>59</v>
      </c>
      <c r="B841" t="s">
        <v>2200</v>
      </c>
      <c r="C841" t="s">
        <v>32</v>
      </c>
      <c r="D841" t="s">
        <v>865</v>
      </c>
      <c r="E841">
        <v>34669</v>
      </c>
      <c r="F841" t="s">
        <v>866</v>
      </c>
      <c r="G841" t="s">
        <v>867</v>
      </c>
      <c r="H841" t="s">
        <v>868</v>
      </c>
      <c r="I841" t="s">
        <v>869</v>
      </c>
      <c r="L841" t="b">
        <v>1</v>
      </c>
      <c r="M841" t="s">
        <v>44</v>
      </c>
      <c r="N841" t="s">
        <v>32</v>
      </c>
      <c r="P841" t="s">
        <v>579</v>
      </c>
      <c r="Q841">
        <v>1</v>
      </c>
      <c r="R841">
        <v>3</v>
      </c>
      <c r="S841">
        <v>65.661000000000001</v>
      </c>
      <c r="T841">
        <v>19260000</v>
      </c>
      <c r="U841">
        <v>19260000</v>
      </c>
      <c r="V841">
        <v>1</v>
      </c>
      <c r="W841">
        <v>0</v>
      </c>
      <c r="X841">
        <v>12646308.6</v>
      </c>
      <c r="Y841">
        <v>12646308.6</v>
      </c>
    </row>
    <row r="842" spans="1:25" x14ac:dyDescent="0.25">
      <c r="A842">
        <v>59</v>
      </c>
      <c r="B842" t="s">
        <v>2200</v>
      </c>
      <c r="C842" t="s">
        <v>32</v>
      </c>
      <c r="D842" t="s">
        <v>870</v>
      </c>
      <c r="E842">
        <v>1917</v>
      </c>
      <c r="F842" t="s">
        <v>871</v>
      </c>
      <c r="G842" t="s">
        <v>872</v>
      </c>
      <c r="H842" t="s">
        <v>868</v>
      </c>
      <c r="I842" t="s">
        <v>873</v>
      </c>
      <c r="L842" t="b">
        <v>1</v>
      </c>
      <c r="M842" t="s">
        <v>44</v>
      </c>
      <c r="N842" t="s">
        <v>32</v>
      </c>
      <c r="P842" t="s">
        <v>579</v>
      </c>
      <c r="Q842">
        <v>1</v>
      </c>
      <c r="R842">
        <v>3</v>
      </c>
      <c r="S842">
        <v>66.396000000000001</v>
      </c>
      <c r="T842">
        <v>15875000</v>
      </c>
      <c r="U842">
        <v>15875000</v>
      </c>
      <c r="V842">
        <v>1</v>
      </c>
      <c r="W842">
        <v>0</v>
      </c>
      <c r="X842">
        <v>10540365</v>
      </c>
      <c r="Y842">
        <v>10540365</v>
      </c>
    </row>
    <row r="843" spans="1:25" x14ac:dyDescent="0.25">
      <c r="A843">
        <v>59</v>
      </c>
      <c r="B843" t="s">
        <v>2200</v>
      </c>
      <c r="C843" t="s">
        <v>32</v>
      </c>
      <c r="D843" t="s">
        <v>874</v>
      </c>
      <c r="E843">
        <v>225327</v>
      </c>
      <c r="F843" t="s">
        <v>875</v>
      </c>
      <c r="G843" t="s">
        <v>876</v>
      </c>
      <c r="H843" t="s">
        <v>877</v>
      </c>
      <c r="I843" t="s">
        <v>878</v>
      </c>
      <c r="L843" t="b">
        <v>1</v>
      </c>
      <c r="M843" t="s">
        <v>39</v>
      </c>
      <c r="N843" t="s">
        <v>32</v>
      </c>
      <c r="P843" t="s">
        <v>579</v>
      </c>
      <c r="Q843">
        <v>1</v>
      </c>
      <c r="R843">
        <v>3</v>
      </c>
      <c r="S843">
        <v>100</v>
      </c>
      <c r="T843">
        <v>14000000</v>
      </c>
      <c r="U843">
        <v>14000000</v>
      </c>
      <c r="V843">
        <v>1</v>
      </c>
      <c r="W843">
        <v>62611.11</v>
      </c>
      <c r="X843">
        <v>14000000</v>
      </c>
      <c r="Y843">
        <v>14062611.109999999</v>
      </c>
    </row>
    <row r="844" spans="1:25" x14ac:dyDescent="0.25">
      <c r="A844">
        <v>59</v>
      </c>
      <c r="B844" t="s">
        <v>2200</v>
      </c>
      <c r="C844" t="s">
        <v>32</v>
      </c>
      <c r="D844" t="s">
        <v>879</v>
      </c>
      <c r="E844">
        <v>88047</v>
      </c>
      <c r="F844" t="s">
        <v>880</v>
      </c>
      <c r="G844" t="s">
        <v>881</v>
      </c>
      <c r="H844" t="s">
        <v>882</v>
      </c>
      <c r="I844" t="s">
        <v>883</v>
      </c>
      <c r="L844" t="b">
        <v>1</v>
      </c>
      <c r="M844" t="s">
        <v>31</v>
      </c>
      <c r="N844" t="s">
        <v>32</v>
      </c>
      <c r="P844" t="s">
        <v>579</v>
      </c>
      <c r="Q844">
        <v>1</v>
      </c>
      <c r="R844">
        <v>3</v>
      </c>
      <c r="S844">
        <v>101.30200000000001</v>
      </c>
      <c r="T844">
        <v>9459000</v>
      </c>
      <c r="U844">
        <v>9459000</v>
      </c>
      <c r="V844">
        <v>1</v>
      </c>
      <c r="W844">
        <v>169145.32</v>
      </c>
      <c r="X844">
        <v>9582156.1800000016</v>
      </c>
      <c r="Y844">
        <v>9751301.5000000019</v>
      </c>
    </row>
    <row r="845" spans="1:25" x14ac:dyDescent="0.25">
      <c r="A845">
        <v>59</v>
      </c>
      <c r="B845" t="s">
        <v>2200</v>
      </c>
      <c r="C845" t="s">
        <v>32</v>
      </c>
      <c r="D845" t="s">
        <v>884</v>
      </c>
      <c r="E845">
        <v>130577</v>
      </c>
      <c r="F845" t="s">
        <v>885</v>
      </c>
      <c r="G845" t="s">
        <v>886</v>
      </c>
      <c r="H845" t="s">
        <v>887</v>
      </c>
      <c r="I845" t="s">
        <v>888</v>
      </c>
      <c r="L845" t="b">
        <v>1</v>
      </c>
      <c r="M845" t="s">
        <v>50</v>
      </c>
      <c r="N845" t="s">
        <v>32</v>
      </c>
      <c r="P845" t="s">
        <v>579</v>
      </c>
      <c r="Q845">
        <v>1</v>
      </c>
      <c r="R845">
        <v>3</v>
      </c>
      <c r="S845">
        <v>104.7788</v>
      </c>
      <c r="T845">
        <v>16875000</v>
      </c>
      <c r="U845">
        <v>16875000</v>
      </c>
      <c r="V845">
        <v>1</v>
      </c>
      <c r="W845">
        <v>324210.96000000002</v>
      </c>
      <c r="X845">
        <v>17681422.5</v>
      </c>
      <c r="Y845">
        <v>18005633.460000001</v>
      </c>
    </row>
    <row r="846" spans="1:25" x14ac:dyDescent="0.25">
      <c r="A846">
        <v>59</v>
      </c>
      <c r="B846" t="s">
        <v>2200</v>
      </c>
      <c r="C846" t="s">
        <v>32</v>
      </c>
      <c r="D846" t="s">
        <v>889</v>
      </c>
      <c r="E846">
        <v>202363</v>
      </c>
      <c r="F846" t="s">
        <v>890</v>
      </c>
      <c r="G846" t="s">
        <v>891</v>
      </c>
      <c r="H846" t="s">
        <v>892</v>
      </c>
      <c r="I846" t="s">
        <v>893</v>
      </c>
      <c r="J846" t="s">
        <v>890</v>
      </c>
      <c r="K846" t="s">
        <v>894</v>
      </c>
      <c r="L846" t="b">
        <v>1</v>
      </c>
      <c r="M846" t="s">
        <v>895</v>
      </c>
      <c r="N846" t="s">
        <v>32</v>
      </c>
      <c r="P846" t="s">
        <v>579</v>
      </c>
      <c r="Q846">
        <v>1</v>
      </c>
      <c r="R846">
        <v>3</v>
      </c>
      <c r="S846">
        <v>100.5</v>
      </c>
      <c r="T846">
        <v>9150000</v>
      </c>
      <c r="U846">
        <v>9150000</v>
      </c>
      <c r="V846">
        <v>1</v>
      </c>
      <c r="W846">
        <v>176467.92</v>
      </c>
      <c r="X846">
        <v>9195750</v>
      </c>
      <c r="Y846">
        <v>9372217.9199999999</v>
      </c>
    </row>
    <row r="847" spans="1:25" x14ac:dyDescent="0.25">
      <c r="A847">
        <v>59</v>
      </c>
      <c r="B847" t="s">
        <v>2200</v>
      </c>
      <c r="C847" t="s">
        <v>32</v>
      </c>
      <c r="D847" t="s">
        <v>392</v>
      </c>
      <c r="E847">
        <v>215023</v>
      </c>
      <c r="F847" t="s">
        <v>393</v>
      </c>
      <c r="G847" t="s">
        <v>394</v>
      </c>
      <c r="H847" t="s">
        <v>300</v>
      </c>
      <c r="I847" t="s">
        <v>395</v>
      </c>
      <c r="J847" t="s">
        <v>393</v>
      </c>
      <c r="K847" t="s">
        <v>396</v>
      </c>
      <c r="L847" t="b">
        <v>1</v>
      </c>
      <c r="M847" t="s">
        <v>44</v>
      </c>
      <c r="N847" t="s">
        <v>32</v>
      </c>
      <c r="P847" t="s">
        <v>579</v>
      </c>
      <c r="Q847">
        <v>1</v>
      </c>
      <c r="R847">
        <v>3</v>
      </c>
      <c r="S847">
        <v>98.625</v>
      </c>
      <c r="T847">
        <v>16600000</v>
      </c>
      <c r="U847">
        <v>16600000</v>
      </c>
      <c r="V847">
        <v>1</v>
      </c>
      <c r="W847">
        <v>259397.13</v>
      </c>
      <c r="X847">
        <v>16371750</v>
      </c>
      <c r="Y847">
        <v>16631147.130000001</v>
      </c>
    </row>
    <row r="848" spans="1:25" x14ac:dyDescent="0.25">
      <c r="A848">
        <v>59</v>
      </c>
      <c r="B848" t="s">
        <v>2200</v>
      </c>
      <c r="C848" t="s">
        <v>32</v>
      </c>
      <c r="D848" t="s">
        <v>397</v>
      </c>
      <c r="E848">
        <v>131577</v>
      </c>
      <c r="F848" t="s">
        <v>398</v>
      </c>
      <c r="G848" t="s">
        <v>399</v>
      </c>
      <c r="H848" t="s">
        <v>400</v>
      </c>
      <c r="I848" t="s">
        <v>399</v>
      </c>
      <c r="L848" t="b">
        <v>0</v>
      </c>
      <c r="M848" t="s">
        <v>81</v>
      </c>
      <c r="N848" t="s">
        <v>32</v>
      </c>
      <c r="P848" t="s">
        <v>579</v>
      </c>
      <c r="Q848">
        <v>1</v>
      </c>
      <c r="R848">
        <v>3</v>
      </c>
      <c r="S848">
        <v>110.35</v>
      </c>
      <c r="T848">
        <v>13550000</v>
      </c>
      <c r="U848">
        <v>13550000</v>
      </c>
      <c r="V848">
        <v>1</v>
      </c>
      <c r="W848">
        <v>687662.5</v>
      </c>
      <c r="X848">
        <v>14952425</v>
      </c>
      <c r="Y848">
        <v>15640087.5</v>
      </c>
    </row>
    <row r="849" spans="1:25" x14ac:dyDescent="0.25">
      <c r="A849">
        <v>59</v>
      </c>
      <c r="B849" t="s">
        <v>2200</v>
      </c>
      <c r="C849" t="s">
        <v>32</v>
      </c>
      <c r="D849" t="s">
        <v>401</v>
      </c>
      <c r="E849">
        <v>35570</v>
      </c>
      <c r="F849" t="s">
        <v>402</v>
      </c>
      <c r="G849" t="s">
        <v>403</v>
      </c>
      <c r="H849" t="s">
        <v>404</v>
      </c>
      <c r="I849" t="s">
        <v>405</v>
      </c>
      <c r="L849" t="b">
        <v>1</v>
      </c>
      <c r="M849" t="s">
        <v>44</v>
      </c>
      <c r="N849" t="s">
        <v>32</v>
      </c>
      <c r="P849" t="s">
        <v>579</v>
      </c>
      <c r="Q849">
        <v>1</v>
      </c>
      <c r="R849">
        <v>3</v>
      </c>
      <c r="S849">
        <v>95.004369999999994</v>
      </c>
      <c r="T849">
        <v>5208000</v>
      </c>
      <c r="U849">
        <v>5208000</v>
      </c>
      <c r="V849">
        <v>1</v>
      </c>
      <c r="W849">
        <v>6708.91</v>
      </c>
      <c r="X849">
        <v>4947827.5899999989</v>
      </c>
      <c r="Y849">
        <v>4954536.4999999991</v>
      </c>
    </row>
    <row r="850" spans="1:25" x14ac:dyDescent="0.25">
      <c r="A850">
        <v>59</v>
      </c>
      <c r="B850" t="s">
        <v>2200</v>
      </c>
      <c r="C850" t="s">
        <v>32</v>
      </c>
      <c r="D850" t="s">
        <v>406</v>
      </c>
      <c r="E850">
        <v>523</v>
      </c>
      <c r="F850" t="s">
        <v>407</v>
      </c>
      <c r="G850" t="s">
        <v>408</v>
      </c>
      <c r="H850" t="s">
        <v>404</v>
      </c>
      <c r="I850" t="s">
        <v>409</v>
      </c>
      <c r="L850" t="b">
        <v>1</v>
      </c>
      <c r="M850" t="s">
        <v>44</v>
      </c>
      <c r="N850" t="s">
        <v>32</v>
      </c>
      <c r="P850" t="s">
        <v>579</v>
      </c>
      <c r="Q850">
        <v>1</v>
      </c>
      <c r="R850">
        <v>3</v>
      </c>
      <c r="S850">
        <v>99.277000000000001</v>
      </c>
      <c r="T850">
        <v>5800000</v>
      </c>
      <c r="U850">
        <v>5800000</v>
      </c>
      <c r="V850">
        <v>1</v>
      </c>
      <c r="W850">
        <v>41083.33</v>
      </c>
      <c r="X850">
        <v>5758066</v>
      </c>
      <c r="Y850">
        <v>5799149.3300000001</v>
      </c>
    </row>
    <row r="851" spans="1:25" x14ac:dyDescent="0.25">
      <c r="A851">
        <v>59</v>
      </c>
      <c r="B851" t="s">
        <v>2200</v>
      </c>
      <c r="C851" t="s">
        <v>32</v>
      </c>
      <c r="D851" t="s">
        <v>410</v>
      </c>
      <c r="E851">
        <v>524</v>
      </c>
      <c r="F851" t="s">
        <v>411</v>
      </c>
      <c r="G851" t="s">
        <v>412</v>
      </c>
      <c r="H851" t="s">
        <v>404</v>
      </c>
      <c r="I851" t="s">
        <v>413</v>
      </c>
      <c r="L851" t="b">
        <v>1</v>
      </c>
      <c r="M851" t="s">
        <v>44</v>
      </c>
      <c r="N851" t="s">
        <v>32</v>
      </c>
      <c r="P851" t="s">
        <v>579</v>
      </c>
      <c r="Q851">
        <v>1</v>
      </c>
      <c r="R851">
        <v>3</v>
      </c>
      <c r="S851">
        <v>100.18819999999999</v>
      </c>
      <c r="T851">
        <v>2000000</v>
      </c>
      <c r="U851">
        <v>2000000</v>
      </c>
      <c r="V851">
        <v>1</v>
      </c>
      <c r="W851">
        <v>10590.28</v>
      </c>
      <c r="X851">
        <v>2003764</v>
      </c>
      <c r="Y851">
        <v>2014354.28</v>
      </c>
    </row>
    <row r="852" spans="1:25" x14ac:dyDescent="0.25">
      <c r="A852">
        <v>59</v>
      </c>
      <c r="B852" t="s">
        <v>2200</v>
      </c>
      <c r="C852" t="s">
        <v>32</v>
      </c>
      <c r="D852" t="s">
        <v>414</v>
      </c>
      <c r="E852">
        <v>222125</v>
      </c>
      <c r="F852" t="s">
        <v>415</v>
      </c>
      <c r="G852" t="s">
        <v>416</v>
      </c>
      <c r="H852" t="s">
        <v>404</v>
      </c>
      <c r="I852" t="s">
        <v>417</v>
      </c>
      <c r="J852" t="s">
        <v>415</v>
      </c>
      <c r="K852" t="s">
        <v>418</v>
      </c>
      <c r="L852" t="b">
        <v>1</v>
      </c>
      <c r="M852" t="s">
        <v>44</v>
      </c>
      <c r="N852" t="s">
        <v>32</v>
      </c>
      <c r="P852" t="s">
        <v>579</v>
      </c>
      <c r="Q852">
        <v>1</v>
      </c>
      <c r="R852">
        <v>3</v>
      </c>
      <c r="S852">
        <v>99.974999999999994</v>
      </c>
      <c r="T852">
        <v>9000000</v>
      </c>
      <c r="U852">
        <v>9000000</v>
      </c>
      <c r="V852">
        <v>1</v>
      </c>
      <c r="W852">
        <v>74000</v>
      </c>
      <c r="X852">
        <v>8997750</v>
      </c>
      <c r="Y852">
        <v>9071750</v>
      </c>
    </row>
    <row r="853" spans="1:25" x14ac:dyDescent="0.25">
      <c r="A853">
        <v>59</v>
      </c>
      <c r="B853" t="s">
        <v>2200</v>
      </c>
      <c r="C853" t="s">
        <v>32</v>
      </c>
      <c r="D853" t="s">
        <v>896</v>
      </c>
      <c r="E853">
        <v>31384</v>
      </c>
      <c r="F853" t="s">
        <v>897</v>
      </c>
      <c r="G853" t="s">
        <v>898</v>
      </c>
      <c r="H853" t="s">
        <v>404</v>
      </c>
      <c r="I853" t="s">
        <v>899</v>
      </c>
      <c r="J853" t="s">
        <v>897</v>
      </c>
      <c r="K853" t="s">
        <v>900</v>
      </c>
      <c r="L853" t="b">
        <v>1</v>
      </c>
      <c r="M853" t="s">
        <v>44</v>
      </c>
      <c r="N853" t="s">
        <v>32</v>
      </c>
      <c r="P853" t="s">
        <v>579</v>
      </c>
      <c r="Q853">
        <v>1</v>
      </c>
      <c r="R853">
        <v>3</v>
      </c>
      <c r="S853">
        <v>103.4255</v>
      </c>
      <c r="T853">
        <v>19587000</v>
      </c>
      <c r="U853">
        <v>19587000</v>
      </c>
      <c r="V853">
        <v>1</v>
      </c>
      <c r="W853">
        <v>77463.859999999986</v>
      </c>
      <c r="X853">
        <v>20257952.68</v>
      </c>
      <c r="Y853">
        <v>20335416.539999999</v>
      </c>
    </row>
    <row r="854" spans="1:25" x14ac:dyDescent="0.25">
      <c r="A854">
        <v>59</v>
      </c>
      <c r="B854" t="s">
        <v>2200</v>
      </c>
      <c r="C854" t="s">
        <v>32</v>
      </c>
      <c r="D854" t="s">
        <v>428</v>
      </c>
      <c r="E854">
        <v>161093</v>
      </c>
      <c r="F854" t="s">
        <v>429</v>
      </c>
      <c r="G854" t="s">
        <v>430</v>
      </c>
      <c r="H854" t="s">
        <v>422</v>
      </c>
      <c r="I854" t="s">
        <v>431</v>
      </c>
      <c r="J854" t="s">
        <v>429</v>
      </c>
      <c r="K854" t="s">
        <v>432</v>
      </c>
      <c r="L854" t="b">
        <v>1</v>
      </c>
      <c r="M854" t="s">
        <v>44</v>
      </c>
      <c r="N854" t="s">
        <v>32</v>
      </c>
      <c r="P854" t="s">
        <v>579</v>
      </c>
      <c r="Q854">
        <v>1</v>
      </c>
      <c r="R854">
        <v>3</v>
      </c>
      <c r="S854">
        <v>102.5</v>
      </c>
      <c r="T854">
        <v>3800000</v>
      </c>
      <c r="U854">
        <v>3800000</v>
      </c>
      <c r="V854">
        <v>1</v>
      </c>
      <c r="W854">
        <v>136826.39000000001</v>
      </c>
      <c r="X854">
        <v>3895000</v>
      </c>
      <c r="Y854">
        <v>4031826.39</v>
      </c>
    </row>
    <row r="855" spans="1:25" x14ac:dyDescent="0.25">
      <c r="A855">
        <v>59</v>
      </c>
      <c r="B855" t="s">
        <v>2200</v>
      </c>
      <c r="C855" t="s">
        <v>32</v>
      </c>
      <c r="D855" t="s">
        <v>433</v>
      </c>
      <c r="E855">
        <v>118335</v>
      </c>
      <c r="F855" t="s">
        <v>434</v>
      </c>
      <c r="G855" t="s">
        <v>435</v>
      </c>
      <c r="H855" t="s">
        <v>422</v>
      </c>
      <c r="I855" t="s">
        <v>436</v>
      </c>
      <c r="L855" t="b">
        <v>1</v>
      </c>
      <c r="M855" t="s">
        <v>44</v>
      </c>
      <c r="N855" t="s">
        <v>32</v>
      </c>
      <c r="P855" t="s">
        <v>579</v>
      </c>
      <c r="Q855">
        <v>1</v>
      </c>
      <c r="R855">
        <v>3</v>
      </c>
      <c r="S855">
        <v>105.1735</v>
      </c>
      <c r="T855">
        <v>20600000</v>
      </c>
      <c r="U855">
        <v>20600000</v>
      </c>
      <c r="V855">
        <v>1</v>
      </c>
      <c r="W855">
        <v>106934.03</v>
      </c>
      <c r="X855">
        <v>21665741</v>
      </c>
      <c r="Y855">
        <v>21772675.030000001</v>
      </c>
    </row>
    <row r="856" spans="1:25" x14ac:dyDescent="0.25">
      <c r="A856">
        <v>59</v>
      </c>
      <c r="B856" t="s">
        <v>2200</v>
      </c>
      <c r="C856" t="s">
        <v>32</v>
      </c>
      <c r="D856" t="s">
        <v>437</v>
      </c>
      <c r="E856">
        <v>96458</v>
      </c>
      <c r="F856" t="s">
        <v>438</v>
      </c>
      <c r="G856" t="s">
        <v>439</v>
      </c>
      <c r="H856" t="s">
        <v>422</v>
      </c>
      <c r="I856" t="s">
        <v>440</v>
      </c>
      <c r="L856" t="b">
        <v>1</v>
      </c>
      <c r="M856" t="s">
        <v>44</v>
      </c>
      <c r="N856" t="s">
        <v>32</v>
      </c>
      <c r="P856" t="s">
        <v>579</v>
      </c>
      <c r="Q856">
        <v>1</v>
      </c>
      <c r="R856">
        <v>3</v>
      </c>
      <c r="S856">
        <v>107.2418</v>
      </c>
      <c r="T856">
        <v>28035000</v>
      </c>
      <c r="U856">
        <v>28035000</v>
      </c>
      <c r="V856">
        <v>1</v>
      </c>
      <c r="W856">
        <v>210574</v>
      </c>
      <c r="X856">
        <v>30065238.63000001</v>
      </c>
      <c r="Y856">
        <v>30275812.63000001</v>
      </c>
    </row>
    <row r="857" spans="1:25" x14ac:dyDescent="0.25">
      <c r="A857">
        <v>59</v>
      </c>
      <c r="B857" t="s">
        <v>2200</v>
      </c>
      <c r="C857" t="s">
        <v>32</v>
      </c>
      <c r="D857" t="s">
        <v>906</v>
      </c>
      <c r="E857">
        <v>146582</v>
      </c>
      <c r="F857" t="s">
        <v>905</v>
      </c>
      <c r="G857" t="s">
        <v>907</v>
      </c>
      <c r="H857" t="s">
        <v>444</v>
      </c>
      <c r="I857" t="s">
        <v>904</v>
      </c>
      <c r="J857" t="s">
        <v>902</v>
      </c>
      <c r="K857" t="s">
        <v>902</v>
      </c>
      <c r="L857" t="b">
        <v>1</v>
      </c>
      <c r="M857" t="s">
        <v>50</v>
      </c>
      <c r="N857" t="s">
        <v>32</v>
      </c>
      <c r="P857" t="s">
        <v>579</v>
      </c>
      <c r="Q857">
        <v>1</v>
      </c>
      <c r="R857">
        <v>3</v>
      </c>
      <c r="S857">
        <v>104.42</v>
      </c>
      <c r="T857">
        <v>21150000</v>
      </c>
      <c r="U857">
        <v>21150000</v>
      </c>
      <c r="V857">
        <v>1</v>
      </c>
      <c r="W857">
        <v>612468.76</v>
      </c>
      <c r="X857">
        <v>22084830</v>
      </c>
      <c r="Y857">
        <v>22697298.760000002</v>
      </c>
    </row>
    <row r="858" spans="1:25" x14ac:dyDescent="0.25">
      <c r="A858">
        <v>59</v>
      </c>
      <c r="B858" t="s">
        <v>2200</v>
      </c>
      <c r="C858" t="s">
        <v>32</v>
      </c>
      <c r="D858" t="s">
        <v>441</v>
      </c>
      <c r="E858">
        <v>121311</v>
      </c>
      <c r="F858" t="s">
        <v>442</v>
      </c>
      <c r="G858" t="s">
        <v>443</v>
      </c>
      <c r="H858" t="s">
        <v>444</v>
      </c>
      <c r="I858" t="s">
        <v>445</v>
      </c>
      <c r="L858" t="b">
        <v>1</v>
      </c>
      <c r="M858" t="s">
        <v>50</v>
      </c>
      <c r="N858" t="s">
        <v>32</v>
      </c>
      <c r="P858" t="s">
        <v>579</v>
      </c>
      <c r="Q858">
        <v>1</v>
      </c>
      <c r="R858">
        <v>3</v>
      </c>
      <c r="S858">
        <v>105.46599999999999</v>
      </c>
      <c r="T858">
        <v>6225000</v>
      </c>
      <c r="U858">
        <v>6225000</v>
      </c>
      <c r="V858">
        <v>1</v>
      </c>
      <c r="W858">
        <v>260239.59</v>
      </c>
      <c r="X858">
        <v>6565258.5</v>
      </c>
      <c r="Y858">
        <v>6825498.0899999999</v>
      </c>
    </row>
    <row r="859" spans="1:25" x14ac:dyDescent="0.25">
      <c r="A859">
        <v>59</v>
      </c>
      <c r="B859" t="s">
        <v>2200</v>
      </c>
      <c r="C859" t="s">
        <v>32</v>
      </c>
      <c r="D859" t="s">
        <v>908</v>
      </c>
      <c r="E859">
        <v>135501</v>
      </c>
      <c r="F859" t="s">
        <v>909</v>
      </c>
      <c r="G859" t="s">
        <v>910</v>
      </c>
      <c r="H859" t="s">
        <v>911</v>
      </c>
      <c r="I859" t="s">
        <v>910</v>
      </c>
      <c r="L859" t="b">
        <v>0</v>
      </c>
      <c r="M859" t="s">
        <v>81</v>
      </c>
      <c r="N859" t="s">
        <v>32</v>
      </c>
      <c r="P859" t="s">
        <v>579</v>
      </c>
      <c r="Q859">
        <v>1</v>
      </c>
      <c r="R859">
        <v>3</v>
      </c>
      <c r="S859">
        <v>105.77849999999999</v>
      </c>
      <c r="T859">
        <v>36200000</v>
      </c>
      <c r="U859">
        <v>36200000</v>
      </c>
      <c r="V859">
        <v>1</v>
      </c>
      <c r="W859">
        <v>320897.91999999998</v>
      </c>
      <c r="X859">
        <v>38291817</v>
      </c>
      <c r="Y859">
        <v>38612714.920000002</v>
      </c>
    </row>
    <row r="860" spans="1:25" x14ac:dyDescent="0.25">
      <c r="A860">
        <v>59</v>
      </c>
      <c r="B860" t="s">
        <v>2200</v>
      </c>
      <c r="C860" t="s">
        <v>32</v>
      </c>
      <c r="D860" t="s">
        <v>912</v>
      </c>
      <c r="E860">
        <v>160288</v>
      </c>
      <c r="F860" t="s">
        <v>913</v>
      </c>
      <c r="G860" t="s">
        <v>914</v>
      </c>
      <c r="H860" t="s">
        <v>915</v>
      </c>
      <c r="I860" t="s">
        <v>916</v>
      </c>
      <c r="L860" t="b">
        <v>1</v>
      </c>
      <c r="M860" t="s">
        <v>61</v>
      </c>
      <c r="N860" t="s">
        <v>32</v>
      </c>
      <c r="P860" t="s">
        <v>579</v>
      </c>
      <c r="Q860">
        <v>1</v>
      </c>
      <c r="R860">
        <v>3</v>
      </c>
      <c r="S860">
        <v>101.61</v>
      </c>
      <c r="T860">
        <v>17900000</v>
      </c>
      <c r="U860">
        <v>17900000</v>
      </c>
      <c r="V860">
        <v>1</v>
      </c>
      <c r="W860">
        <v>289446.48</v>
      </c>
      <c r="X860">
        <v>18188190</v>
      </c>
      <c r="Y860">
        <v>18477636.48</v>
      </c>
    </row>
    <row r="861" spans="1:25" x14ac:dyDescent="0.25">
      <c r="A861">
        <v>59</v>
      </c>
      <c r="B861" t="s">
        <v>2200</v>
      </c>
      <c r="C861" t="s">
        <v>32</v>
      </c>
      <c r="D861" t="s">
        <v>446</v>
      </c>
      <c r="E861">
        <v>187610</v>
      </c>
      <c r="F861" t="s">
        <v>447</v>
      </c>
      <c r="G861" t="s">
        <v>448</v>
      </c>
      <c r="H861" t="s">
        <v>449</v>
      </c>
      <c r="I861" t="s">
        <v>450</v>
      </c>
      <c r="J861" t="s">
        <v>447</v>
      </c>
      <c r="K861" t="s">
        <v>451</v>
      </c>
      <c r="L861" t="b">
        <v>1</v>
      </c>
      <c r="M861" t="s">
        <v>452</v>
      </c>
      <c r="N861" t="s">
        <v>32</v>
      </c>
      <c r="P861" t="s">
        <v>579</v>
      </c>
      <c r="Q861">
        <v>1</v>
      </c>
      <c r="R861">
        <v>3</v>
      </c>
      <c r="S861">
        <v>103.92201</v>
      </c>
      <c r="T861">
        <v>27400000</v>
      </c>
      <c r="U861">
        <v>27400000</v>
      </c>
      <c r="V861">
        <v>1</v>
      </c>
      <c r="W861">
        <v>759208.33</v>
      </c>
      <c r="X861">
        <v>28474630.739999998</v>
      </c>
      <c r="Y861">
        <v>29233839.07</v>
      </c>
    </row>
    <row r="862" spans="1:25" x14ac:dyDescent="0.25">
      <c r="A862">
        <v>59</v>
      </c>
      <c r="B862" t="s">
        <v>2200</v>
      </c>
      <c r="C862" t="s">
        <v>32</v>
      </c>
      <c r="D862" t="s">
        <v>917</v>
      </c>
      <c r="E862">
        <v>203109</v>
      </c>
      <c r="F862" t="s">
        <v>918</v>
      </c>
      <c r="G862" t="s">
        <v>919</v>
      </c>
      <c r="H862" t="s">
        <v>920</v>
      </c>
      <c r="I862" t="s">
        <v>921</v>
      </c>
      <c r="J862" t="s">
        <v>918</v>
      </c>
      <c r="K862" t="s">
        <v>922</v>
      </c>
      <c r="L862" t="b">
        <v>1</v>
      </c>
      <c r="M862" t="s">
        <v>112</v>
      </c>
      <c r="N862" t="s">
        <v>32</v>
      </c>
      <c r="P862" t="s">
        <v>579</v>
      </c>
      <c r="Q862">
        <v>1</v>
      </c>
      <c r="R862">
        <v>3</v>
      </c>
      <c r="S862">
        <v>103.676</v>
      </c>
      <c r="T862">
        <v>21500000</v>
      </c>
      <c r="U862">
        <v>21500000</v>
      </c>
      <c r="V862">
        <v>1</v>
      </c>
      <c r="W862">
        <v>14333.33</v>
      </c>
      <c r="X862">
        <v>22290340</v>
      </c>
      <c r="Y862">
        <v>22304673.329999998</v>
      </c>
    </row>
    <row r="863" spans="1:25" x14ac:dyDescent="0.25">
      <c r="A863">
        <v>59</v>
      </c>
      <c r="B863" t="s">
        <v>2200</v>
      </c>
      <c r="C863" t="s">
        <v>32</v>
      </c>
      <c r="D863" t="s">
        <v>923</v>
      </c>
      <c r="E863">
        <v>175398</v>
      </c>
      <c r="F863" t="s">
        <v>924</v>
      </c>
      <c r="G863" t="s">
        <v>925</v>
      </c>
      <c r="H863" t="s">
        <v>920</v>
      </c>
      <c r="I863" t="s">
        <v>926</v>
      </c>
      <c r="J863" t="s">
        <v>924</v>
      </c>
      <c r="K863" t="s">
        <v>927</v>
      </c>
      <c r="L863" t="b">
        <v>1</v>
      </c>
      <c r="M863" t="s">
        <v>112</v>
      </c>
      <c r="N863" t="s">
        <v>32</v>
      </c>
      <c r="P863" t="s">
        <v>579</v>
      </c>
      <c r="Q863">
        <v>1</v>
      </c>
      <c r="R863">
        <v>3</v>
      </c>
      <c r="S863">
        <v>103</v>
      </c>
      <c r="T863">
        <v>25100000</v>
      </c>
      <c r="U863">
        <v>25100000</v>
      </c>
      <c r="V863">
        <v>1</v>
      </c>
      <c r="W863">
        <v>211955.55</v>
      </c>
      <c r="X863">
        <v>25853000</v>
      </c>
      <c r="Y863">
        <v>26064955.550000001</v>
      </c>
    </row>
    <row r="864" spans="1:25" x14ac:dyDescent="0.25">
      <c r="A864">
        <v>59</v>
      </c>
      <c r="B864" t="s">
        <v>2200</v>
      </c>
      <c r="C864" t="s">
        <v>32</v>
      </c>
      <c r="D864" t="s">
        <v>460</v>
      </c>
      <c r="E864">
        <v>32264</v>
      </c>
      <c r="F864" t="s">
        <v>461</v>
      </c>
      <c r="G864" t="s">
        <v>462</v>
      </c>
      <c r="H864" t="s">
        <v>463</v>
      </c>
      <c r="I864" t="s">
        <v>464</v>
      </c>
      <c r="L864" t="b">
        <v>1</v>
      </c>
      <c r="M864" t="s">
        <v>44</v>
      </c>
      <c r="N864" t="s">
        <v>32</v>
      </c>
      <c r="P864" t="s">
        <v>579</v>
      </c>
      <c r="Q864">
        <v>1</v>
      </c>
      <c r="R864">
        <v>3</v>
      </c>
      <c r="S864">
        <v>100.034295</v>
      </c>
      <c r="T864">
        <v>14720000</v>
      </c>
      <c r="U864">
        <v>14720000</v>
      </c>
      <c r="V864">
        <v>1</v>
      </c>
      <c r="W864">
        <v>189070.23</v>
      </c>
      <c r="X864">
        <v>14725048.220000001</v>
      </c>
      <c r="Y864">
        <v>14914118.449999999</v>
      </c>
    </row>
    <row r="865" spans="1:25" x14ac:dyDescent="0.25">
      <c r="A865">
        <v>59</v>
      </c>
      <c r="B865" t="s">
        <v>2200</v>
      </c>
      <c r="C865" t="s">
        <v>32</v>
      </c>
      <c r="D865" t="s">
        <v>465</v>
      </c>
      <c r="E865">
        <v>216347</v>
      </c>
      <c r="F865" t="s">
        <v>466</v>
      </c>
      <c r="G865" t="s">
        <v>467</v>
      </c>
      <c r="H865" t="s">
        <v>463</v>
      </c>
      <c r="I865" t="s">
        <v>468</v>
      </c>
      <c r="J865" t="s">
        <v>466</v>
      </c>
      <c r="K865" t="s">
        <v>469</v>
      </c>
      <c r="L865" t="b">
        <v>1</v>
      </c>
      <c r="M865" t="s">
        <v>44</v>
      </c>
      <c r="N865" t="s">
        <v>32</v>
      </c>
      <c r="P865" t="s">
        <v>579</v>
      </c>
      <c r="Q865">
        <v>1</v>
      </c>
      <c r="R865">
        <v>3</v>
      </c>
      <c r="S865">
        <v>98.363</v>
      </c>
      <c r="T865">
        <v>10200000</v>
      </c>
      <c r="U865">
        <v>10200000</v>
      </c>
      <c r="V865">
        <v>1</v>
      </c>
      <c r="W865">
        <v>130900</v>
      </c>
      <c r="X865">
        <v>10033026</v>
      </c>
      <c r="Y865">
        <v>10163926</v>
      </c>
    </row>
    <row r="866" spans="1:25" x14ac:dyDescent="0.25">
      <c r="A866">
        <v>59</v>
      </c>
      <c r="B866" t="s">
        <v>2200</v>
      </c>
      <c r="C866" t="s">
        <v>32</v>
      </c>
      <c r="D866" t="s">
        <v>928</v>
      </c>
      <c r="E866">
        <v>219587</v>
      </c>
      <c r="F866" t="s">
        <v>929</v>
      </c>
      <c r="G866" t="s">
        <v>930</v>
      </c>
      <c r="H866" t="s">
        <v>931</v>
      </c>
      <c r="I866" t="s">
        <v>932</v>
      </c>
      <c r="J866" t="s">
        <v>929</v>
      </c>
      <c r="K866" t="s">
        <v>933</v>
      </c>
      <c r="L866" t="b">
        <v>1</v>
      </c>
      <c r="M866" t="s">
        <v>44</v>
      </c>
      <c r="N866" t="s">
        <v>32</v>
      </c>
      <c r="P866" t="s">
        <v>579</v>
      </c>
      <c r="Q866">
        <v>1</v>
      </c>
      <c r="R866">
        <v>3</v>
      </c>
      <c r="S866">
        <v>97.920002999999994</v>
      </c>
      <c r="T866">
        <v>15550000</v>
      </c>
      <c r="U866">
        <v>15550000</v>
      </c>
      <c r="V866">
        <v>1</v>
      </c>
      <c r="W866">
        <v>192755.21</v>
      </c>
      <c r="X866">
        <v>15226560.470000001</v>
      </c>
      <c r="Y866">
        <v>15419315.68</v>
      </c>
    </row>
    <row r="867" spans="1:25" x14ac:dyDescent="0.25">
      <c r="A867">
        <v>59</v>
      </c>
      <c r="B867" t="s">
        <v>2200</v>
      </c>
      <c r="C867" t="s">
        <v>32</v>
      </c>
      <c r="D867" t="s">
        <v>934</v>
      </c>
      <c r="E867">
        <v>219586</v>
      </c>
      <c r="F867" t="s">
        <v>935</v>
      </c>
      <c r="G867" t="s">
        <v>936</v>
      </c>
      <c r="H867" t="s">
        <v>931</v>
      </c>
      <c r="I867" t="s">
        <v>937</v>
      </c>
      <c r="J867" t="s">
        <v>935</v>
      </c>
      <c r="K867" t="s">
        <v>938</v>
      </c>
      <c r="L867" t="b">
        <v>1</v>
      </c>
      <c r="M867" t="s">
        <v>44</v>
      </c>
      <c r="N867" t="s">
        <v>32</v>
      </c>
      <c r="P867" t="s">
        <v>579</v>
      </c>
      <c r="Q867">
        <v>1</v>
      </c>
      <c r="R867">
        <v>3</v>
      </c>
      <c r="S867">
        <v>98.024844000000002</v>
      </c>
      <c r="T867">
        <v>15550000</v>
      </c>
      <c r="U867">
        <v>15550000</v>
      </c>
      <c r="V867">
        <v>1</v>
      </c>
      <c r="W867">
        <v>198262.5</v>
      </c>
      <c r="X867">
        <v>15242863.24</v>
      </c>
      <c r="Y867">
        <v>15441125.74</v>
      </c>
    </row>
    <row r="868" spans="1:25" x14ac:dyDescent="0.25">
      <c r="A868">
        <v>59</v>
      </c>
      <c r="B868" t="s">
        <v>2200</v>
      </c>
      <c r="C868" t="s">
        <v>32</v>
      </c>
      <c r="D868" t="s">
        <v>939</v>
      </c>
      <c r="E868">
        <v>159635</v>
      </c>
      <c r="F868" t="s">
        <v>940</v>
      </c>
      <c r="G868" t="s">
        <v>941</v>
      </c>
      <c r="H868" t="s">
        <v>942</v>
      </c>
      <c r="I868" t="s">
        <v>943</v>
      </c>
      <c r="L868" t="b">
        <v>1</v>
      </c>
      <c r="M868" t="s">
        <v>31</v>
      </c>
      <c r="N868" t="s">
        <v>32</v>
      </c>
      <c r="P868" t="s">
        <v>579</v>
      </c>
      <c r="Q868">
        <v>1</v>
      </c>
      <c r="R868">
        <v>3</v>
      </c>
      <c r="S868">
        <v>102.095</v>
      </c>
      <c r="T868">
        <v>10600000</v>
      </c>
      <c r="U868">
        <v>10600000</v>
      </c>
      <c r="V868">
        <v>1</v>
      </c>
      <c r="W868">
        <v>17225</v>
      </c>
      <c r="X868">
        <v>10822070</v>
      </c>
      <c r="Y868">
        <v>10839295</v>
      </c>
    </row>
    <row r="869" spans="1:25" x14ac:dyDescent="0.25">
      <c r="A869">
        <v>59</v>
      </c>
      <c r="B869" t="s">
        <v>2200</v>
      </c>
      <c r="C869" t="s">
        <v>32</v>
      </c>
      <c r="D869" t="s">
        <v>944</v>
      </c>
      <c r="E869">
        <v>647</v>
      </c>
      <c r="F869" t="s">
        <v>945</v>
      </c>
      <c r="G869" t="s">
        <v>946</v>
      </c>
      <c r="H869" t="s">
        <v>478</v>
      </c>
      <c r="I869" t="s">
        <v>947</v>
      </c>
      <c r="L869" t="b">
        <v>1</v>
      </c>
      <c r="M869" t="s">
        <v>31</v>
      </c>
      <c r="N869" t="s">
        <v>32</v>
      </c>
      <c r="P869" t="s">
        <v>579</v>
      </c>
      <c r="Q869">
        <v>1</v>
      </c>
      <c r="R869">
        <v>3</v>
      </c>
      <c r="S869">
        <v>56.57</v>
      </c>
      <c r="T869">
        <v>2990000</v>
      </c>
      <c r="U869">
        <v>2990000</v>
      </c>
      <c r="V869">
        <v>1</v>
      </c>
      <c r="W869">
        <v>0</v>
      </c>
      <c r="X869">
        <v>1691443</v>
      </c>
      <c r="Y869">
        <v>1691443</v>
      </c>
    </row>
    <row r="870" spans="1:25" x14ac:dyDescent="0.25">
      <c r="A870">
        <v>59</v>
      </c>
      <c r="B870" t="s">
        <v>2200</v>
      </c>
      <c r="C870" t="s">
        <v>32</v>
      </c>
      <c r="D870" t="s">
        <v>475</v>
      </c>
      <c r="E870">
        <v>53985</v>
      </c>
      <c r="F870" t="s">
        <v>476</v>
      </c>
      <c r="G870" t="s">
        <v>477</v>
      </c>
      <c r="H870" t="s">
        <v>478</v>
      </c>
      <c r="I870" t="s">
        <v>479</v>
      </c>
      <c r="L870" t="b">
        <v>1</v>
      </c>
      <c r="M870" t="s">
        <v>31</v>
      </c>
      <c r="N870" t="s">
        <v>32</v>
      </c>
      <c r="P870" t="s">
        <v>579</v>
      </c>
      <c r="Q870">
        <v>1</v>
      </c>
      <c r="R870">
        <v>3</v>
      </c>
      <c r="S870">
        <v>54.125</v>
      </c>
      <c r="T870">
        <v>73550000</v>
      </c>
      <c r="U870">
        <v>73550000</v>
      </c>
      <c r="V870">
        <v>1</v>
      </c>
      <c r="W870">
        <v>0</v>
      </c>
      <c r="X870">
        <v>39808937.5</v>
      </c>
      <c r="Y870">
        <v>39808937.5</v>
      </c>
    </row>
    <row r="871" spans="1:25" x14ac:dyDescent="0.25">
      <c r="A871">
        <v>59</v>
      </c>
      <c r="B871" t="s">
        <v>2200</v>
      </c>
      <c r="C871" t="s">
        <v>32</v>
      </c>
      <c r="D871" t="s">
        <v>948</v>
      </c>
      <c r="E871">
        <v>149418</v>
      </c>
      <c r="F871" t="s">
        <v>949</v>
      </c>
      <c r="G871" t="s">
        <v>950</v>
      </c>
      <c r="H871" t="s">
        <v>478</v>
      </c>
      <c r="I871" t="s">
        <v>951</v>
      </c>
      <c r="J871" t="s">
        <v>949</v>
      </c>
      <c r="K871" t="s">
        <v>952</v>
      </c>
      <c r="L871" t="b">
        <v>1</v>
      </c>
      <c r="M871" t="s">
        <v>31</v>
      </c>
      <c r="N871" t="s">
        <v>32</v>
      </c>
      <c r="P871" t="s">
        <v>579</v>
      </c>
      <c r="Q871">
        <v>1</v>
      </c>
      <c r="R871">
        <v>3</v>
      </c>
      <c r="S871">
        <v>54.314</v>
      </c>
      <c r="T871">
        <v>10950000</v>
      </c>
      <c r="U871">
        <v>10950000</v>
      </c>
      <c r="V871">
        <v>1</v>
      </c>
      <c r="W871">
        <v>0</v>
      </c>
      <c r="X871">
        <v>5947383</v>
      </c>
      <c r="Y871">
        <v>5947383</v>
      </c>
    </row>
    <row r="872" spans="1:25" x14ac:dyDescent="0.25">
      <c r="A872">
        <v>59</v>
      </c>
      <c r="B872" t="s">
        <v>2200</v>
      </c>
      <c r="C872" t="s">
        <v>32</v>
      </c>
      <c r="D872" t="s">
        <v>953</v>
      </c>
      <c r="E872">
        <v>3575</v>
      </c>
      <c r="F872" t="s">
        <v>954</v>
      </c>
      <c r="G872" t="s">
        <v>955</v>
      </c>
      <c r="H872" t="s">
        <v>478</v>
      </c>
      <c r="I872" t="s">
        <v>956</v>
      </c>
      <c r="L872" t="b">
        <v>1</v>
      </c>
      <c r="M872" t="s">
        <v>31</v>
      </c>
      <c r="N872" t="s">
        <v>32</v>
      </c>
      <c r="P872" t="s">
        <v>579</v>
      </c>
      <c r="Q872">
        <v>1</v>
      </c>
      <c r="R872">
        <v>3</v>
      </c>
      <c r="S872">
        <v>29.5</v>
      </c>
      <c r="T872">
        <v>43060000</v>
      </c>
      <c r="U872">
        <v>43060000</v>
      </c>
      <c r="V872">
        <v>1</v>
      </c>
      <c r="W872">
        <v>0</v>
      </c>
      <c r="X872">
        <v>12702699.999999991</v>
      </c>
      <c r="Y872">
        <v>12702699.999999991</v>
      </c>
    </row>
    <row r="873" spans="1:25" x14ac:dyDescent="0.25">
      <c r="A873">
        <v>59</v>
      </c>
      <c r="B873" t="s">
        <v>2200</v>
      </c>
      <c r="C873" t="s">
        <v>32</v>
      </c>
      <c r="D873" t="s">
        <v>2205</v>
      </c>
      <c r="E873">
        <v>651</v>
      </c>
      <c r="F873" t="s">
        <v>2206</v>
      </c>
      <c r="G873" t="s">
        <v>2207</v>
      </c>
      <c r="H873" t="s">
        <v>960</v>
      </c>
      <c r="I873" t="s">
        <v>2208</v>
      </c>
      <c r="L873" t="b">
        <v>1</v>
      </c>
      <c r="M873" t="s">
        <v>31</v>
      </c>
      <c r="N873" t="s">
        <v>32</v>
      </c>
      <c r="P873" t="s">
        <v>579</v>
      </c>
      <c r="Q873">
        <v>1</v>
      </c>
      <c r="R873">
        <v>3</v>
      </c>
      <c r="S873">
        <v>99.603200000000001</v>
      </c>
      <c r="T873">
        <v>1133000</v>
      </c>
      <c r="U873">
        <v>1133000</v>
      </c>
      <c r="V873">
        <v>1</v>
      </c>
      <c r="W873">
        <v>16702.310000000001</v>
      </c>
      <c r="X873">
        <v>1128504.26</v>
      </c>
      <c r="Y873">
        <v>1145206.57</v>
      </c>
    </row>
    <row r="874" spans="1:25" x14ac:dyDescent="0.25">
      <c r="A874">
        <v>59</v>
      </c>
      <c r="B874" t="s">
        <v>2200</v>
      </c>
      <c r="C874" t="s">
        <v>32</v>
      </c>
      <c r="D874" t="s">
        <v>957</v>
      </c>
      <c r="E874">
        <v>1539</v>
      </c>
      <c r="F874" t="s">
        <v>958</v>
      </c>
      <c r="G874" t="s">
        <v>959</v>
      </c>
      <c r="H874" t="s">
        <v>960</v>
      </c>
      <c r="I874" t="s">
        <v>961</v>
      </c>
      <c r="L874" t="b">
        <v>1</v>
      </c>
      <c r="M874" t="s">
        <v>31</v>
      </c>
      <c r="N874" t="s">
        <v>32</v>
      </c>
      <c r="P874" t="s">
        <v>579</v>
      </c>
      <c r="Q874">
        <v>1</v>
      </c>
      <c r="R874">
        <v>3</v>
      </c>
      <c r="S874">
        <v>94.262820000000005</v>
      </c>
      <c r="T874">
        <v>8110000</v>
      </c>
      <c r="U874">
        <v>8110000</v>
      </c>
      <c r="V874">
        <v>1</v>
      </c>
      <c r="W874">
        <v>7687.6</v>
      </c>
      <c r="X874">
        <v>7644714.6999999993</v>
      </c>
      <c r="Y874">
        <v>7652402.2999999989</v>
      </c>
    </row>
    <row r="875" spans="1:25" x14ac:dyDescent="0.25">
      <c r="A875">
        <v>59</v>
      </c>
      <c r="B875" t="s">
        <v>2200</v>
      </c>
      <c r="C875" t="s">
        <v>32</v>
      </c>
      <c r="D875" t="s">
        <v>480</v>
      </c>
      <c r="E875">
        <v>160598</v>
      </c>
      <c r="F875" t="s">
        <v>481</v>
      </c>
      <c r="G875" t="s">
        <v>482</v>
      </c>
      <c r="H875" t="s">
        <v>483</v>
      </c>
      <c r="I875" t="s">
        <v>484</v>
      </c>
      <c r="J875" t="s">
        <v>481</v>
      </c>
      <c r="K875" t="s">
        <v>485</v>
      </c>
      <c r="L875" t="b">
        <v>1</v>
      </c>
      <c r="M875" t="s">
        <v>61</v>
      </c>
      <c r="N875" t="s">
        <v>32</v>
      </c>
      <c r="P875" t="s">
        <v>579</v>
      </c>
      <c r="Q875">
        <v>1</v>
      </c>
      <c r="R875">
        <v>3</v>
      </c>
      <c r="S875">
        <v>102.45</v>
      </c>
      <c r="T875">
        <v>22500000</v>
      </c>
      <c r="U875">
        <v>22500000</v>
      </c>
      <c r="V875">
        <v>1</v>
      </c>
      <c r="W875">
        <v>752250</v>
      </c>
      <c r="X875">
        <v>23051250</v>
      </c>
      <c r="Y875">
        <v>23803500</v>
      </c>
    </row>
    <row r="876" spans="1:25" x14ac:dyDescent="0.25">
      <c r="A876">
        <v>59</v>
      </c>
      <c r="B876" t="s">
        <v>2200</v>
      </c>
      <c r="C876" t="s">
        <v>32</v>
      </c>
      <c r="D876" t="s">
        <v>2209</v>
      </c>
      <c r="E876">
        <v>718</v>
      </c>
      <c r="F876" t="s">
        <v>2210</v>
      </c>
      <c r="G876" t="s">
        <v>2211</v>
      </c>
      <c r="H876" t="s">
        <v>2212</v>
      </c>
      <c r="I876" t="s">
        <v>2213</v>
      </c>
      <c r="L876" t="b">
        <v>1</v>
      </c>
      <c r="M876" t="s">
        <v>31</v>
      </c>
      <c r="N876" t="s">
        <v>32</v>
      </c>
      <c r="P876" t="s">
        <v>579</v>
      </c>
      <c r="Q876">
        <v>1</v>
      </c>
      <c r="R876">
        <v>3</v>
      </c>
      <c r="S876">
        <v>1.552</v>
      </c>
      <c r="T876">
        <v>610000</v>
      </c>
      <c r="U876">
        <v>610000</v>
      </c>
      <c r="V876">
        <v>1</v>
      </c>
      <c r="W876">
        <v>0</v>
      </c>
      <c r="X876">
        <v>9467.2000000000007</v>
      </c>
      <c r="Y876">
        <v>9467.2000000000007</v>
      </c>
    </row>
    <row r="877" spans="1:25" x14ac:dyDescent="0.25">
      <c r="A877">
        <v>59</v>
      </c>
      <c r="B877" t="s">
        <v>2200</v>
      </c>
      <c r="C877" t="s">
        <v>32</v>
      </c>
      <c r="D877" t="s">
        <v>962</v>
      </c>
      <c r="E877">
        <v>177952</v>
      </c>
      <c r="F877" t="s">
        <v>963</v>
      </c>
      <c r="G877" t="s">
        <v>964</v>
      </c>
      <c r="H877" t="s">
        <v>965</v>
      </c>
      <c r="I877" t="s">
        <v>966</v>
      </c>
      <c r="J877" t="s">
        <v>963</v>
      </c>
      <c r="K877" t="s">
        <v>967</v>
      </c>
      <c r="L877" t="b">
        <v>1</v>
      </c>
      <c r="M877" t="s">
        <v>968</v>
      </c>
      <c r="N877" t="s">
        <v>32</v>
      </c>
      <c r="P877" t="s">
        <v>579</v>
      </c>
      <c r="Q877">
        <v>1</v>
      </c>
      <c r="R877">
        <v>3</v>
      </c>
      <c r="S877">
        <v>107.49</v>
      </c>
      <c r="T877">
        <v>3750000</v>
      </c>
      <c r="U877">
        <v>3750000</v>
      </c>
      <c r="V877">
        <v>1</v>
      </c>
      <c r="W877">
        <v>6307.29</v>
      </c>
      <c r="X877">
        <v>4030875</v>
      </c>
      <c r="Y877">
        <v>4037182.29</v>
      </c>
    </row>
    <row r="878" spans="1:25" x14ac:dyDescent="0.25">
      <c r="A878">
        <v>59</v>
      </c>
      <c r="B878" t="s">
        <v>2200</v>
      </c>
      <c r="C878" t="s">
        <v>32</v>
      </c>
      <c r="D878" t="s">
        <v>969</v>
      </c>
      <c r="E878">
        <v>174399</v>
      </c>
      <c r="F878" t="s">
        <v>970</v>
      </c>
      <c r="G878" t="s">
        <v>971</v>
      </c>
      <c r="H878" t="s">
        <v>210</v>
      </c>
      <c r="I878" t="s">
        <v>972</v>
      </c>
      <c r="J878" t="s">
        <v>970</v>
      </c>
      <c r="K878" t="s">
        <v>973</v>
      </c>
      <c r="L878" t="b">
        <v>1</v>
      </c>
      <c r="M878" t="s">
        <v>44</v>
      </c>
      <c r="N878" t="s">
        <v>32</v>
      </c>
      <c r="P878" t="s">
        <v>579</v>
      </c>
      <c r="Q878">
        <v>1</v>
      </c>
      <c r="R878">
        <v>3</v>
      </c>
      <c r="S878">
        <v>103.325</v>
      </c>
      <c r="T878">
        <v>12950000</v>
      </c>
      <c r="U878">
        <v>12950000</v>
      </c>
      <c r="V878">
        <v>1</v>
      </c>
      <c r="W878">
        <v>365190</v>
      </c>
      <c r="X878">
        <v>13380587.5</v>
      </c>
      <c r="Y878">
        <v>13745777.5</v>
      </c>
    </row>
    <row r="879" spans="1:25" x14ac:dyDescent="0.25">
      <c r="A879">
        <v>59</v>
      </c>
      <c r="B879" t="s">
        <v>2200</v>
      </c>
      <c r="C879" t="s">
        <v>32</v>
      </c>
      <c r="D879" t="s">
        <v>974</v>
      </c>
      <c r="E879">
        <v>731</v>
      </c>
      <c r="F879" t="s">
        <v>975</v>
      </c>
      <c r="G879" t="s">
        <v>976</v>
      </c>
      <c r="H879" t="s">
        <v>977</v>
      </c>
      <c r="I879" t="s">
        <v>978</v>
      </c>
      <c r="L879" t="b">
        <v>1</v>
      </c>
      <c r="M879" t="s">
        <v>44</v>
      </c>
      <c r="N879" t="s">
        <v>32</v>
      </c>
      <c r="P879" t="s">
        <v>579</v>
      </c>
      <c r="Q879">
        <v>1</v>
      </c>
      <c r="R879">
        <v>3</v>
      </c>
      <c r="S879">
        <v>96.25</v>
      </c>
      <c r="T879">
        <v>649537.80000000005</v>
      </c>
      <c r="U879">
        <v>1255000</v>
      </c>
      <c r="V879">
        <v>0.51759999999999995</v>
      </c>
      <c r="W879">
        <v>4055.1</v>
      </c>
      <c r="X879">
        <v>625180.13</v>
      </c>
      <c r="Y879">
        <v>629235.23</v>
      </c>
    </row>
    <row r="880" spans="1:25" x14ac:dyDescent="0.25">
      <c r="A880">
        <v>59</v>
      </c>
      <c r="B880" t="s">
        <v>2200</v>
      </c>
      <c r="C880" t="s">
        <v>32</v>
      </c>
      <c r="D880" t="s">
        <v>979</v>
      </c>
      <c r="E880">
        <v>196178</v>
      </c>
      <c r="F880" t="s">
        <v>980</v>
      </c>
      <c r="G880" t="s">
        <v>981</v>
      </c>
      <c r="H880" t="s">
        <v>494</v>
      </c>
      <c r="I880" t="s">
        <v>982</v>
      </c>
      <c r="J880" t="s">
        <v>980</v>
      </c>
      <c r="K880" t="s">
        <v>983</v>
      </c>
      <c r="L880" t="b">
        <v>1</v>
      </c>
      <c r="M880" t="s">
        <v>112</v>
      </c>
      <c r="N880" t="s">
        <v>32</v>
      </c>
      <c r="P880" t="s">
        <v>579</v>
      </c>
      <c r="Q880">
        <v>1</v>
      </c>
      <c r="R880">
        <v>3</v>
      </c>
      <c r="S880">
        <v>102.25</v>
      </c>
      <c r="T880">
        <v>18700000</v>
      </c>
      <c r="U880">
        <v>18700000</v>
      </c>
      <c r="V880">
        <v>1</v>
      </c>
      <c r="W880">
        <v>388609.37</v>
      </c>
      <c r="X880">
        <v>19120750</v>
      </c>
      <c r="Y880">
        <v>19509359.370000001</v>
      </c>
    </row>
    <row r="881" spans="1:25" x14ac:dyDescent="0.25">
      <c r="A881">
        <v>59</v>
      </c>
      <c r="B881" t="s">
        <v>2200</v>
      </c>
      <c r="C881" t="s">
        <v>32</v>
      </c>
      <c r="D881" t="s">
        <v>984</v>
      </c>
      <c r="E881">
        <v>177297</v>
      </c>
      <c r="F881" t="s">
        <v>985</v>
      </c>
      <c r="G881" t="s">
        <v>986</v>
      </c>
      <c r="H881" t="s">
        <v>987</v>
      </c>
      <c r="I881" t="s">
        <v>986</v>
      </c>
      <c r="L881" t="b">
        <v>0</v>
      </c>
      <c r="M881" t="s">
        <v>112</v>
      </c>
      <c r="N881" t="s">
        <v>32</v>
      </c>
      <c r="P881" t="s">
        <v>579</v>
      </c>
      <c r="Q881">
        <v>1</v>
      </c>
      <c r="R881">
        <v>3</v>
      </c>
      <c r="S881">
        <v>100</v>
      </c>
      <c r="T881">
        <v>67914000</v>
      </c>
      <c r="U881">
        <v>67914000</v>
      </c>
      <c r="V881">
        <v>1</v>
      </c>
      <c r="W881">
        <v>405172.45000000013</v>
      </c>
      <c r="X881">
        <v>67914000</v>
      </c>
      <c r="Y881">
        <v>68319172.450000003</v>
      </c>
    </row>
    <row r="882" spans="1:25" x14ac:dyDescent="0.25">
      <c r="A882">
        <v>59</v>
      </c>
      <c r="B882" t="s">
        <v>2200</v>
      </c>
      <c r="C882" t="s">
        <v>32</v>
      </c>
      <c r="D882" t="s">
        <v>988</v>
      </c>
      <c r="E882">
        <v>31569</v>
      </c>
      <c r="F882" t="s">
        <v>989</v>
      </c>
      <c r="G882" t="s">
        <v>990</v>
      </c>
      <c r="H882" t="s">
        <v>991</v>
      </c>
      <c r="I882" t="s">
        <v>992</v>
      </c>
      <c r="L882" t="b">
        <v>1</v>
      </c>
      <c r="M882" t="s">
        <v>895</v>
      </c>
      <c r="N882" t="s">
        <v>32</v>
      </c>
      <c r="P882" t="s">
        <v>579</v>
      </c>
      <c r="Q882">
        <v>1</v>
      </c>
      <c r="R882">
        <v>3</v>
      </c>
      <c r="S882">
        <v>98.240319999999997</v>
      </c>
      <c r="T882">
        <v>2500000</v>
      </c>
      <c r="U882">
        <v>2500000</v>
      </c>
      <c r="V882">
        <v>1</v>
      </c>
      <c r="W882">
        <v>41232.639999999999</v>
      </c>
      <c r="X882">
        <v>2456008</v>
      </c>
      <c r="Y882">
        <v>2497240.6400000011</v>
      </c>
    </row>
    <row r="883" spans="1:25" x14ac:dyDescent="0.25">
      <c r="A883">
        <v>59</v>
      </c>
      <c r="B883" t="s">
        <v>2200</v>
      </c>
      <c r="C883" t="s">
        <v>32</v>
      </c>
      <c r="D883" t="s">
        <v>993</v>
      </c>
      <c r="E883">
        <v>187071</v>
      </c>
      <c r="F883" t="s">
        <v>994</v>
      </c>
      <c r="G883" t="s">
        <v>995</v>
      </c>
      <c r="H883" t="s">
        <v>218</v>
      </c>
      <c r="I883" t="s">
        <v>996</v>
      </c>
      <c r="J883" t="s">
        <v>994</v>
      </c>
      <c r="K883" t="s">
        <v>997</v>
      </c>
      <c r="L883" t="b">
        <v>1</v>
      </c>
      <c r="M883" t="s">
        <v>50</v>
      </c>
      <c r="N883" t="s">
        <v>32</v>
      </c>
      <c r="P883" t="s">
        <v>579</v>
      </c>
      <c r="Q883">
        <v>1</v>
      </c>
      <c r="R883">
        <v>3</v>
      </c>
      <c r="S883">
        <v>97.513000000000005</v>
      </c>
      <c r="T883">
        <v>9150000</v>
      </c>
      <c r="U883">
        <v>9150000</v>
      </c>
      <c r="V883">
        <v>1</v>
      </c>
      <c r="W883">
        <v>88551.67</v>
      </c>
      <c r="X883">
        <v>8922439.5</v>
      </c>
      <c r="Y883">
        <v>9010991.1699999999</v>
      </c>
    </row>
    <row r="884" spans="1:25" x14ac:dyDescent="0.25">
      <c r="A884">
        <v>59</v>
      </c>
      <c r="B884" t="s">
        <v>2200</v>
      </c>
      <c r="C884" t="s">
        <v>32</v>
      </c>
      <c r="D884" t="s">
        <v>998</v>
      </c>
      <c r="E884">
        <v>36210</v>
      </c>
      <c r="F884" t="s">
        <v>999</v>
      </c>
      <c r="G884" t="s">
        <v>1000</v>
      </c>
      <c r="H884" t="s">
        <v>1001</v>
      </c>
      <c r="I884" t="s">
        <v>1002</v>
      </c>
      <c r="L884" t="b">
        <v>1</v>
      </c>
      <c r="M884" t="s">
        <v>895</v>
      </c>
      <c r="N884" t="s">
        <v>32</v>
      </c>
      <c r="P884" t="s">
        <v>579</v>
      </c>
      <c r="Q884">
        <v>1</v>
      </c>
      <c r="R884">
        <v>3</v>
      </c>
      <c r="S884">
        <v>93.5625</v>
      </c>
      <c r="T884">
        <v>5500000</v>
      </c>
      <c r="U884">
        <v>5500000</v>
      </c>
      <c r="V884">
        <v>1</v>
      </c>
      <c r="W884">
        <v>139371.53</v>
      </c>
      <c r="X884">
        <v>5145937.51</v>
      </c>
      <c r="Y884">
        <v>5285309.04</v>
      </c>
    </row>
    <row r="885" spans="1:25" x14ac:dyDescent="0.25">
      <c r="A885">
        <v>59</v>
      </c>
      <c r="B885" t="s">
        <v>2200</v>
      </c>
      <c r="C885" t="s">
        <v>32</v>
      </c>
      <c r="D885" t="s">
        <v>1003</v>
      </c>
      <c r="E885">
        <v>157995</v>
      </c>
      <c r="F885" t="s">
        <v>1004</v>
      </c>
      <c r="G885" t="s">
        <v>1005</v>
      </c>
      <c r="H885" t="s">
        <v>502</v>
      </c>
      <c r="I885" t="s">
        <v>1006</v>
      </c>
      <c r="J885" t="s">
        <v>1004</v>
      </c>
      <c r="K885" t="s">
        <v>1007</v>
      </c>
      <c r="L885" t="b">
        <v>1</v>
      </c>
      <c r="M885" t="s">
        <v>31</v>
      </c>
      <c r="N885" t="s">
        <v>32</v>
      </c>
      <c r="P885" t="s">
        <v>579</v>
      </c>
      <c r="Q885">
        <v>1</v>
      </c>
      <c r="R885">
        <v>3</v>
      </c>
      <c r="S885">
        <v>124.95099999999999</v>
      </c>
      <c r="T885">
        <v>105099032</v>
      </c>
      <c r="U885">
        <v>105099032</v>
      </c>
      <c r="V885">
        <v>1</v>
      </c>
      <c r="W885">
        <v>1663192.19</v>
      </c>
      <c r="X885">
        <v>131322291.47</v>
      </c>
      <c r="Y885">
        <v>132985483.66</v>
      </c>
    </row>
    <row r="886" spans="1:25" x14ac:dyDescent="0.25">
      <c r="A886">
        <v>59</v>
      </c>
      <c r="B886" t="s">
        <v>2200</v>
      </c>
      <c r="C886" t="s">
        <v>32</v>
      </c>
      <c r="D886" t="s">
        <v>499</v>
      </c>
      <c r="E886">
        <v>226889</v>
      </c>
      <c r="F886" t="s">
        <v>500</v>
      </c>
      <c r="G886" t="s">
        <v>501</v>
      </c>
      <c r="H886" t="s">
        <v>502</v>
      </c>
      <c r="I886" t="s">
        <v>503</v>
      </c>
      <c r="J886" t="s">
        <v>500</v>
      </c>
      <c r="K886" t="s">
        <v>504</v>
      </c>
      <c r="L886" t="b">
        <v>1</v>
      </c>
      <c r="M886" t="s">
        <v>31</v>
      </c>
      <c r="N886" t="s">
        <v>32</v>
      </c>
      <c r="P886" t="s">
        <v>579</v>
      </c>
      <c r="Q886">
        <v>1</v>
      </c>
      <c r="R886">
        <v>3</v>
      </c>
      <c r="S886">
        <v>100.75</v>
      </c>
      <c r="T886">
        <v>55350000</v>
      </c>
      <c r="U886">
        <v>55350000</v>
      </c>
      <c r="V886">
        <v>1</v>
      </c>
      <c r="W886">
        <v>0</v>
      </c>
      <c r="X886">
        <v>55765125</v>
      </c>
      <c r="Y886">
        <v>55765125</v>
      </c>
    </row>
    <row r="887" spans="1:25" x14ac:dyDescent="0.25">
      <c r="A887">
        <v>59</v>
      </c>
      <c r="B887" t="s">
        <v>2200</v>
      </c>
      <c r="C887" t="s">
        <v>32</v>
      </c>
      <c r="D887" t="s">
        <v>505</v>
      </c>
      <c r="E887">
        <v>151819</v>
      </c>
      <c r="F887" t="s">
        <v>506</v>
      </c>
      <c r="G887" t="s">
        <v>507</v>
      </c>
      <c r="H887" t="s">
        <v>502</v>
      </c>
      <c r="I887" t="s">
        <v>508</v>
      </c>
      <c r="J887" t="s">
        <v>506</v>
      </c>
      <c r="K887" t="s">
        <v>509</v>
      </c>
      <c r="L887" t="b">
        <v>1</v>
      </c>
      <c r="M887" t="s">
        <v>31</v>
      </c>
      <c r="N887" t="s">
        <v>32</v>
      </c>
      <c r="P887" t="s">
        <v>579</v>
      </c>
      <c r="Q887">
        <v>1</v>
      </c>
      <c r="R887">
        <v>3</v>
      </c>
      <c r="S887">
        <v>105.6</v>
      </c>
      <c r="T887">
        <v>33000000</v>
      </c>
      <c r="U887">
        <v>33000000</v>
      </c>
      <c r="V887">
        <v>1</v>
      </c>
      <c r="W887">
        <v>721875</v>
      </c>
      <c r="X887">
        <v>34848000</v>
      </c>
      <c r="Y887">
        <v>35569875</v>
      </c>
    </row>
    <row r="888" spans="1:25" x14ac:dyDescent="0.25">
      <c r="A888">
        <v>59</v>
      </c>
      <c r="B888" t="s">
        <v>2200</v>
      </c>
      <c r="C888" t="s">
        <v>32</v>
      </c>
      <c r="D888" t="s">
        <v>510</v>
      </c>
      <c r="E888">
        <v>758</v>
      </c>
      <c r="F888" t="s">
        <v>511</v>
      </c>
      <c r="G888" t="s">
        <v>512</v>
      </c>
      <c r="H888" t="s">
        <v>149</v>
      </c>
      <c r="I888" t="s">
        <v>513</v>
      </c>
      <c r="L888" t="b">
        <v>1</v>
      </c>
      <c r="M888" t="s">
        <v>81</v>
      </c>
      <c r="N888" t="s">
        <v>32</v>
      </c>
      <c r="P888" t="s">
        <v>579</v>
      </c>
      <c r="Q888">
        <v>1</v>
      </c>
      <c r="R888">
        <v>3</v>
      </c>
      <c r="S888">
        <v>96.63</v>
      </c>
      <c r="T888">
        <v>1197495.8999999999</v>
      </c>
      <c r="U888">
        <v>1710000</v>
      </c>
      <c r="V888">
        <v>0.70030000000000003</v>
      </c>
      <c r="W888">
        <v>3592.48</v>
      </c>
      <c r="X888">
        <v>1157140.29</v>
      </c>
      <c r="Y888">
        <v>1160732.77</v>
      </c>
    </row>
    <row r="889" spans="1:25" x14ac:dyDescent="0.25">
      <c r="A889">
        <v>59</v>
      </c>
      <c r="B889" t="s">
        <v>2200</v>
      </c>
      <c r="C889" t="s">
        <v>32</v>
      </c>
      <c r="D889" t="s">
        <v>514</v>
      </c>
      <c r="E889">
        <v>213327</v>
      </c>
      <c r="F889" t="s">
        <v>515</v>
      </c>
      <c r="G889" t="s">
        <v>516</v>
      </c>
      <c r="H889" t="s">
        <v>517</v>
      </c>
      <c r="I889" t="s">
        <v>516</v>
      </c>
      <c r="L889" t="b">
        <v>0</v>
      </c>
      <c r="M889" t="s">
        <v>31</v>
      </c>
      <c r="N889" t="s">
        <v>32</v>
      </c>
      <c r="P889" t="s">
        <v>579</v>
      </c>
      <c r="Q889">
        <v>1</v>
      </c>
      <c r="R889">
        <v>3</v>
      </c>
      <c r="S889">
        <v>100</v>
      </c>
      <c r="T889">
        <v>66000000</v>
      </c>
      <c r="U889">
        <v>66000000</v>
      </c>
      <c r="V889">
        <v>1</v>
      </c>
      <c r="W889">
        <v>2240109.2599999998</v>
      </c>
      <c r="X889">
        <v>66000000</v>
      </c>
      <c r="Y889">
        <v>68240109.260000005</v>
      </c>
    </row>
    <row r="890" spans="1:25" x14ac:dyDescent="0.25">
      <c r="A890">
        <v>59</v>
      </c>
      <c r="B890" t="s">
        <v>2200</v>
      </c>
      <c r="C890" t="s">
        <v>32</v>
      </c>
      <c r="D890" t="s">
        <v>1008</v>
      </c>
      <c r="E890">
        <v>31968</v>
      </c>
      <c r="F890" t="s">
        <v>1009</v>
      </c>
      <c r="G890" t="s">
        <v>1010</v>
      </c>
      <c r="H890" t="s">
        <v>517</v>
      </c>
      <c r="I890" t="s">
        <v>1011</v>
      </c>
      <c r="L890" t="b">
        <v>1</v>
      </c>
      <c r="M890" t="s">
        <v>31</v>
      </c>
      <c r="N890" t="s">
        <v>32</v>
      </c>
      <c r="P890" t="s">
        <v>579</v>
      </c>
      <c r="Q890">
        <v>1</v>
      </c>
      <c r="R890">
        <v>3</v>
      </c>
      <c r="S890">
        <v>61.83719</v>
      </c>
      <c r="T890">
        <v>33502000</v>
      </c>
      <c r="U890">
        <v>33502000</v>
      </c>
      <c r="V890">
        <v>1</v>
      </c>
      <c r="W890">
        <v>219507.9</v>
      </c>
      <c r="X890">
        <v>20716695.399999999</v>
      </c>
      <c r="Y890">
        <v>20936203.300000001</v>
      </c>
    </row>
    <row r="891" spans="1:25" x14ac:dyDescent="0.25">
      <c r="A891">
        <v>59</v>
      </c>
      <c r="B891" t="s">
        <v>2200</v>
      </c>
      <c r="C891" t="s">
        <v>32</v>
      </c>
      <c r="D891" t="s">
        <v>1012</v>
      </c>
      <c r="E891">
        <v>36293</v>
      </c>
      <c r="F891" t="s">
        <v>1013</v>
      </c>
      <c r="G891" t="s">
        <v>1014</v>
      </c>
      <c r="H891" t="s">
        <v>517</v>
      </c>
      <c r="I891" t="s">
        <v>1015</v>
      </c>
      <c r="L891" t="b">
        <v>1</v>
      </c>
      <c r="M891" t="s">
        <v>31</v>
      </c>
      <c r="N891" t="s">
        <v>32</v>
      </c>
      <c r="P891" t="s">
        <v>579</v>
      </c>
      <c r="Q891">
        <v>1</v>
      </c>
      <c r="R891">
        <v>3</v>
      </c>
      <c r="S891">
        <v>61.8155</v>
      </c>
      <c r="T891">
        <v>18350000</v>
      </c>
      <c r="U891">
        <v>18350000</v>
      </c>
      <c r="V891">
        <v>1</v>
      </c>
      <c r="W891">
        <v>338391.85</v>
      </c>
      <c r="X891">
        <v>11343144.27</v>
      </c>
      <c r="Y891">
        <v>11681536.119999999</v>
      </c>
    </row>
    <row r="892" spans="1:25" x14ac:dyDescent="0.25">
      <c r="A892">
        <v>59</v>
      </c>
      <c r="B892" t="s">
        <v>2200</v>
      </c>
      <c r="C892" t="s">
        <v>32</v>
      </c>
      <c r="D892" t="s">
        <v>1016</v>
      </c>
      <c r="E892">
        <v>4244</v>
      </c>
      <c r="F892" t="s">
        <v>1017</v>
      </c>
      <c r="G892" t="s">
        <v>1018</v>
      </c>
      <c r="H892" t="s">
        <v>517</v>
      </c>
      <c r="I892" t="s">
        <v>1019</v>
      </c>
      <c r="L892" t="b">
        <v>1</v>
      </c>
      <c r="M892" t="s">
        <v>31</v>
      </c>
      <c r="N892" t="s">
        <v>32</v>
      </c>
      <c r="P892" t="s">
        <v>579</v>
      </c>
      <c r="Q892">
        <v>1</v>
      </c>
      <c r="R892">
        <v>3</v>
      </c>
      <c r="S892">
        <v>83.910499999999999</v>
      </c>
      <c r="T892">
        <v>49900000</v>
      </c>
      <c r="U892">
        <v>49900000</v>
      </c>
      <c r="V892">
        <v>1</v>
      </c>
      <c r="W892">
        <v>28068.77</v>
      </c>
      <c r="X892">
        <v>41871339.50999999</v>
      </c>
      <c r="Y892">
        <v>41899408.279999986</v>
      </c>
    </row>
    <row r="893" spans="1:25" x14ac:dyDescent="0.25">
      <c r="A893">
        <v>59</v>
      </c>
      <c r="B893" t="s">
        <v>2200</v>
      </c>
      <c r="C893" t="s">
        <v>32</v>
      </c>
      <c r="D893" t="s">
        <v>518</v>
      </c>
      <c r="E893">
        <v>114779</v>
      </c>
      <c r="F893" t="s">
        <v>519</v>
      </c>
      <c r="G893" t="s">
        <v>520</v>
      </c>
      <c r="H893" t="s">
        <v>517</v>
      </c>
      <c r="I893" t="s">
        <v>521</v>
      </c>
      <c r="J893" t="s">
        <v>519</v>
      </c>
      <c r="K893" t="s">
        <v>522</v>
      </c>
      <c r="L893" t="b">
        <v>1</v>
      </c>
      <c r="M893" t="s">
        <v>31</v>
      </c>
      <c r="N893" t="s">
        <v>32</v>
      </c>
      <c r="P893" t="s">
        <v>579</v>
      </c>
      <c r="Q893">
        <v>1</v>
      </c>
      <c r="R893">
        <v>3</v>
      </c>
      <c r="S893">
        <v>70.6815</v>
      </c>
      <c r="T893">
        <v>13800000</v>
      </c>
      <c r="U893">
        <v>13800000</v>
      </c>
      <c r="V893">
        <v>1</v>
      </c>
      <c r="W893">
        <v>190516.67</v>
      </c>
      <c r="X893">
        <v>9754047</v>
      </c>
      <c r="Y893">
        <v>9944563.6699999999</v>
      </c>
    </row>
    <row r="894" spans="1:25" x14ac:dyDescent="0.25">
      <c r="A894">
        <v>59</v>
      </c>
      <c r="B894" t="s">
        <v>2200</v>
      </c>
      <c r="C894" t="s">
        <v>32</v>
      </c>
      <c r="D894" t="s">
        <v>1020</v>
      </c>
      <c r="E894">
        <v>31570</v>
      </c>
      <c r="F894" t="s">
        <v>1021</v>
      </c>
      <c r="G894" t="s">
        <v>1022</v>
      </c>
      <c r="H894" t="s">
        <v>526</v>
      </c>
      <c r="I894" t="s">
        <v>1023</v>
      </c>
      <c r="L894" t="b">
        <v>1</v>
      </c>
      <c r="M894" t="s">
        <v>81</v>
      </c>
      <c r="N894" t="s">
        <v>32</v>
      </c>
      <c r="P894" t="s">
        <v>579</v>
      </c>
      <c r="Q894">
        <v>1</v>
      </c>
      <c r="R894">
        <v>3</v>
      </c>
      <c r="S894">
        <v>93.282470000000004</v>
      </c>
      <c r="T894">
        <v>16487000</v>
      </c>
      <c r="U894">
        <v>16487000</v>
      </c>
      <c r="V894">
        <v>1</v>
      </c>
      <c r="W894">
        <v>301506.02</v>
      </c>
      <c r="X894">
        <v>15379480.83</v>
      </c>
      <c r="Y894">
        <v>15680986.85</v>
      </c>
    </row>
    <row r="895" spans="1:25" x14ac:dyDescent="0.25">
      <c r="A895">
        <v>59</v>
      </c>
      <c r="B895" t="s">
        <v>2200</v>
      </c>
      <c r="C895" t="s">
        <v>32</v>
      </c>
      <c r="D895" t="s">
        <v>1024</v>
      </c>
      <c r="E895">
        <v>179279</v>
      </c>
      <c r="F895" t="s">
        <v>1025</v>
      </c>
      <c r="G895" t="s">
        <v>1026</v>
      </c>
      <c r="H895" t="s">
        <v>1027</v>
      </c>
      <c r="I895" t="s">
        <v>1028</v>
      </c>
      <c r="J895" t="s">
        <v>1025</v>
      </c>
      <c r="K895" t="s">
        <v>1029</v>
      </c>
      <c r="L895" t="b">
        <v>1</v>
      </c>
      <c r="M895" t="s">
        <v>1030</v>
      </c>
      <c r="N895" t="s">
        <v>32</v>
      </c>
      <c r="P895" t="s">
        <v>579</v>
      </c>
      <c r="Q895">
        <v>1</v>
      </c>
      <c r="R895">
        <v>3</v>
      </c>
      <c r="S895">
        <v>103.3317</v>
      </c>
      <c r="T895">
        <v>8350000</v>
      </c>
      <c r="U895">
        <v>8350000</v>
      </c>
      <c r="V895">
        <v>1</v>
      </c>
      <c r="W895">
        <v>360093.75</v>
      </c>
      <c r="X895">
        <v>8628196.9499999993</v>
      </c>
      <c r="Y895">
        <v>8988290.6999999993</v>
      </c>
    </row>
    <row r="896" spans="1:25" x14ac:dyDescent="0.25">
      <c r="A896">
        <v>59</v>
      </c>
      <c r="B896" t="s">
        <v>2200</v>
      </c>
      <c r="C896" t="s">
        <v>32</v>
      </c>
      <c r="D896" t="s">
        <v>1037</v>
      </c>
      <c r="E896">
        <v>4304</v>
      </c>
      <c r="F896" t="s">
        <v>1036</v>
      </c>
      <c r="G896" t="s">
        <v>1038</v>
      </c>
      <c r="H896" t="s">
        <v>1034</v>
      </c>
      <c r="I896" t="s">
        <v>1035</v>
      </c>
      <c r="J896" t="s">
        <v>1032</v>
      </c>
      <c r="K896" t="s">
        <v>1032</v>
      </c>
      <c r="L896" t="b">
        <v>1</v>
      </c>
      <c r="M896" t="s">
        <v>44</v>
      </c>
      <c r="N896" t="s">
        <v>32</v>
      </c>
      <c r="P896" t="s">
        <v>579</v>
      </c>
      <c r="Q896">
        <v>1</v>
      </c>
      <c r="R896">
        <v>3</v>
      </c>
      <c r="S896">
        <v>0.251</v>
      </c>
      <c r="T896">
        <v>45553000</v>
      </c>
      <c r="U896">
        <v>45553000</v>
      </c>
      <c r="V896">
        <v>1</v>
      </c>
      <c r="W896">
        <v>0</v>
      </c>
      <c r="X896">
        <v>114338.03</v>
      </c>
      <c r="Y896">
        <v>114338.03</v>
      </c>
    </row>
    <row r="897" spans="1:25" x14ac:dyDescent="0.25">
      <c r="A897">
        <v>59</v>
      </c>
      <c r="B897" t="s">
        <v>2200</v>
      </c>
      <c r="C897" t="s">
        <v>32</v>
      </c>
      <c r="D897" t="s">
        <v>528</v>
      </c>
      <c r="E897">
        <v>35708</v>
      </c>
      <c r="F897" t="s">
        <v>529</v>
      </c>
      <c r="G897" t="s">
        <v>530</v>
      </c>
      <c r="H897" t="s">
        <v>531</v>
      </c>
      <c r="I897" t="s">
        <v>530</v>
      </c>
      <c r="L897" t="b">
        <v>0</v>
      </c>
      <c r="M897" t="s">
        <v>81</v>
      </c>
      <c r="N897" t="s">
        <v>32</v>
      </c>
      <c r="P897" t="s">
        <v>579</v>
      </c>
      <c r="Q897">
        <v>1</v>
      </c>
      <c r="R897">
        <v>3</v>
      </c>
      <c r="S897">
        <v>91.244900000000001</v>
      </c>
      <c r="T897">
        <v>27522000</v>
      </c>
      <c r="U897">
        <v>27522000</v>
      </c>
      <c r="V897">
        <v>1</v>
      </c>
      <c r="W897">
        <v>314687.32</v>
      </c>
      <c r="X897">
        <v>25112421.379999999</v>
      </c>
      <c r="Y897">
        <v>25427108.699999999</v>
      </c>
    </row>
    <row r="898" spans="1:25" x14ac:dyDescent="0.25">
      <c r="A898">
        <v>59</v>
      </c>
      <c r="B898" t="s">
        <v>2200</v>
      </c>
      <c r="C898" t="s">
        <v>32</v>
      </c>
      <c r="D898" t="s">
        <v>1039</v>
      </c>
      <c r="E898">
        <v>30502</v>
      </c>
      <c r="F898" t="s">
        <v>1040</v>
      </c>
      <c r="G898" t="s">
        <v>1041</v>
      </c>
      <c r="H898" t="s">
        <v>531</v>
      </c>
      <c r="I898" t="s">
        <v>1041</v>
      </c>
      <c r="L898" t="b">
        <v>0</v>
      </c>
      <c r="M898" t="s">
        <v>81</v>
      </c>
      <c r="N898" t="s">
        <v>32</v>
      </c>
      <c r="P898" t="s">
        <v>579</v>
      </c>
      <c r="Q898">
        <v>1</v>
      </c>
      <c r="R898">
        <v>3</v>
      </c>
      <c r="S898">
        <v>79.492226000000002</v>
      </c>
      <c r="T898">
        <v>72441000</v>
      </c>
      <c r="U898">
        <v>72441000</v>
      </c>
      <c r="V898">
        <v>1</v>
      </c>
      <c r="W898">
        <v>744784.06</v>
      </c>
      <c r="X898">
        <v>57584963.430000007</v>
      </c>
      <c r="Y898">
        <v>58329747.49000001</v>
      </c>
    </row>
    <row r="899" spans="1:25" x14ac:dyDescent="0.25">
      <c r="A899">
        <v>59</v>
      </c>
      <c r="B899" t="s">
        <v>2200</v>
      </c>
      <c r="C899" t="s">
        <v>32</v>
      </c>
      <c r="D899" t="s">
        <v>1042</v>
      </c>
      <c r="E899">
        <v>35709</v>
      </c>
      <c r="F899" t="s">
        <v>1043</v>
      </c>
      <c r="G899" t="s">
        <v>1044</v>
      </c>
      <c r="H899" t="s">
        <v>531</v>
      </c>
      <c r="I899" t="s">
        <v>1044</v>
      </c>
      <c r="L899" t="b">
        <v>0</v>
      </c>
      <c r="M899" t="s">
        <v>81</v>
      </c>
      <c r="N899" t="s">
        <v>32</v>
      </c>
      <c r="P899" t="s">
        <v>579</v>
      </c>
      <c r="Q899">
        <v>1</v>
      </c>
      <c r="R899">
        <v>3</v>
      </c>
      <c r="S899">
        <v>77.224519999999998</v>
      </c>
      <c r="T899">
        <v>16976000</v>
      </c>
      <c r="U899">
        <v>16976000</v>
      </c>
      <c r="V899">
        <v>1</v>
      </c>
      <c r="W899">
        <v>246564.6</v>
      </c>
      <c r="X899">
        <v>13109634.52</v>
      </c>
      <c r="Y899">
        <v>13356199.119999999</v>
      </c>
    </row>
    <row r="900" spans="1:25" x14ac:dyDescent="0.25">
      <c r="A900">
        <v>59</v>
      </c>
      <c r="B900" t="s">
        <v>2200</v>
      </c>
      <c r="C900" t="s">
        <v>32</v>
      </c>
      <c r="D900" t="s">
        <v>1045</v>
      </c>
      <c r="E900">
        <v>2754</v>
      </c>
      <c r="F900" t="s">
        <v>1046</v>
      </c>
      <c r="G900" t="s">
        <v>1047</v>
      </c>
      <c r="H900" t="s">
        <v>531</v>
      </c>
      <c r="I900" t="s">
        <v>1047</v>
      </c>
      <c r="L900" t="b">
        <v>0</v>
      </c>
      <c r="M900" t="s">
        <v>81</v>
      </c>
      <c r="N900" t="s">
        <v>32</v>
      </c>
      <c r="P900" t="s">
        <v>579</v>
      </c>
      <c r="Q900">
        <v>1</v>
      </c>
      <c r="R900">
        <v>3</v>
      </c>
      <c r="S900">
        <v>101.4118</v>
      </c>
      <c r="T900">
        <v>15537000</v>
      </c>
      <c r="U900">
        <v>15537000</v>
      </c>
      <c r="V900">
        <v>1</v>
      </c>
      <c r="W900">
        <v>272976.46000000002</v>
      </c>
      <c r="X900">
        <v>15756351.369999999</v>
      </c>
      <c r="Y900">
        <v>16029327.83</v>
      </c>
    </row>
    <row r="901" spans="1:25" x14ac:dyDescent="0.25">
      <c r="A901">
        <v>59</v>
      </c>
      <c r="B901" t="s">
        <v>2200</v>
      </c>
      <c r="C901" t="s">
        <v>32</v>
      </c>
      <c r="D901" t="s">
        <v>1048</v>
      </c>
      <c r="E901">
        <v>30501</v>
      </c>
      <c r="F901" t="s">
        <v>1049</v>
      </c>
      <c r="G901" t="s">
        <v>1050</v>
      </c>
      <c r="H901" t="s">
        <v>531</v>
      </c>
      <c r="I901" t="s">
        <v>1050</v>
      </c>
      <c r="L901" t="b">
        <v>0</v>
      </c>
      <c r="M901" t="s">
        <v>81</v>
      </c>
      <c r="N901" t="s">
        <v>32</v>
      </c>
      <c r="P901" t="s">
        <v>579</v>
      </c>
      <c r="Q901">
        <v>1</v>
      </c>
      <c r="R901">
        <v>3</v>
      </c>
      <c r="S901">
        <v>96.238879999999995</v>
      </c>
      <c r="T901">
        <v>10054000</v>
      </c>
      <c r="U901">
        <v>10054000</v>
      </c>
      <c r="V901">
        <v>1</v>
      </c>
      <c r="W901">
        <v>273936.59000000003</v>
      </c>
      <c r="X901">
        <v>9675857.0000000019</v>
      </c>
      <c r="Y901">
        <v>9949793.5900000017</v>
      </c>
    </row>
    <row r="902" spans="1:25" x14ac:dyDescent="0.25">
      <c r="A902">
        <v>59</v>
      </c>
      <c r="B902" t="s">
        <v>2200</v>
      </c>
      <c r="C902" t="s">
        <v>32</v>
      </c>
      <c r="D902" t="s">
        <v>532</v>
      </c>
      <c r="E902">
        <v>149965</v>
      </c>
      <c r="F902" t="s">
        <v>533</v>
      </c>
      <c r="G902" t="s">
        <v>534</v>
      </c>
      <c r="H902" t="s">
        <v>531</v>
      </c>
      <c r="I902" t="s">
        <v>534</v>
      </c>
      <c r="L902" t="b">
        <v>0</v>
      </c>
      <c r="M902" t="s">
        <v>81</v>
      </c>
      <c r="N902" t="s">
        <v>32</v>
      </c>
      <c r="P902" t="s">
        <v>579</v>
      </c>
      <c r="Q902">
        <v>1</v>
      </c>
      <c r="R902">
        <v>3</v>
      </c>
      <c r="S902">
        <v>103.3185</v>
      </c>
      <c r="T902">
        <v>24000000</v>
      </c>
      <c r="U902">
        <v>24000000</v>
      </c>
      <c r="V902">
        <v>1</v>
      </c>
      <c r="W902">
        <v>930000</v>
      </c>
      <c r="X902">
        <v>24796440</v>
      </c>
      <c r="Y902">
        <v>25726440</v>
      </c>
    </row>
    <row r="903" spans="1:25" x14ac:dyDescent="0.25">
      <c r="A903">
        <v>59</v>
      </c>
      <c r="B903" t="s">
        <v>2200</v>
      </c>
      <c r="C903" t="s">
        <v>32</v>
      </c>
      <c r="D903" t="s">
        <v>1051</v>
      </c>
      <c r="E903">
        <v>120782</v>
      </c>
      <c r="F903" t="s">
        <v>1052</v>
      </c>
      <c r="G903" t="s">
        <v>1053</v>
      </c>
      <c r="H903" t="s">
        <v>531</v>
      </c>
      <c r="I903" t="s">
        <v>1053</v>
      </c>
      <c r="L903" t="b">
        <v>0</v>
      </c>
      <c r="M903" t="s">
        <v>81</v>
      </c>
      <c r="N903" t="s">
        <v>32</v>
      </c>
      <c r="P903" t="s">
        <v>579</v>
      </c>
      <c r="Q903">
        <v>1</v>
      </c>
      <c r="R903">
        <v>3</v>
      </c>
      <c r="S903">
        <v>105.729693</v>
      </c>
      <c r="T903">
        <v>400000</v>
      </c>
      <c r="U903">
        <v>400000</v>
      </c>
      <c r="V903">
        <v>1</v>
      </c>
      <c r="W903">
        <v>1116.67</v>
      </c>
      <c r="X903">
        <v>422918.77</v>
      </c>
      <c r="Y903">
        <v>424035.44</v>
      </c>
    </row>
    <row r="904" spans="1:25" x14ac:dyDescent="0.25">
      <c r="A904">
        <v>59</v>
      </c>
      <c r="B904" t="s">
        <v>2200</v>
      </c>
      <c r="C904" t="s">
        <v>32</v>
      </c>
      <c r="D904" t="s">
        <v>535</v>
      </c>
      <c r="E904">
        <v>53259</v>
      </c>
      <c r="F904" t="s">
        <v>536</v>
      </c>
      <c r="G904" t="s">
        <v>537</v>
      </c>
      <c r="H904" t="s">
        <v>531</v>
      </c>
      <c r="I904" t="s">
        <v>537</v>
      </c>
      <c r="L904" t="b">
        <v>0</v>
      </c>
      <c r="M904" t="s">
        <v>81</v>
      </c>
      <c r="N904" t="s">
        <v>32</v>
      </c>
      <c r="P904" t="s">
        <v>579</v>
      </c>
      <c r="Q904">
        <v>1</v>
      </c>
      <c r="R904">
        <v>3</v>
      </c>
      <c r="S904">
        <v>108.062</v>
      </c>
      <c r="T904">
        <v>40937000</v>
      </c>
      <c r="U904">
        <v>40937000</v>
      </c>
      <c r="V904">
        <v>1</v>
      </c>
      <c r="W904">
        <v>181657.95</v>
      </c>
      <c r="X904">
        <v>44237340.940000013</v>
      </c>
      <c r="Y904">
        <v>44418998.890000008</v>
      </c>
    </row>
    <row r="905" spans="1:25" x14ac:dyDescent="0.25">
      <c r="A905">
        <v>59</v>
      </c>
      <c r="B905" t="s">
        <v>2200</v>
      </c>
      <c r="C905" t="s">
        <v>32</v>
      </c>
      <c r="D905" t="s">
        <v>1054</v>
      </c>
      <c r="E905">
        <v>187871</v>
      </c>
      <c r="F905" t="s">
        <v>1055</v>
      </c>
      <c r="G905" t="s">
        <v>1056</v>
      </c>
      <c r="H905" t="s">
        <v>1057</v>
      </c>
      <c r="I905" t="s">
        <v>1058</v>
      </c>
      <c r="J905" t="s">
        <v>1055</v>
      </c>
      <c r="K905" t="s">
        <v>1059</v>
      </c>
      <c r="L905" t="b">
        <v>1</v>
      </c>
      <c r="M905" t="s">
        <v>895</v>
      </c>
      <c r="N905" t="s">
        <v>32</v>
      </c>
      <c r="P905" t="s">
        <v>579</v>
      </c>
      <c r="Q905">
        <v>1</v>
      </c>
      <c r="R905">
        <v>3</v>
      </c>
      <c r="S905">
        <v>98.591616000000002</v>
      </c>
      <c r="T905">
        <v>9500000</v>
      </c>
      <c r="U905">
        <v>9500000</v>
      </c>
      <c r="V905">
        <v>1</v>
      </c>
      <c r="W905">
        <v>211137.5</v>
      </c>
      <c r="X905">
        <v>9366203.5199999996</v>
      </c>
      <c r="Y905">
        <v>9577341.0199999996</v>
      </c>
    </row>
    <row r="906" spans="1:25" x14ac:dyDescent="0.25">
      <c r="A906">
        <v>59</v>
      </c>
      <c r="B906" t="s">
        <v>2200</v>
      </c>
      <c r="C906" t="s">
        <v>32</v>
      </c>
      <c r="D906" t="s">
        <v>1060</v>
      </c>
      <c r="E906">
        <v>221753</v>
      </c>
      <c r="F906" t="s">
        <v>1061</v>
      </c>
      <c r="G906" t="s">
        <v>1062</v>
      </c>
      <c r="H906" t="s">
        <v>1063</v>
      </c>
      <c r="I906" t="s">
        <v>1062</v>
      </c>
      <c r="L906" t="b">
        <v>0</v>
      </c>
      <c r="M906" t="s">
        <v>31</v>
      </c>
      <c r="N906" t="s">
        <v>32</v>
      </c>
      <c r="P906" t="s">
        <v>579</v>
      </c>
      <c r="Q906">
        <v>1</v>
      </c>
      <c r="R906">
        <v>3</v>
      </c>
      <c r="S906">
        <v>100.07955200000001</v>
      </c>
      <c r="T906">
        <v>36200000</v>
      </c>
      <c r="U906">
        <v>36200000</v>
      </c>
      <c r="V906">
        <v>1</v>
      </c>
      <c r="W906">
        <v>339500.69</v>
      </c>
      <c r="X906">
        <v>36228797.82</v>
      </c>
      <c r="Y906">
        <v>36568298.509999998</v>
      </c>
    </row>
    <row r="907" spans="1:25" x14ac:dyDescent="0.25">
      <c r="A907">
        <v>59</v>
      </c>
      <c r="B907" t="s">
        <v>2200</v>
      </c>
      <c r="C907" t="s">
        <v>32</v>
      </c>
      <c r="D907" t="s">
        <v>1064</v>
      </c>
      <c r="E907">
        <v>2182</v>
      </c>
      <c r="F907" t="s">
        <v>1065</v>
      </c>
      <c r="G907" t="s">
        <v>1066</v>
      </c>
      <c r="H907" t="s">
        <v>1067</v>
      </c>
      <c r="I907" t="s">
        <v>1068</v>
      </c>
      <c r="L907" t="b">
        <v>1</v>
      </c>
      <c r="M907" t="s">
        <v>31</v>
      </c>
      <c r="N907" t="s">
        <v>32</v>
      </c>
      <c r="P907" t="s">
        <v>579</v>
      </c>
      <c r="Q907">
        <v>1</v>
      </c>
      <c r="R907">
        <v>3</v>
      </c>
      <c r="S907">
        <v>96.114680000000007</v>
      </c>
      <c r="T907">
        <v>3900000</v>
      </c>
      <c r="U907">
        <v>3900000</v>
      </c>
      <c r="V907">
        <v>1</v>
      </c>
      <c r="W907">
        <v>88684.37</v>
      </c>
      <c r="X907">
        <v>3748472.52</v>
      </c>
      <c r="Y907">
        <v>3837156.89</v>
      </c>
    </row>
    <row r="908" spans="1:25" x14ac:dyDescent="0.25">
      <c r="A908">
        <v>59</v>
      </c>
      <c r="B908" t="s">
        <v>2200</v>
      </c>
      <c r="C908" t="s">
        <v>32</v>
      </c>
      <c r="D908" t="s">
        <v>1069</v>
      </c>
      <c r="E908">
        <v>146647</v>
      </c>
      <c r="F908" t="s">
        <v>1070</v>
      </c>
      <c r="G908" t="s">
        <v>1071</v>
      </c>
      <c r="H908" t="s">
        <v>1067</v>
      </c>
      <c r="I908" t="s">
        <v>1072</v>
      </c>
      <c r="L908" t="b">
        <v>1</v>
      </c>
      <c r="M908" t="s">
        <v>31</v>
      </c>
      <c r="N908" t="s">
        <v>32</v>
      </c>
      <c r="P908" t="s">
        <v>579</v>
      </c>
      <c r="Q908">
        <v>1</v>
      </c>
      <c r="R908">
        <v>3</v>
      </c>
      <c r="S908">
        <v>99.22</v>
      </c>
      <c r="T908">
        <v>7400000</v>
      </c>
      <c r="U908">
        <v>7400000</v>
      </c>
      <c r="V908">
        <v>1</v>
      </c>
      <c r="W908">
        <v>26722.22</v>
      </c>
      <c r="X908">
        <v>7342280</v>
      </c>
      <c r="Y908">
        <v>7369002.2199999997</v>
      </c>
    </row>
    <row r="909" spans="1:25" x14ac:dyDescent="0.25">
      <c r="A909">
        <v>59</v>
      </c>
      <c r="B909" t="s">
        <v>2200</v>
      </c>
      <c r="C909" t="s">
        <v>32</v>
      </c>
      <c r="D909" t="s">
        <v>1073</v>
      </c>
      <c r="E909">
        <v>35386</v>
      </c>
      <c r="F909" t="s">
        <v>1074</v>
      </c>
      <c r="G909" t="s">
        <v>1075</v>
      </c>
      <c r="H909" t="s">
        <v>1076</v>
      </c>
      <c r="I909" t="s">
        <v>1075</v>
      </c>
      <c r="L909" t="b">
        <v>0</v>
      </c>
      <c r="M909" t="s">
        <v>50</v>
      </c>
      <c r="N909" t="s">
        <v>32</v>
      </c>
      <c r="P909" t="s">
        <v>579</v>
      </c>
      <c r="Q909">
        <v>1</v>
      </c>
      <c r="R909">
        <v>3</v>
      </c>
      <c r="S909">
        <v>70.663002000000006</v>
      </c>
      <c r="T909">
        <v>187458</v>
      </c>
      <c r="U909">
        <v>187458</v>
      </c>
      <c r="V909">
        <v>1</v>
      </c>
      <c r="W909">
        <v>3408.0700000000011</v>
      </c>
      <c r="X909">
        <v>132463.46</v>
      </c>
      <c r="Y909">
        <v>135871.53</v>
      </c>
    </row>
    <row r="910" spans="1:25" x14ac:dyDescent="0.25">
      <c r="A910">
        <v>59</v>
      </c>
      <c r="B910" t="s">
        <v>2200</v>
      </c>
      <c r="C910" t="s">
        <v>32</v>
      </c>
      <c r="D910" t="s">
        <v>1077</v>
      </c>
      <c r="E910">
        <v>187873</v>
      </c>
      <c r="F910" t="s">
        <v>1078</v>
      </c>
      <c r="G910" t="s">
        <v>1079</v>
      </c>
      <c r="H910" t="s">
        <v>1080</v>
      </c>
      <c r="I910" t="s">
        <v>1081</v>
      </c>
      <c r="J910" t="s">
        <v>1078</v>
      </c>
      <c r="K910" t="s">
        <v>1082</v>
      </c>
      <c r="L910" t="b">
        <v>1</v>
      </c>
      <c r="M910" t="s">
        <v>44</v>
      </c>
      <c r="N910" t="s">
        <v>32</v>
      </c>
      <c r="P910" t="s">
        <v>579</v>
      </c>
      <c r="Q910">
        <v>1</v>
      </c>
      <c r="R910">
        <v>3</v>
      </c>
      <c r="S910">
        <v>96.125</v>
      </c>
      <c r="T910">
        <v>4857240</v>
      </c>
      <c r="U910">
        <v>5000000</v>
      </c>
      <c r="V910">
        <v>0.97140000000000004</v>
      </c>
      <c r="W910">
        <v>30121.63</v>
      </c>
      <c r="X910">
        <v>4669021.95</v>
      </c>
      <c r="Y910">
        <v>4699143.58</v>
      </c>
    </row>
    <row r="911" spans="1:25" x14ac:dyDescent="0.25">
      <c r="A911">
        <v>59</v>
      </c>
      <c r="B911" t="s">
        <v>2200</v>
      </c>
      <c r="C911" t="s">
        <v>32</v>
      </c>
      <c r="D911" t="s">
        <v>1083</v>
      </c>
      <c r="E911">
        <v>31865</v>
      </c>
      <c r="F911" t="s">
        <v>1084</v>
      </c>
      <c r="G911" t="s">
        <v>1085</v>
      </c>
      <c r="H911" t="s">
        <v>1086</v>
      </c>
      <c r="I911" t="s">
        <v>1087</v>
      </c>
      <c r="J911" t="s">
        <v>1084</v>
      </c>
      <c r="K911" t="s">
        <v>1088</v>
      </c>
      <c r="L911" t="b">
        <v>1</v>
      </c>
      <c r="M911" t="s">
        <v>81</v>
      </c>
      <c r="N911" t="s">
        <v>32</v>
      </c>
      <c r="P911" t="s">
        <v>579</v>
      </c>
      <c r="Q911">
        <v>1</v>
      </c>
      <c r="R911">
        <v>3</v>
      </c>
      <c r="S911">
        <v>99.8125</v>
      </c>
      <c r="T911">
        <v>8994000</v>
      </c>
      <c r="U911">
        <v>8994000</v>
      </c>
      <c r="V911">
        <v>1</v>
      </c>
      <c r="W911">
        <v>78697.5</v>
      </c>
      <c r="X911">
        <v>8977136.25</v>
      </c>
      <c r="Y911">
        <v>9055833.75</v>
      </c>
    </row>
    <row r="912" spans="1:25" x14ac:dyDescent="0.25">
      <c r="A912">
        <v>59</v>
      </c>
      <c r="B912" t="s">
        <v>2200</v>
      </c>
      <c r="C912" t="s">
        <v>32</v>
      </c>
      <c r="D912" t="s">
        <v>538</v>
      </c>
      <c r="E912">
        <v>147064</v>
      </c>
      <c r="F912" t="s">
        <v>539</v>
      </c>
      <c r="G912" t="s">
        <v>540</v>
      </c>
      <c r="H912" t="s">
        <v>541</v>
      </c>
      <c r="I912" t="s">
        <v>542</v>
      </c>
      <c r="J912" t="s">
        <v>539</v>
      </c>
      <c r="K912" t="s">
        <v>543</v>
      </c>
      <c r="L912" t="b">
        <v>1</v>
      </c>
      <c r="M912" t="s">
        <v>44</v>
      </c>
      <c r="N912" t="s">
        <v>32</v>
      </c>
      <c r="P912" t="s">
        <v>579</v>
      </c>
      <c r="Q912">
        <v>1</v>
      </c>
      <c r="R912">
        <v>3</v>
      </c>
      <c r="S912">
        <v>99.444999999999993</v>
      </c>
      <c r="T912">
        <v>2161467</v>
      </c>
      <c r="U912">
        <v>2200000</v>
      </c>
      <c r="V912">
        <v>0.98250000000000004</v>
      </c>
      <c r="W912">
        <v>435.30000000000291</v>
      </c>
      <c r="X912">
        <v>2149470.86</v>
      </c>
      <c r="Y912">
        <v>2149906.16</v>
      </c>
    </row>
    <row r="913" spans="1:25" x14ac:dyDescent="0.25">
      <c r="A913">
        <v>59</v>
      </c>
      <c r="B913" t="s">
        <v>2200</v>
      </c>
      <c r="C913" t="s">
        <v>32</v>
      </c>
      <c r="D913" t="s">
        <v>544</v>
      </c>
      <c r="E913">
        <v>32196</v>
      </c>
      <c r="F913" t="s">
        <v>545</v>
      </c>
      <c r="G913" t="s">
        <v>546</v>
      </c>
      <c r="H913" t="s">
        <v>547</v>
      </c>
      <c r="I913" t="s">
        <v>548</v>
      </c>
      <c r="L913" t="b">
        <v>1</v>
      </c>
      <c r="M913" t="s">
        <v>44</v>
      </c>
      <c r="N913" t="s">
        <v>32</v>
      </c>
      <c r="P913" t="s">
        <v>579</v>
      </c>
      <c r="Q913">
        <v>1</v>
      </c>
      <c r="R913">
        <v>3</v>
      </c>
      <c r="S913">
        <v>90.641069999999999</v>
      </c>
      <c r="T913">
        <v>17677000</v>
      </c>
      <c r="U913">
        <v>17677000</v>
      </c>
      <c r="V913">
        <v>1</v>
      </c>
      <c r="W913">
        <v>19334.22</v>
      </c>
      <c r="X913">
        <v>16022621.949999999</v>
      </c>
      <c r="Y913">
        <v>16041956.17</v>
      </c>
    </row>
    <row r="914" spans="1:25" x14ac:dyDescent="0.25">
      <c r="A914">
        <v>59</v>
      </c>
      <c r="B914" t="s">
        <v>2200</v>
      </c>
      <c r="C914" t="s">
        <v>32</v>
      </c>
      <c r="D914" t="s">
        <v>549</v>
      </c>
      <c r="E914">
        <v>218888</v>
      </c>
      <c r="F914" t="s">
        <v>550</v>
      </c>
      <c r="G914" t="s">
        <v>551</v>
      </c>
      <c r="H914" t="s">
        <v>547</v>
      </c>
      <c r="I914" t="s">
        <v>552</v>
      </c>
      <c r="J914" t="s">
        <v>550</v>
      </c>
      <c r="K914" t="s">
        <v>553</v>
      </c>
      <c r="L914" t="b">
        <v>1</v>
      </c>
      <c r="M914" t="s">
        <v>44</v>
      </c>
      <c r="N914" t="s">
        <v>32</v>
      </c>
      <c r="P914" t="s">
        <v>579</v>
      </c>
      <c r="Q914">
        <v>1</v>
      </c>
      <c r="R914">
        <v>3</v>
      </c>
      <c r="S914">
        <v>98.25</v>
      </c>
      <c r="T914">
        <v>11600000</v>
      </c>
      <c r="U914">
        <v>11600000</v>
      </c>
      <c r="V914">
        <v>1</v>
      </c>
      <c r="W914">
        <v>144637.5</v>
      </c>
      <c r="X914">
        <v>11397000</v>
      </c>
      <c r="Y914">
        <v>11541637.5</v>
      </c>
    </row>
    <row r="915" spans="1:25" x14ac:dyDescent="0.25">
      <c r="A915">
        <v>59</v>
      </c>
      <c r="B915" t="s">
        <v>2200</v>
      </c>
      <c r="C915" t="s">
        <v>32</v>
      </c>
      <c r="D915" t="s">
        <v>1119</v>
      </c>
      <c r="E915">
        <v>129278</v>
      </c>
      <c r="F915" t="s">
        <v>1120</v>
      </c>
      <c r="G915" t="s">
        <v>1121</v>
      </c>
      <c r="H915" t="s">
        <v>1122</v>
      </c>
      <c r="I915" t="s">
        <v>1121</v>
      </c>
      <c r="L915" t="b">
        <v>0</v>
      </c>
      <c r="M915" t="s">
        <v>31</v>
      </c>
      <c r="N915" t="s">
        <v>32</v>
      </c>
      <c r="P915" t="s">
        <v>579</v>
      </c>
      <c r="Q915">
        <v>1</v>
      </c>
      <c r="R915">
        <v>3</v>
      </c>
      <c r="S915">
        <v>75</v>
      </c>
      <c r="T915">
        <v>2800000</v>
      </c>
      <c r="U915">
        <v>2800000</v>
      </c>
      <c r="V915">
        <v>1</v>
      </c>
      <c r="W915">
        <v>4977.7700000000004</v>
      </c>
      <c r="X915">
        <v>2100000</v>
      </c>
      <c r="Y915">
        <v>2104977.77</v>
      </c>
    </row>
    <row r="916" spans="1:25" x14ac:dyDescent="0.25">
      <c r="A916">
        <v>59</v>
      </c>
      <c r="B916" t="s">
        <v>2200</v>
      </c>
      <c r="C916" t="s">
        <v>32</v>
      </c>
      <c r="D916" t="s">
        <v>1101</v>
      </c>
      <c r="E916">
        <v>95961</v>
      </c>
      <c r="F916" t="s">
        <v>1102</v>
      </c>
      <c r="G916" t="s">
        <v>1103</v>
      </c>
      <c r="H916" t="s">
        <v>557</v>
      </c>
      <c r="I916" t="s">
        <v>1104</v>
      </c>
      <c r="L916" t="b">
        <v>1</v>
      </c>
      <c r="M916" t="s">
        <v>31</v>
      </c>
      <c r="N916" t="s">
        <v>32</v>
      </c>
      <c r="P916" t="s">
        <v>579</v>
      </c>
      <c r="Q916">
        <v>1</v>
      </c>
      <c r="R916">
        <v>3</v>
      </c>
      <c r="S916">
        <v>97</v>
      </c>
      <c r="T916">
        <v>1140514</v>
      </c>
      <c r="U916">
        <v>1140514</v>
      </c>
      <c r="V916">
        <v>1</v>
      </c>
      <c r="W916">
        <v>855.39</v>
      </c>
      <c r="X916">
        <v>1106298.58</v>
      </c>
      <c r="Y916">
        <v>1107153.97</v>
      </c>
    </row>
    <row r="917" spans="1:25" x14ac:dyDescent="0.25">
      <c r="A917">
        <v>59</v>
      </c>
      <c r="B917" t="s">
        <v>2200</v>
      </c>
      <c r="C917" t="s">
        <v>32</v>
      </c>
      <c r="D917" t="s">
        <v>554</v>
      </c>
      <c r="E917">
        <v>95963</v>
      </c>
      <c r="F917" t="s">
        <v>555</v>
      </c>
      <c r="G917" t="s">
        <v>556</v>
      </c>
      <c r="H917" t="s">
        <v>557</v>
      </c>
      <c r="I917" t="s">
        <v>558</v>
      </c>
      <c r="L917" t="b">
        <v>1</v>
      </c>
      <c r="M917" t="s">
        <v>31</v>
      </c>
      <c r="N917" t="s">
        <v>32</v>
      </c>
      <c r="P917" t="s">
        <v>579</v>
      </c>
      <c r="Q917">
        <v>1</v>
      </c>
      <c r="R917">
        <v>3</v>
      </c>
      <c r="S917">
        <v>99.350961999999996</v>
      </c>
      <c r="T917">
        <v>66499999</v>
      </c>
      <c r="U917">
        <v>66499999</v>
      </c>
      <c r="V917">
        <v>1</v>
      </c>
      <c r="W917">
        <v>637291.67000000004</v>
      </c>
      <c r="X917">
        <v>66068388.729999997</v>
      </c>
      <c r="Y917">
        <v>66705680.400000013</v>
      </c>
    </row>
    <row r="918" spans="1:25" x14ac:dyDescent="0.25">
      <c r="A918">
        <v>59</v>
      </c>
      <c r="B918" t="s">
        <v>2200</v>
      </c>
      <c r="C918" t="s">
        <v>32</v>
      </c>
      <c r="D918" t="s">
        <v>1123</v>
      </c>
      <c r="E918">
        <v>149072</v>
      </c>
      <c r="F918" t="s">
        <v>1124</v>
      </c>
      <c r="G918" t="s">
        <v>1125</v>
      </c>
      <c r="H918" t="s">
        <v>1126</v>
      </c>
      <c r="I918" t="s">
        <v>1127</v>
      </c>
      <c r="J918" t="s">
        <v>1124</v>
      </c>
      <c r="K918" t="s">
        <v>1128</v>
      </c>
      <c r="L918" t="b">
        <v>1</v>
      </c>
      <c r="M918" t="s">
        <v>112</v>
      </c>
      <c r="N918" t="s">
        <v>32</v>
      </c>
      <c r="P918" t="s">
        <v>579</v>
      </c>
      <c r="Q918">
        <v>1</v>
      </c>
      <c r="R918">
        <v>3</v>
      </c>
      <c r="S918">
        <v>102.235</v>
      </c>
      <c r="T918">
        <v>18850000</v>
      </c>
      <c r="U918">
        <v>18850000</v>
      </c>
      <c r="V918">
        <v>1</v>
      </c>
      <c r="W918">
        <v>450436.46</v>
      </c>
      <c r="X918">
        <v>19271297.5</v>
      </c>
      <c r="Y918">
        <v>19721733.960000001</v>
      </c>
    </row>
    <row r="919" spans="1:25" x14ac:dyDescent="0.25">
      <c r="A919">
        <v>59</v>
      </c>
      <c r="B919" t="s">
        <v>2200</v>
      </c>
      <c r="C919" t="s">
        <v>32</v>
      </c>
      <c r="D919" t="s">
        <v>1129</v>
      </c>
      <c r="E919">
        <v>164872</v>
      </c>
      <c r="F919" t="s">
        <v>1130</v>
      </c>
      <c r="G919" t="s">
        <v>1131</v>
      </c>
      <c r="H919" t="s">
        <v>1132</v>
      </c>
      <c r="I919" t="s">
        <v>1131</v>
      </c>
      <c r="L919" t="b">
        <v>0</v>
      </c>
      <c r="M919" t="s">
        <v>112</v>
      </c>
      <c r="N919" t="s">
        <v>32</v>
      </c>
      <c r="P919" t="s">
        <v>579</v>
      </c>
      <c r="Q919">
        <v>1</v>
      </c>
      <c r="R919">
        <v>3</v>
      </c>
      <c r="S919">
        <v>0</v>
      </c>
      <c r="T919">
        <v>4743420</v>
      </c>
      <c r="U919">
        <v>4743420</v>
      </c>
      <c r="V919">
        <v>1</v>
      </c>
      <c r="W919">
        <v>268035.71999999997</v>
      </c>
      <c r="X919">
        <v>0</v>
      </c>
      <c r="Y919">
        <v>268035.71999999997</v>
      </c>
    </row>
    <row r="920" spans="1:25" x14ac:dyDescent="0.25">
      <c r="A920">
        <v>59</v>
      </c>
      <c r="B920" t="s">
        <v>2200</v>
      </c>
      <c r="C920" t="s">
        <v>32</v>
      </c>
      <c r="D920" t="s">
        <v>1133</v>
      </c>
      <c r="E920">
        <v>198726</v>
      </c>
      <c r="F920" t="s">
        <v>1134</v>
      </c>
      <c r="G920" t="s">
        <v>1135</v>
      </c>
      <c r="H920" t="s">
        <v>1132</v>
      </c>
      <c r="I920" t="s">
        <v>1135</v>
      </c>
      <c r="L920" t="b">
        <v>0</v>
      </c>
      <c r="M920" t="s">
        <v>112</v>
      </c>
      <c r="N920" t="s">
        <v>32</v>
      </c>
      <c r="P920" t="s">
        <v>579</v>
      </c>
      <c r="Q920">
        <v>1</v>
      </c>
      <c r="R920">
        <v>3</v>
      </c>
      <c r="S920">
        <v>100</v>
      </c>
      <c r="T920">
        <v>4631580</v>
      </c>
      <c r="U920">
        <v>4631580</v>
      </c>
      <c r="V920">
        <v>1</v>
      </c>
      <c r="W920">
        <v>86681.31</v>
      </c>
      <c r="X920">
        <v>4631580</v>
      </c>
      <c r="Y920">
        <v>4718261.3099999996</v>
      </c>
    </row>
    <row r="921" spans="1:25" x14ac:dyDescent="0.25">
      <c r="A921">
        <v>59</v>
      </c>
      <c r="B921" t="s">
        <v>2200</v>
      </c>
      <c r="C921" t="s">
        <v>32</v>
      </c>
      <c r="D921" t="s">
        <v>1136</v>
      </c>
      <c r="E921">
        <v>201206</v>
      </c>
      <c r="F921" t="s">
        <v>1137</v>
      </c>
      <c r="G921" t="s">
        <v>1138</v>
      </c>
      <c r="H921" t="s">
        <v>1132</v>
      </c>
      <c r="I921" t="s">
        <v>1138</v>
      </c>
      <c r="L921" t="b">
        <v>0</v>
      </c>
      <c r="M921" t="s">
        <v>112</v>
      </c>
      <c r="N921" t="s">
        <v>32</v>
      </c>
      <c r="P921" t="s">
        <v>579</v>
      </c>
      <c r="Q921">
        <v>1</v>
      </c>
      <c r="R921">
        <v>3</v>
      </c>
      <c r="S921">
        <v>17</v>
      </c>
      <c r="T921">
        <v>4473685</v>
      </c>
      <c r="U921">
        <v>4473685</v>
      </c>
      <c r="V921">
        <v>1</v>
      </c>
      <c r="W921">
        <v>83726.259999999995</v>
      </c>
      <c r="X921">
        <v>760526.45</v>
      </c>
      <c r="Y921">
        <v>844252.71</v>
      </c>
    </row>
    <row r="922" spans="1:25" x14ac:dyDescent="0.25">
      <c r="A922">
        <v>59</v>
      </c>
      <c r="B922" t="s">
        <v>2200</v>
      </c>
      <c r="C922" t="s">
        <v>32</v>
      </c>
      <c r="D922" t="s">
        <v>1139</v>
      </c>
      <c r="E922">
        <v>160676</v>
      </c>
      <c r="F922" t="s">
        <v>1140</v>
      </c>
      <c r="G922" t="s">
        <v>1141</v>
      </c>
      <c r="H922" t="s">
        <v>1142</v>
      </c>
      <c r="I922" t="s">
        <v>1143</v>
      </c>
      <c r="L922" t="b">
        <v>1</v>
      </c>
      <c r="M922" t="s">
        <v>81</v>
      </c>
      <c r="N922" t="s">
        <v>32</v>
      </c>
      <c r="P922" t="s">
        <v>579</v>
      </c>
      <c r="Q922">
        <v>1</v>
      </c>
      <c r="R922">
        <v>3</v>
      </c>
      <c r="S922">
        <v>100.97094800000001</v>
      </c>
      <c r="T922">
        <v>23750000</v>
      </c>
      <c r="U922">
        <v>23750000</v>
      </c>
      <c r="V922">
        <v>1</v>
      </c>
      <c r="W922">
        <v>5772.570000000007</v>
      </c>
      <c r="X922">
        <v>23980600.149999999</v>
      </c>
      <c r="Y922">
        <v>23986372.719999999</v>
      </c>
    </row>
    <row r="923" spans="1:25" x14ac:dyDescent="0.25">
      <c r="A923">
        <v>59</v>
      </c>
      <c r="B923" t="s">
        <v>2200</v>
      </c>
      <c r="C923" t="s">
        <v>32</v>
      </c>
      <c r="D923" t="s">
        <v>1144</v>
      </c>
      <c r="E923">
        <v>32078</v>
      </c>
      <c r="F923" t="s">
        <v>1145</v>
      </c>
      <c r="G923" t="s">
        <v>1146</v>
      </c>
      <c r="H923" t="s">
        <v>245</v>
      </c>
      <c r="I923" t="s">
        <v>1147</v>
      </c>
      <c r="L923" t="b">
        <v>1</v>
      </c>
      <c r="M923" t="s">
        <v>44</v>
      </c>
      <c r="N923" t="s">
        <v>32</v>
      </c>
      <c r="P923" t="s">
        <v>579</v>
      </c>
      <c r="Q923">
        <v>1</v>
      </c>
      <c r="R923">
        <v>3</v>
      </c>
      <c r="S923">
        <v>87</v>
      </c>
      <c r="T923">
        <v>17272502</v>
      </c>
      <c r="U923">
        <v>19600000</v>
      </c>
      <c r="V923">
        <v>0.88129999999999997</v>
      </c>
      <c r="W923">
        <v>13818</v>
      </c>
      <c r="X923">
        <v>15027076.74</v>
      </c>
      <c r="Y923">
        <v>15040894.74</v>
      </c>
    </row>
    <row r="924" spans="1:25" x14ac:dyDescent="0.25">
      <c r="A924">
        <v>59</v>
      </c>
      <c r="B924" t="s">
        <v>2200</v>
      </c>
      <c r="C924" t="s">
        <v>32</v>
      </c>
      <c r="D924" t="s">
        <v>1148</v>
      </c>
      <c r="E924">
        <v>189329</v>
      </c>
      <c r="F924" t="s">
        <v>1149</v>
      </c>
      <c r="G924" t="s">
        <v>1150</v>
      </c>
      <c r="H924" t="s">
        <v>1151</v>
      </c>
      <c r="I924" t="s">
        <v>1152</v>
      </c>
      <c r="J924" t="s">
        <v>1149</v>
      </c>
      <c r="K924" t="s">
        <v>1153</v>
      </c>
      <c r="L924" t="b">
        <v>1</v>
      </c>
      <c r="M924" t="s">
        <v>112</v>
      </c>
      <c r="N924" t="s">
        <v>32</v>
      </c>
      <c r="P924" t="s">
        <v>579</v>
      </c>
      <c r="Q924">
        <v>1</v>
      </c>
      <c r="R924">
        <v>3</v>
      </c>
      <c r="S924">
        <v>102.1271</v>
      </c>
      <c r="T924">
        <v>7300000</v>
      </c>
      <c r="U924">
        <v>7300000</v>
      </c>
      <c r="V924">
        <v>1</v>
      </c>
      <c r="W924">
        <v>180979.17</v>
      </c>
      <c r="X924">
        <v>7455278.2999999998</v>
      </c>
      <c r="Y924">
        <v>7636257.4699999997</v>
      </c>
    </row>
    <row r="925" spans="1:25" x14ac:dyDescent="0.25">
      <c r="A925">
        <v>59</v>
      </c>
      <c r="B925" t="s">
        <v>2200</v>
      </c>
      <c r="C925" t="s">
        <v>32</v>
      </c>
      <c r="D925" t="s">
        <v>1154</v>
      </c>
      <c r="E925">
        <v>36102</v>
      </c>
      <c r="F925" t="s">
        <v>1155</v>
      </c>
      <c r="G925" t="s">
        <v>1156</v>
      </c>
      <c r="H925" t="s">
        <v>1157</v>
      </c>
      <c r="I925" t="s">
        <v>1158</v>
      </c>
      <c r="L925" t="b">
        <v>1</v>
      </c>
      <c r="M925" t="s">
        <v>31</v>
      </c>
      <c r="N925" t="s">
        <v>32</v>
      </c>
      <c r="P925" t="s">
        <v>579</v>
      </c>
      <c r="Q925">
        <v>1</v>
      </c>
      <c r="R925">
        <v>3</v>
      </c>
      <c r="S925">
        <v>98.463849999999994</v>
      </c>
      <c r="T925">
        <v>3624000</v>
      </c>
      <c r="U925">
        <v>3624000</v>
      </c>
      <c r="V925">
        <v>1</v>
      </c>
      <c r="W925">
        <v>9412.33</v>
      </c>
      <c r="X925">
        <v>3568329.92</v>
      </c>
      <c r="Y925">
        <v>3577742.25</v>
      </c>
    </row>
    <row r="926" spans="1:25" x14ac:dyDescent="0.25">
      <c r="A926">
        <v>59</v>
      </c>
      <c r="B926" t="s">
        <v>2200</v>
      </c>
      <c r="C926" t="s">
        <v>32</v>
      </c>
      <c r="D926" t="s">
        <v>1159</v>
      </c>
      <c r="E926">
        <v>196181</v>
      </c>
      <c r="F926" t="s">
        <v>1160</v>
      </c>
      <c r="G926" t="s">
        <v>1161</v>
      </c>
      <c r="H926" t="s">
        <v>1162</v>
      </c>
      <c r="I926" t="s">
        <v>1163</v>
      </c>
      <c r="J926" t="s">
        <v>1160</v>
      </c>
      <c r="K926" t="s">
        <v>1164</v>
      </c>
      <c r="L926" t="b">
        <v>1</v>
      </c>
      <c r="M926" t="s">
        <v>112</v>
      </c>
      <c r="N926" t="s">
        <v>32</v>
      </c>
      <c r="P926" t="s">
        <v>579</v>
      </c>
      <c r="Q926">
        <v>1</v>
      </c>
      <c r="R926">
        <v>3</v>
      </c>
      <c r="S926">
        <v>102.4</v>
      </c>
      <c r="T926">
        <v>28700000</v>
      </c>
      <c r="U926">
        <v>28700000</v>
      </c>
      <c r="V926">
        <v>1</v>
      </c>
      <c r="W926">
        <v>364529.86</v>
      </c>
      <c r="X926">
        <v>29388800</v>
      </c>
      <c r="Y926">
        <v>29753329.859999999</v>
      </c>
    </row>
    <row r="927" spans="1:25" x14ac:dyDescent="0.25">
      <c r="A927">
        <v>59</v>
      </c>
      <c r="B927" t="s">
        <v>2200</v>
      </c>
      <c r="C927" t="s">
        <v>32</v>
      </c>
      <c r="D927" t="s">
        <v>1165</v>
      </c>
      <c r="E927">
        <v>172961</v>
      </c>
      <c r="F927" t="s">
        <v>1166</v>
      </c>
      <c r="G927" t="s">
        <v>1167</v>
      </c>
      <c r="H927" t="s">
        <v>1168</v>
      </c>
      <c r="I927" t="s">
        <v>1169</v>
      </c>
      <c r="L927" t="b">
        <v>1</v>
      </c>
      <c r="M927" t="s">
        <v>31</v>
      </c>
      <c r="N927" t="s">
        <v>32</v>
      </c>
      <c r="P927" t="s">
        <v>579</v>
      </c>
      <c r="Q927">
        <v>1</v>
      </c>
      <c r="R927">
        <v>3</v>
      </c>
      <c r="S927">
        <v>96.625</v>
      </c>
      <c r="T927">
        <v>80716000</v>
      </c>
      <c r="U927">
        <v>80716000</v>
      </c>
      <c r="V927">
        <v>1</v>
      </c>
      <c r="W927">
        <v>1482595.97</v>
      </c>
      <c r="X927">
        <v>77991835</v>
      </c>
      <c r="Y927">
        <v>79474430.969999999</v>
      </c>
    </row>
    <row r="928" spans="1:25" x14ac:dyDescent="0.25">
      <c r="A928">
        <v>59</v>
      </c>
      <c r="B928" t="s">
        <v>2200</v>
      </c>
      <c r="C928" t="s">
        <v>32</v>
      </c>
      <c r="D928" t="s">
        <v>1170</v>
      </c>
      <c r="E928">
        <v>174456</v>
      </c>
      <c r="F928" t="s">
        <v>1171</v>
      </c>
      <c r="G928" t="s">
        <v>1172</v>
      </c>
      <c r="H928" t="s">
        <v>1168</v>
      </c>
      <c r="I928" t="s">
        <v>1172</v>
      </c>
      <c r="L928" t="b">
        <v>0</v>
      </c>
      <c r="M928" t="s">
        <v>31</v>
      </c>
      <c r="N928" t="s">
        <v>32</v>
      </c>
      <c r="P928" t="s">
        <v>579</v>
      </c>
      <c r="Q928">
        <v>1</v>
      </c>
      <c r="R928">
        <v>3</v>
      </c>
      <c r="S928">
        <v>74.45</v>
      </c>
      <c r="T928">
        <v>28726832</v>
      </c>
      <c r="U928">
        <v>29568077</v>
      </c>
      <c r="V928">
        <v>0.97150000000000003</v>
      </c>
      <c r="W928">
        <v>454841.51</v>
      </c>
      <c r="X928">
        <v>21387126.420000002</v>
      </c>
      <c r="Y928">
        <v>21841967.93</v>
      </c>
    </row>
    <row r="929" spans="1:25" x14ac:dyDescent="0.25">
      <c r="A929">
        <v>59</v>
      </c>
      <c r="B929" t="s">
        <v>2200</v>
      </c>
      <c r="C929" t="s">
        <v>32</v>
      </c>
      <c r="D929" t="s">
        <v>1173</v>
      </c>
      <c r="E929">
        <v>846</v>
      </c>
      <c r="F929" t="s">
        <v>1174</v>
      </c>
      <c r="G929" t="s">
        <v>1175</v>
      </c>
      <c r="H929" t="s">
        <v>1176</v>
      </c>
      <c r="I929" t="s">
        <v>1175</v>
      </c>
      <c r="L929" t="b">
        <v>0</v>
      </c>
      <c r="M929" t="s">
        <v>31</v>
      </c>
      <c r="N929" t="s">
        <v>32</v>
      </c>
      <c r="P929" t="s">
        <v>579</v>
      </c>
      <c r="Q929">
        <v>1</v>
      </c>
      <c r="R929">
        <v>3</v>
      </c>
      <c r="S929">
        <v>91.587844000000004</v>
      </c>
      <c r="T929">
        <v>1227235</v>
      </c>
      <c r="U929">
        <v>9327000</v>
      </c>
      <c r="V929">
        <v>0.13159999999999999</v>
      </c>
      <c r="W929">
        <v>2727.19</v>
      </c>
      <c r="X929">
        <v>1123998.07</v>
      </c>
      <c r="Y929">
        <v>1126725.26</v>
      </c>
    </row>
    <row r="930" spans="1:25" x14ac:dyDescent="0.25">
      <c r="A930">
        <v>59</v>
      </c>
      <c r="B930" t="s">
        <v>2200</v>
      </c>
      <c r="C930" t="s">
        <v>32</v>
      </c>
      <c r="D930" t="s">
        <v>1177</v>
      </c>
      <c r="E930">
        <v>847</v>
      </c>
      <c r="F930" t="s">
        <v>1178</v>
      </c>
      <c r="G930" t="s">
        <v>1179</v>
      </c>
      <c r="H930" t="s">
        <v>1180</v>
      </c>
      <c r="I930" t="s">
        <v>1181</v>
      </c>
      <c r="L930" t="b">
        <v>1</v>
      </c>
      <c r="M930" t="s">
        <v>31</v>
      </c>
      <c r="N930" t="s">
        <v>32</v>
      </c>
      <c r="P930" t="s">
        <v>579</v>
      </c>
      <c r="Q930">
        <v>1</v>
      </c>
      <c r="R930">
        <v>3</v>
      </c>
      <c r="S930">
        <v>79.400000000000006</v>
      </c>
      <c r="T930">
        <v>262000</v>
      </c>
      <c r="U930">
        <v>262000</v>
      </c>
      <c r="V930">
        <v>1</v>
      </c>
      <c r="W930">
        <v>12445</v>
      </c>
      <c r="X930">
        <v>208028</v>
      </c>
      <c r="Y930">
        <v>220473</v>
      </c>
    </row>
    <row r="931" spans="1:25" x14ac:dyDescent="0.25">
      <c r="A931">
        <v>59</v>
      </c>
      <c r="B931" t="s">
        <v>2200</v>
      </c>
      <c r="C931" t="s">
        <v>32</v>
      </c>
      <c r="D931" t="s">
        <v>1182</v>
      </c>
      <c r="E931">
        <v>848</v>
      </c>
      <c r="F931" t="s">
        <v>1183</v>
      </c>
      <c r="G931" t="s">
        <v>1184</v>
      </c>
      <c r="H931" t="s">
        <v>1180</v>
      </c>
      <c r="I931" t="s">
        <v>1185</v>
      </c>
      <c r="L931" t="b">
        <v>1</v>
      </c>
      <c r="M931" t="s">
        <v>31</v>
      </c>
      <c r="N931" t="s">
        <v>32</v>
      </c>
      <c r="P931" t="s">
        <v>579</v>
      </c>
      <c r="Q931">
        <v>1</v>
      </c>
      <c r="R931">
        <v>3</v>
      </c>
      <c r="S931">
        <v>63.99</v>
      </c>
      <c r="T931">
        <v>23194000</v>
      </c>
      <c r="U931">
        <v>23194000</v>
      </c>
      <c r="V931">
        <v>1</v>
      </c>
      <c r="W931">
        <v>528307.78</v>
      </c>
      <c r="X931">
        <v>14841840.6</v>
      </c>
      <c r="Y931">
        <v>15370148.380000001</v>
      </c>
    </row>
    <row r="932" spans="1:25" x14ac:dyDescent="0.25">
      <c r="A932">
        <v>59</v>
      </c>
      <c r="B932" t="s">
        <v>2200</v>
      </c>
      <c r="C932" t="s">
        <v>32</v>
      </c>
      <c r="D932" t="s">
        <v>1105</v>
      </c>
      <c r="E932">
        <v>187236</v>
      </c>
      <c r="F932" t="s">
        <v>1106</v>
      </c>
      <c r="G932" t="s">
        <v>1107</v>
      </c>
      <c r="H932" t="s">
        <v>1108</v>
      </c>
      <c r="I932" t="s">
        <v>1109</v>
      </c>
      <c r="L932" t="b">
        <v>1</v>
      </c>
      <c r="M932" t="s">
        <v>50</v>
      </c>
      <c r="N932" t="s">
        <v>32</v>
      </c>
      <c r="P932" t="s">
        <v>579</v>
      </c>
      <c r="Q932">
        <v>1</v>
      </c>
      <c r="R932">
        <v>3</v>
      </c>
      <c r="S932">
        <v>100.396</v>
      </c>
      <c r="T932">
        <v>36710586</v>
      </c>
      <c r="U932">
        <v>36710586</v>
      </c>
      <c r="V932">
        <v>1</v>
      </c>
      <c r="W932">
        <v>195789.79</v>
      </c>
      <c r="X932">
        <v>36855959.920000002</v>
      </c>
      <c r="Y932">
        <v>37051749.710000001</v>
      </c>
    </row>
    <row r="933" spans="1:25" x14ac:dyDescent="0.25">
      <c r="A933">
        <v>59</v>
      </c>
      <c r="B933" t="s">
        <v>2200</v>
      </c>
      <c r="C933" t="s">
        <v>32</v>
      </c>
      <c r="D933" t="s">
        <v>1191</v>
      </c>
      <c r="E933">
        <v>169946</v>
      </c>
      <c r="F933" t="s">
        <v>1192</v>
      </c>
      <c r="G933" t="s">
        <v>1193</v>
      </c>
      <c r="H933" t="s">
        <v>1194</v>
      </c>
      <c r="I933" t="s">
        <v>1195</v>
      </c>
      <c r="J933" t="s">
        <v>1192</v>
      </c>
      <c r="K933" t="s">
        <v>1196</v>
      </c>
      <c r="L933" t="b">
        <v>1</v>
      </c>
      <c r="M933" t="s">
        <v>61</v>
      </c>
      <c r="N933" t="s">
        <v>32</v>
      </c>
      <c r="P933" t="s">
        <v>579</v>
      </c>
      <c r="Q933">
        <v>1</v>
      </c>
      <c r="R933">
        <v>3</v>
      </c>
      <c r="S933">
        <v>107.51</v>
      </c>
      <c r="T933">
        <v>10800000</v>
      </c>
      <c r="U933">
        <v>10800000</v>
      </c>
      <c r="V933">
        <v>1</v>
      </c>
      <c r="W933">
        <v>199950</v>
      </c>
      <c r="X933">
        <v>11611080</v>
      </c>
      <c r="Y933">
        <v>11811030</v>
      </c>
    </row>
    <row r="934" spans="1:25" x14ac:dyDescent="0.25">
      <c r="A934">
        <v>59</v>
      </c>
      <c r="B934" t="s">
        <v>2200</v>
      </c>
      <c r="C934" t="s">
        <v>32</v>
      </c>
      <c r="D934" t="s">
        <v>2214</v>
      </c>
      <c r="E934">
        <v>44279</v>
      </c>
      <c r="F934" t="s">
        <v>1202</v>
      </c>
      <c r="G934" t="s">
        <v>2215</v>
      </c>
      <c r="H934" t="s">
        <v>1200</v>
      </c>
      <c r="I934" t="s">
        <v>1201</v>
      </c>
      <c r="J934" t="s">
        <v>1198</v>
      </c>
      <c r="K934" t="s">
        <v>1198</v>
      </c>
      <c r="L934" t="b">
        <v>1</v>
      </c>
      <c r="M934" t="s">
        <v>112</v>
      </c>
      <c r="N934" t="s">
        <v>32</v>
      </c>
      <c r="P934" t="s">
        <v>579</v>
      </c>
      <c r="Q934">
        <v>1</v>
      </c>
      <c r="R934">
        <v>3</v>
      </c>
      <c r="S934">
        <v>11.153001</v>
      </c>
      <c r="T934">
        <v>513129</v>
      </c>
      <c r="U934">
        <v>513129</v>
      </c>
      <c r="V934">
        <v>1</v>
      </c>
      <c r="W934">
        <v>0</v>
      </c>
      <c r="X934">
        <v>57229.279999999999</v>
      </c>
      <c r="Y934">
        <v>57229.279999999999</v>
      </c>
    </row>
    <row r="935" spans="1:25" x14ac:dyDescent="0.25">
      <c r="A935">
        <v>59</v>
      </c>
      <c r="B935" t="s">
        <v>2200</v>
      </c>
      <c r="C935" t="s">
        <v>32</v>
      </c>
      <c r="D935" t="s">
        <v>1197</v>
      </c>
      <c r="E935">
        <v>40385</v>
      </c>
      <c r="F935" t="s">
        <v>1198</v>
      </c>
      <c r="G935" t="s">
        <v>1199</v>
      </c>
      <c r="H935" t="s">
        <v>1200</v>
      </c>
      <c r="I935" t="s">
        <v>1201</v>
      </c>
      <c r="J935" t="s">
        <v>1198</v>
      </c>
      <c r="K935" t="s">
        <v>1202</v>
      </c>
      <c r="L935" t="b">
        <v>1</v>
      </c>
      <c r="M935" t="s">
        <v>112</v>
      </c>
      <c r="N935" t="s">
        <v>32</v>
      </c>
      <c r="P935" t="s">
        <v>579</v>
      </c>
      <c r="Q935">
        <v>1</v>
      </c>
      <c r="R935">
        <v>3</v>
      </c>
      <c r="S935">
        <v>11.153</v>
      </c>
      <c r="T935">
        <v>42807839</v>
      </c>
      <c r="U935">
        <v>42807839</v>
      </c>
      <c r="V935">
        <v>1</v>
      </c>
      <c r="W935">
        <v>0</v>
      </c>
      <c r="X935">
        <v>4774358.29</v>
      </c>
      <c r="Y935">
        <v>4774358.29</v>
      </c>
    </row>
    <row r="936" spans="1:25" x14ac:dyDescent="0.25">
      <c r="A936">
        <v>59</v>
      </c>
      <c r="B936" t="s">
        <v>2200</v>
      </c>
      <c r="C936" t="s">
        <v>32</v>
      </c>
      <c r="D936" t="s">
        <v>1203</v>
      </c>
      <c r="E936">
        <v>213322</v>
      </c>
      <c r="F936" t="s">
        <v>1204</v>
      </c>
      <c r="G936" t="s">
        <v>1205</v>
      </c>
      <c r="H936" t="s">
        <v>30</v>
      </c>
      <c r="I936" t="s">
        <v>1205</v>
      </c>
      <c r="L936" t="b">
        <v>0</v>
      </c>
      <c r="M936" t="s">
        <v>31</v>
      </c>
      <c r="N936" t="s">
        <v>32</v>
      </c>
      <c r="P936" t="s">
        <v>579</v>
      </c>
      <c r="Q936">
        <v>1</v>
      </c>
      <c r="R936">
        <v>3</v>
      </c>
      <c r="S936">
        <v>93.275000000000006</v>
      </c>
      <c r="T936">
        <v>17675945</v>
      </c>
      <c r="U936">
        <v>17675945</v>
      </c>
      <c r="V936">
        <v>1</v>
      </c>
      <c r="W936">
        <v>386170.3</v>
      </c>
      <c r="X936">
        <v>16487237.699999999</v>
      </c>
      <c r="Y936">
        <v>16873408</v>
      </c>
    </row>
    <row r="937" spans="1:25" x14ac:dyDescent="0.25">
      <c r="A937">
        <v>59</v>
      </c>
      <c r="B937" t="s">
        <v>2200</v>
      </c>
      <c r="C937" t="s">
        <v>32</v>
      </c>
      <c r="D937" t="s">
        <v>27</v>
      </c>
      <c r="E937">
        <v>211993</v>
      </c>
      <c r="F937" t="s">
        <v>28</v>
      </c>
      <c r="G937" t="s">
        <v>29</v>
      </c>
      <c r="H937" t="s">
        <v>30</v>
      </c>
      <c r="I937" t="s">
        <v>29</v>
      </c>
      <c r="L937" t="b">
        <v>0</v>
      </c>
      <c r="M937" t="s">
        <v>31</v>
      </c>
      <c r="N937" t="s">
        <v>32</v>
      </c>
      <c r="P937" t="s">
        <v>579</v>
      </c>
      <c r="Q937">
        <v>1</v>
      </c>
      <c r="R937">
        <v>3</v>
      </c>
      <c r="S937">
        <v>93.275000000000006</v>
      </c>
      <c r="T937">
        <v>63434917</v>
      </c>
      <c r="U937">
        <v>63434917</v>
      </c>
      <c r="V937">
        <v>1</v>
      </c>
      <c r="W937">
        <v>1385876.73</v>
      </c>
      <c r="X937">
        <v>59168918.830000013</v>
      </c>
      <c r="Y937">
        <v>60554795.560000002</v>
      </c>
    </row>
    <row r="938" spans="1:25" x14ac:dyDescent="0.25">
      <c r="A938">
        <v>59</v>
      </c>
      <c r="B938" t="s">
        <v>2200</v>
      </c>
      <c r="C938" t="s">
        <v>32</v>
      </c>
      <c r="D938" t="s">
        <v>1206</v>
      </c>
      <c r="E938">
        <v>861</v>
      </c>
      <c r="F938" t="s">
        <v>1207</v>
      </c>
      <c r="G938" t="s">
        <v>1208</v>
      </c>
      <c r="H938" t="s">
        <v>1209</v>
      </c>
      <c r="I938" t="s">
        <v>1208</v>
      </c>
      <c r="L938" t="b">
        <v>0</v>
      </c>
      <c r="M938" t="s">
        <v>44</v>
      </c>
      <c r="N938" t="s">
        <v>32</v>
      </c>
      <c r="P938" t="s">
        <v>579</v>
      </c>
      <c r="Q938">
        <v>1</v>
      </c>
      <c r="R938">
        <v>3</v>
      </c>
      <c r="S938">
        <v>0.55000000000000004</v>
      </c>
      <c r="T938">
        <v>12788332</v>
      </c>
      <c r="U938">
        <v>12788332</v>
      </c>
      <c r="V938">
        <v>1</v>
      </c>
      <c r="W938">
        <v>0</v>
      </c>
      <c r="X938">
        <v>70335.83</v>
      </c>
      <c r="Y938">
        <v>70335.83</v>
      </c>
    </row>
    <row r="939" spans="1:25" x14ac:dyDescent="0.25">
      <c r="A939">
        <v>59</v>
      </c>
      <c r="B939" t="s">
        <v>2200</v>
      </c>
      <c r="C939" t="s">
        <v>32</v>
      </c>
      <c r="D939" t="s">
        <v>1210</v>
      </c>
      <c r="E939">
        <v>166883</v>
      </c>
      <c r="F939" t="s">
        <v>1211</v>
      </c>
      <c r="G939" t="s">
        <v>1212</v>
      </c>
      <c r="H939" t="s">
        <v>1213</v>
      </c>
      <c r="I939" t="s">
        <v>1214</v>
      </c>
      <c r="J939" t="s">
        <v>1211</v>
      </c>
      <c r="K939" t="s">
        <v>1215</v>
      </c>
      <c r="L939" t="b">
        <v>1</v>
      </c>
      <c r="M939" t="s">
        <v>112</v>
      </c>
      <c r="N939" t="s">
        <v>32</v>
      </c>
      <c r="P939" t="s">
        <v>579</v>
      </c>
      <c r="Q939">
        <v>1</v>
      </c>
      <c r="R939">
        <v>3</v>
      </c>
      <c r="S939">
        <v>103.68</v>
      </c>
      <c r="T939">
        <v>18100000</v>
      </c>
      <c r="U939">
        <v>18100000</v>
      </c>
      <c r="V939">
        <v>1</v>
      </c>
      <c r="W939">
        <v>486688.89</v>
      </c>
      <c r="X939">
        <v>18766080</v>
      </c>
      <c r="Y939">
        <v>19252768.890000001</v>
      </c>
    </row>
    <row r="940" spans="1:25" x14ac:dyDescent="0.25">
      <c r="A940">
        <v>59</v>
      </c>
      <c r="B940" t="s">
        <v>2200</v>
      </c>
      <c r="C940" t="s">
        <v>32</v>
      </c>
      <c r="D940" t="s">
        <v>1222</v>
      </c>
      <c r="E940">
        <v>162361</v>
      </c>
      <c r="F940" t="s">
        <v>1221</v>
      </c>
      <c r="G940" t="s">
        <v>1223</v>
      </c>
      <c r="H940" t="s">
        <v>1219</v>
      </c>
      <c r="I940" t="s">
        <v>1220</v>
      </c>
      <c r="J940" t="s">
        <v>1217</v>
      </c>
      <c r="K940" t="s">
        <v>1217</v>
      </c>
      <c r="L940" t="b">
        <v>1</v>
      </c>
      <c r="M940" t="s">
        <v>31</v>
      </c>
      <c r="N940" t="s">
        <v>32</v>
      </c>
      <c r="P940" t="s">
        <v>579</v>
      </c>
      <c r="Q940">
        <v>1</v>
      </c>
      <c r="R940">
        <v>3</v>
      </c>
      <c r="S940">
        <v>101.6575</v>
      </c>
      <c r="T940">
        <v>7250000</v>
      </c>
      <c r="U940">
        <v>7250000</v>
      </c>
      <c r="V940">
        <v>1</v>
      </c>
      <c r="W940">
        <v>186083.33</v>
      </c>
      <c r="X940">
        <v>7370168.75</v>
      </c>
      <c r="Y940">
        <v>7556252.0800000001</v>
      </c>
    </row>
    <row r="941" spans="1:25" x14ac:dyDescent="0.25">
      <c r="A941">
        <v>59</v>
      </c>
      <c r="B941" t="s">
        <v>2200</v>
      </c>
      <c r="C941" t="s">
        <v>32</v>
      </c>
      <c r="D941" t="s">
        <v>1224</v>
      </c>
      <c r="E941">
        <v>213783</v>
      </c>
      <c r="F941" t="s">
        <v>1225</v>
      </c>
      <c r="G941" t="s">
        <v>1226</v>
      </c>
      <c r="H941" t="s">
        <v>1227</v>
      </c>
      <c r="I941" t="s">
        <v>1228</v>
      </c>
      <c r="J941" t="s">
        <v>1225</v>
      </c>
      <c r="K941" t="s">
        <v>1229</v>
      </c>
      <c r="L941" t="b">
        <v>1</v>
      </c>
      <c r="M941" t="s">
        <v>31</v>
      </c>
      <c r="N941" t="s">
        <v>32</v>
      </c>
      <c r="P941" t="s">
        <v>579</v>
      </c>
      <c r="Q941">
        <v>1</v>
      </c>
      <c r="R941">
        <v>3</v>
      </c>
      <c r="S941">
        <v>96.125</v>
      </c>
      <c r="T941">
        <v>29000000</v>
      </c>
      <c r="U941">
        <v>29000000</v>
      </c>
      <c r="V941">
        <v>1</v>
      </c>
      <c r="W941">
        <v>631555.56000000006</v>
      </c>
      <c r="X941">
        <v>27876250</v>
      </c>
      <c r="Y941">
        <v>28507805.559999999</v>
      </c>
    </row>
    <row r="942" spans="1:25" x14ac:dyDescent="0.25">
      <c r="A942">
        <v>59</v>
      </c>
      <c r="B942" t="s">
        <v>2200</v>
      </c>
      <c r="C942" t="s">
        <v>32</v>
      </c>
      <c r="D942" t="s">
        <v>34</v>
      </c>
      <c r="E942">
        <v>225679</v>
      </c>
      <c r="F942" t="s">
        <v>35</v>
      </c>
      <c r="G942" t="s">
        <v>36</v>
      </c>
      <c r="H942" t="s">
        <v>37</v>
      </c>
      <c r="I942" t="s">
        <v>38</v>
      </c>
      <c r="L942" t="b">
        <v>1</v>
      </c>
      <c r="M942" t="s">
        <v>39</v>
      </c>
      <c r="N942" t="s">
        <v>32</v>
      </c>
      <c r="P942" t="s">
        <v>579</v>
      </c>
      <c r="Q942">
        <v>1</v>
      </c>
      <c r="R942">
        <v>3</v>
      </c>
      <c r="S942">
        <v>93</v>
      </c>
      <c r="T942">
        <v>33423021</v>
      </c>
      <c r="U942">
        <v>33423021</v>
      </c>
      <c r="V942">
        <v>1</v>
      </c>
      <c r="W942">
        <v>142976.25</v>
      </c>
      <c r="X942">
        <v>31083409.530000001</v>
      </c>
      <c r="Y942">
        <v>31226385.780000001</v>
      </c>
    </row>
    <row r="943" spans="1:25" x14ac:dyDescent="0.25">
      <c r="A943">
        <v>59</v>
      </c>
      <c r="B943" t="s">
        <v>2200</v>
      </c>
      <c r="C943" t="s">
        <v>32</v>
      </c>
      <c r="D943" t="s">
        <v>1110</v>
      </c>
      <c r="E943">
        <v>86445</v>
      </c>
      <c r="F943" t="s">
        <v>1111</v>
      </c>
      <c r="G943" t="s">
        <v>1112</v>
      </c>
      <c r="H943" t="s">
        <v>43</v>
      </c>
      <c r="I943" t="s">
        <v>1112</v>
      </c>
      <c r="L943" t="b">
        <v>0</v>
      </c>
      <c r="M943" t="s">
        <v>44</v>
      </c>
      <c r="N943" t="s">
        <v>32</v>
      </c>
      <c r="P943" t="s">
        <v>579</v>
      </c>
      <c r="Q943">
        <v>1</v>
      </c>
      <c r="R943">
        <v>3</v>
      </c>
      <c r="S943">
        <v>98</v>
      </c>
      <c r="T943">
        <v>6715652</v>
      </c>
      <c r="U943">
        <v>6715652</v>
      </c>
      <c r="V943">
        <v>1</v>
      </c>
      <c r="W943">
        <v>29847.35</v>
      </c>
      <c r="X943">
        <v>6581338.96</v>
      </c>
      <c r="Y943">
        <v>6611186.3099999996</v>
      </c>
    </row>
    <row r="944" spans="1:25" x14ac:dyDescent="0.25">
      <c r="A944">
        <v>59</v>
      </c>
      <c r="B944" t="s">
        <v>2200</v>
      </c>
      <c r="C944" t="s">
        <v>32</v>
      </c>
      <c r="D944" t="s">
        <v>40</v>
      </c>
      <c r="E944">
        <v>87301</v>
      </c>
      <c r="F944" t="s">
        <v>41</v>
      </c>
      <c r="G944" t="s">
        <v>42</v>
      </c>
      <c r="H944" t="s">
        <v>43</v>
      </c>
      <c r="I944" t="s">
        <v>42</v>
      </c>
      <c r="L944" t="b">
        <v>0</v>
      </c>
      <c r="M944" t="s">
        <v>44</v>
      </c>
      <c r="N944" t="s">
        <v>32</v>
      </c>
      <c r="P944" t="s">
        <v>579</v>
      </c>
      <c r="Q944">
        <v>1</v>
      </c>
      <c r="R944">
        <v>3</v>
      </c>
      <c r="S944">
        <v>71.5</v>
      </c>
      <c r="T944">
        <v>2492394</v>
      </c>
      <c r="U944">
        <v>2492394</v>
      </c>
      <c r="V944">
        <v>1</v>
      </c>
      <c r="W944">
        <v>8125.89</v>
      </c>
      <c r="X944">
        <v>1782061.71</v>
      </c>
      <c r="Y944">
        <v>1790187.6</v>
      </c>
    </row>
    <row r="945" spans="1:25" x14ac:dyDescent="0.25">
      <c r="A945">
        <v>59</v>
      </c>
      <c r="B945" t="s">
        <v>2200</v>
      </c>
      <c r="C945" t="s">
        <v>32</v>
      </c>
      <c r="D945" t="s">
        <v>1113</v>
      </c>
      <c r="E945">
        <v>884</v>
      </c>
      <c r="F945" t="s">
        <v>1114</v>
      </c>
      <c r="G945" t="s">
        <v>1115</v>
      </c>
      <c r="H945" t="s">
        <v>43</v>
      </c>
      <c r="I945" t="s">
        <v>1115</v>
      </c>
      <c r="L945" t="b">
        <v>0</v>
      </c>
      <c r="M945" t="s">
        <v>44</v>
      </c>
      <c r="N945" t="s">
        <v>32</v>
      </c>
      <c r="P945" t="s">
        <v>579</v>
      </c>
      <c r="Q945">
        <v>1</v>
      </c>
      <c r="R945">
        <v>3</v>
      </c>
      <c r="S945">
        <v>73</v>
      </c>
      <c r="T945">
        <v>24098093</v>
      </c>
      <c r="U945">
        <v>24098093</v>
      </c>
      <c r="V945">
        <v>1</v>
      </c>
      <c r="W945">
        <v>78566.39</v>
      </c>
      <c r="X945">
        <v>17591607.890000001</v>
      </c>
      <c r="Y945">
        <v>17670174.280000001</v>
      </c>
    </row>
    <row r="946" spans="1:25" x14ac:dyDescent="0.25">
      <c r="A946">
        <v>59</v>
      </c>
      <c r="B946" t="s">
        <v>2200</v>
      </c>
      <c r="C946" t="s">
        <v>32</v>
      </c>
      <c r="D946" t="s">
        <v>1230</v>
      </c>
      <c r="E946">
        <v>159426</v>
      </c>
      <c r="F946" t="s">
        <v>1231</v>
      </c>
      <c r="G946" t="s">
        <v>1232</v>
      </c>
      <c r="H946" t="s">
        <v>1233</v>
      </c>
      <c r="I946" t="s">
        <v>1232</v>
      </c>
      <c r="L946" t="b">
        <v>0</v>
      </c>
      <c r="M946" t="s">
        <v>31</v>
      </c>
      <c r="N946" t="s">
        <v>32</v>
      </c>
      <c r="P946" t="s">
        <v>579</v>
      </c>
      <c r="Q946">
        <v>1</v>
      </c>
      <c r="R946">
        <v>3</v>
      </c>
      <c r="S946">
        <v>25.45</v>
      </c>
      <c r="T946">
        <v>5415066</v>
      </c>
      <c r="U946">
        <v>5415066</v>
      </c>
      <c r="V946">
        <v>1</v>
      </c>
      <c r="W946">
        <v>14277.72</v>
      </c>
      <c r="X946">
        <v>1378134.3</v>
      </c>
      <c r="Y946">
        <v>1392412.02</v>
      </c>
    </row>
    <row r="947" spans="1:25" x14ac:dyDescent="0.25">
      <c r="A947">
        <v>59</v>
      </c>
      <c r="B947" t="s">
        <v>2200</v>
      </c>
      <c r="C947" t="s">
        <v>32</v>
      </c>
      <c r="D947" t="s">
        <v>1234</v>
      </c>
      <c r="E947">
        <v>159174</v>
      </c>
      <c r="F947" t="s">
        <v>1235</v>
      </c>
      <c r="G947" t="s">
        <v>1236</v>
      </c>
      <c r="H947" t="s">
        <v>1233</v>
      </c>
      <c r="I947" t="s">
        <v>1236</v>
      </c>
      <c r="L947" t="b">
        <v>0</v>
      </c>
      <c r="M947" t="s">
        <v>31</v>
      </c>
      <c r="N947" t="s">
        <v>32</v>
      </c>
      <c r="P947" t="s">
        <v>579</v>
      </c>
      <c r="Q947">
        <v>1</v>
      </c>
      <c r="R947">
        <v>3</v>
      </c>
      <c r="S947">
        <v>74.259749999999997</v>
      </c>
      <c r="T947">
        <v>13151611</v>
      </c>
      <c r="U947">
        <v>13151611</v>
      </c>
      <c r="V947">
        <v>1</v>
      </c>
      <c r="W947">
        <v>64596.32</v>
      </c>
      <c r="X947">
        <v>9766353.4500000011</v>
      </c>
      <c r="Y947">
        <v>9830949.7700000014</v>
      </c>
    </row>
    <row r="948" spans="1:25" x14ac:dyDescent="0.25">
      <c r="A948">
        <v>59</v>
      </c>
      <c r="B948" t="s">
        <v>2200</v>
      </c>
      <c r="C948" t="s">
        <v>32</v>
      </c>
      <c r="D948" t="s">
        <v>1237</v>
      </c>
      <c r="E948">
        <v>148393</v>
      </c>
      <c r="F948" t="s">
        <v>1238</v>
      </c>
      <c r="G948" t="s">
        <v>1239</v>
      </c>
      <c r="H948" t="s">
        <v>1240</v>
      </c>
      <c r="I948" t="s">
        <v>1241</v>
      </c>
      <c r="L948" t="b">
        <v>1</v>
      </c>
      <c r="M948" t="s">
        <v>31</v>
      </c>
      <c r="N948" t="s">
        <v>32</v>
      </c>
      <c r="P948" t="s">
        <v>579</v>
      </c>
      <c r="Q948">
        <v>1</v>
      </c>
      <c r="R948">
        <v>3</v>
      </c>
      <c r="S948">
        <v>104.211</v>
      </c>
      <c r="T948">
        <v>3900000</v>
      </c>
      <c r="U948">
        <v>3900000</v>
      </c>
      <c r="V948">
        <v>1</v>
      </c>
      <c r="W948">
        <v>4306.25</v>
      </c>
      <c r="X948">
        <v>4064229</v>
      </c>
      <c r="Y948">
        <v>4068535.25</v>
      </c>
    </row>
    <row r="949" spans="1:25" x14ac:dyDescent="0.25">
      <c r="A949">
        <v>59</v>
      </c>
      <c r="B949" t="s">
        <v>2200</v>
      </c>
      <c r="C949" t="s">
        <v>32</v>
      </c>
      <c r="D949" t="s">
        <v>45</v>
      </c>
      <c r="E949">
        <v>176139</v>
      </c>
      <c r="F949" t="s">
        <v>46</v>
      </c>
      <c r="G949" t="s">
        <v>47</v>
      </c>
      <c r="H949" t="s">
        <v>48</v>
      </c>
      <c r="I949" t="s">
        <v>49</v>
      </c>
      <c r="L949" t="b">
        <v>1</v>
      </c>
      <c r="M949" t="s">
        <v>50</v>
      </c>
      <c r="N949" t="s">
        <v>32</v>
      </c>
      <c r="P949" t="s">
        <v>579</v>
      </c>
      <c r="Q949">
        <v>1</v>
      </c>
      <c r="R949">
        <v>3</v>
      </c>
      <c r="S949">
        <v>102.375</v>
      </c>
      <c r="T949">
        <v>24250000</v>
      </c>
      <c r="U949">
        <v>24250000</v>
      </c>
      <c r="V949">
        <v>1</v>
      </c>
      <c r="W949">
        <v>123270.83</v>
      </c>
      <c r="X949">
        <v>24825937.5</v>
      </c>
      <c r="Y949">
        <v>24949208.329999998</v>
      </c>
    </row>
    <row r="950" spans="1:25" x14ac:dyDescent="0.25">
      <c r="A950">
        <v>59</v>
      </c>
      <c r="B950" t="s">
        <v>2200</v>
      </c>
      <c r="C950" t="s">
        <v>32</v>
      </c>
      <c r="D950" t="s">
        <v>51</v>
      </c>
      <c r="E950">
        <v>148823</v>
      </c>
      <c r="F950" t="s">
        <v>52</v>
      </c>
      <c r="G950" t="s">
        <v>53</v>
      </c>
      <c r="H950" t="s">
        <v>48</v>
      </c>
      <c r="I950" t="s">
        <v>54</v>
      </c>
      <c r="J950" t="s">
        <v>52</v>
      </c>
      <c r="K950" t="s">
        <v>55</v>
      </c>
      <c r="L950" t="b">
        <v>1</v>
      </c>
      <c r="M950" t="s">
        <v>50</v>
      </c>
      <c r="N950" t="s">
        <v>32</v>
      </c>
      <c r="P950" t="s">
        <v>579</v>
      </c>
      <c r="Q950">
        <v>1</v>
      </c>
      <c r="R950">
        <v>3</v>
      </c>
      <c r="S950">
        <v>103.24</v>
      </c>
      <c r="T950">
        <v>40750000</v>
      </c>
      <c r="U950">
        <v>40750000</v>
      </c>
      <c r="V950">
        <v>1</v>
      </c>
      <c r="W950">
        <v>944890.63</v>
      </c>
      <c r="X950">
        <v>42070300</v>
      </c>
      <c r="Y950">
        <v>43015190.630000003</v>
      </c>
    </row>
    <row r="951" spans="1:25" x14ac:dyDescent="0.25">
      <c r="A951">
        <v>59</v>
      </c>
      <c r="B951" t="s">
        <v>2200</v>
      </c>
      <c r="C951" t="s">
        <v>32</v>
      </c>
      <c r="D951" t="s">
        <v>1116</v>
      </c>
      <c r="E951">
        <v>1628</v>
      </c>
      <c r="F951" t="s">
        <v>1117</v>
      </c>
      <c r="G951" t="s">
        <v>1118</v>
      </c>
      <c r="H951" t="s">
        <v>43</v>
      </c>
      <c r="I951" t="s">
        <v>1118</v>
      </c>
      <c r="L951" t="b">
        <v>0</v>
      </c>
      <c r="M951" t="s">
        <v>44</v>
      </c>
      <c r="N951" t="s">
        <v>32</v>
      </c>
      <c r="P951" t="s">
        <v>579</v>
      </c>
      <c r="Q951">
        <v>1</v>
      </c>
      <c r="R951">
        <v>3</v>
      </c>
      <c r="S951">
        <v>63.08</v>
      </c>
      <c r="T951">
        <v>11066144</v>
      </c>
      <c r="U951">
        <v>11066144</v>
      </c>
      <c r="V951">
        <v>1</v>
      </c>
      <c r="W951">
        <v>34428</v>
      </c>
      <c r="X951">
        <v>6980523.6399999997</v>
      </c>
      <c r="Y951">
        <v>7014951.6399999997</v>
      </c>
    </row>
    <row r="952" spans="1:25" x14ac:dyDescent="0.25">
      <c r="A952">
        <v>59</v>
      </c>
      <c r="B952" t="s">
        <v>2200</v>
      </c>
      <c r="C952" t="s">
        <v>32</v>
      </c>
      <c r="D952" t="s">
        <v>1242</v>
      </c>
      <c r="E952">
        <v>32251</v>
      </c>
      <c r="F952" t="s">
        <v>1243</v>
      </c>
      <c r="G952" t="s">
        <v>1244</v>
      </c>
      <c r="H952" t="s">
        <v>1245</v>
      </c>
      <c r="I952" t="s">
        <v>1244</v>
      </c>
      <c r="L952" t="b">
        <v>0</v>
      </c>
      <c r="M952" t="s">
        <v>31</v>
      </c>
      <c r="N952" t="s">
        <v>32</v>
      </c>
      <c r="P952" t="s">
        <v>579</v>
      </c>
      <c r="Q952">
        <v>1</v>
      </c>
      <c r="R952">
        <v>3</v>
      </c>
      <c r="S952">
        <v>98.429000000000002</v>
      </c>
      <c r="T952">
        <v>3993961</v>
      </c>
      <c r="U952">
        <v>4550000</v>
      </c>
      <c r="V952">
        <v>0.87780000000000002</v>
      </c>
      <c r="W952">
        <v>24934.52</v>
      </c>
      <c r="X952">
        <v>3931215.87</v>
      </c>
      <c r="Y952">
        <v>3956150.39</v>
      </c>
    </row>
    <row r="953" spans="1:25" x14ac:dyDescent="0.25">
      <c r="A953">
        <v>59</v>
      </c>
      <c r="B953" t="s">
        <v>2200</v>
      </c>
      <c r="C953" t="s">
        <v>32</v>
      </c>
      <c r="D953" t="s">
        <v>1246</v>
      </c>
      <c r="E953">
        <v>31168</v>
      </c>
      <c r="F953" t="s">
        <v>1247</v>
      </c>
      <c r="G953" t="s">
        <v>1248</v>
      </c>
      <c r="H953" t="s">
        <v>1249</v>
      </c>
      <c r="I953" t="s">
        <v>1248</v>
      </c>
      <c r="L953" t="b">
        <v>0</v>
      </c>
      <c r="M953" t="s">
        <v>31</v>
      </c>
      <c r="N953" t="s">
        <v>32</v>
      </c>
      <c r="P953" t="s">
        <v>579</v>
      </c>
      <c r="Q953">
        <v>1</v>
      </c>
      <c r="R953">
        <v>3</v>
      </c>
      <c r="S953">
        <v>91.265649999999994</v>
      </c>
      <c r="T953">
        <v>4100000</v>
      </c>
      <c r="U953">
        <v>4100000</v>
      </c>
      <c r="V953">
        <v>1</v>
      </c>
      <c r="W953">
        <v>6050.34</v>
      </c>
      <c r="X953">
        <v>3741891.65</v>
      </c>
      <c r="Y953">
        <v>3747941.99</v>
      </c>
    </row>
    <row r="954" spans="1:25" x14ac:dyDescent="0.25">
      <c r="A954">
        <v>59</v>
      </c>
      <c r="B954" t="s">
        <v>2200</v>
      </c>
      <c r="C954" t="s">
        <v>32</v>
      </c>
      <c r="D954" t="s">
        <v>1250</v>
      </c>
      <c r="E954">
        <v>166141</v>
      </c>
      <c r="F954" t="s">
        <v>1251</v>
      </c>
      <c r="G954" t="s">
        <v>1252</v>
      </c>
      <c r="H954" t="s">
        <v>1253</v>
      </c>
      <c r="I954" t="s">
        <v>1252</v>
      </c>
      <c r="L954" t="b">
        <v>0</v>
      </c>
      <c r="M954" t="s">
        <v>31</v>
      </c>
      <c r="N954" t="s">
        <v>32</v>
      </c>
      <c r="P954" t="s">
        <v>579</v>
      </c>
      <c r="Q954">
        <v>1</v>
      </c>
      <c r="R954">
        <v>3</v>
      </c>
      <c r="S954">
        <v>96.740859</v>
      </c>
      <c r="T954">
        <v>11502941</v>
      </c>
      <c r="U954">
        <v>11502941</v>
      </c>
      <c r="V954">
        <v>1</v>
      </c>
      <c r="W954">
        <v>147621.07999999999</v>
      </c>
      <c r="X954">
        <v>11128043.93</v>
      </c>
      <c r="Y954">
        <v>11275665.01</v>
      </c>
    </row>
    <row r="955" spans="1:25" x14ac:dyDescent="0.25">
      <c r="A955">
        <v>59</v>
      </c>
      <c r="B955" t="s">
        <v>2200</v>
      </c>
      <c r="C955" t="s">
        <v>32</v>
      </c>
      <c r="D955" t="s">
        <v>1254</v>
      </c>
      <c r="E955">
        <v>177899</v>
      </c>
      <c r="F955" t="s">
        <v>1255</v>
      </c>
      <c r="G955" t="s">
        <v>1256</v>
      </c>
      <c r="H955" t="s">
        <v>1257</v>
      </c>
      <c r="I955" t="s">
        <v>1258</v>
      </c>
      <c r="J955" t="s">
        <v>1255</v>
      </c>
      <c r="K955" t="s">
        <v>1259</v>
      </c>
      <c r="L955" t="b">
        <v>1</v>
      </c>
      <c r="M955" t="s">
        <v>1030</v>
      </c>
      <c r="N955" t="s">
        <v>32</v>
      </c>
      <c r="P955" t="s">
        <v>579</v>
      </c>
      <c r="Q955">
        <v>1</v>
      </c>
      <c r="R955">
        <v>3</v>
      </c>
      <c r="S955">
        <v>98.688500000000005</v>
      </c>
      <c r="T955">
        <v>7000000</v>
      </c>
      <c r="U955">
        <v>7000000</v>
      </c>
      <c r="V955">
        <v>1</v>
      </c>
      <c r="W955">
        <v>59033.33</v>
      </c>
      <c r="X955">
        <v>6908195</v>
      </c>
      <c r="Y955">
        <v>6967228.3300000001</v>
      </c>
    </row>
    <row r="956" spans="1:25" x14ac:dyDescent="0.25">
      <c r="A956">
        <v>59</v>
      </c>
      <c r="B956" t="s">
        <v>2200</v>
      </c>
      <c r="C956" t="s">
        <v>32</v>
      </c>
      <c r="D956" t="s">
        <v>1260</v>
      </c>
      <c r="E956">
        <v>221418</v>
      </c>
      <c r="F956" t="s">
        <v>1261</v>
      </c>
      <c r="G956" t="s">
        <v>1262</v>
      </c>
      <c r="H956" t="s">
        <v>1263</v>
      </c>
      <c r="I956" t="s">
        <v>1264</v>
      </c>
      <c r="J956" t="s">
        <v>1261</v>
      </c>
      <c r="K956" t="s">
        <v>1265</v>
      </c>
      <c r="L956" t="b">
        <v>1</v>
      </c>
      <c r="M956" t="s">
        <v>112</v>
      </c>
      <c r="N956" t="s">
        <v>32</v>
      </c>
      <c r="P956" t="s">
        <v>579</v>
      </c>
      <c r="Q956">
        <v>1</v>
      </c>
      <c r="R956">
        <v>3</v>
      </c>
      <c r="S956">
        <v>97.905000000000001</v>
      </c>
      <c r="T956">
        <v>43700000</v>
      </c>
      <c r="U956">
        <v>43700000</v>
      </c>
      <c r="V956">
        <v>1</v>
      </c>
      <c r="W956">
        <v>532593.75</v>
      </c>
      <c r="X956">
        <v>42784485</v>
      </c>
      <c r="Y956">
        <v>43317078.75</v>
      </c>
    </row>
    <row r="957" spans="1:25" x14ac:dyDescent="0.25">
      <c r="A957">
        <v>59</v>
      </c>
      <c r="B957" t="s">
        <v>2200</v>
      </c>
      <c r="C957" t="s">
        <v>32</v>
      </c>
      <c r="D957" t="s">
        <v>1266</v>
      </c>
      <c r="E957">
        <v>158667</v>
      </c>
      <c r="F957" t="s">
        <v>1267</v>
      </c>
      <c r="G957" t="s">
        <v>1268</v>
      </c>
      <c r="H957" t="s">
        <v>1263</v>
      </c>
      <c r="I957" t="s">
        <v>1269</v>
      </c>
      <c r="J957" t="s">
        <v>1267</v>
      </c>
      <c r="K957" t="s">
        <v>1270</v>
      </c>
      <c r="L957" t="b">
        <v>1</v>
      </c>
      <c r="M957" t="s">
        <v>112</v>
      </c>
      <c r="N957" t="s">
        <v>32</v>
      </c>
      <c r="P957" t="s">
        <v>579</v>
      </c>
      <c r="Q957">
        <v>1</v>
      </c>
      <c r="R957">
        <v>3</v>
      </c>
      <c r="S957">
        <v>102.35</v>
      </c>
      <c r="T957">
        <v>24927280</v>
      </c>
      <c r="U957">
        <v>24927280</v>
      </c>
      <c r="V957">
        <v>1</v>
      </c>
      <c r="W957">
        <v>378063.74</v>
      </c>
      <c r="X957">
        <v>25513071.079999998</v>
      </c>
      <c r="Y957">
        <v>25891134.82</v>
      </c>
    </row>
    <row r="958" spans="1:25" x14ac:dyDescent="0.25">
      <c r="A958">
        <v>59</v>
      </c>
      <c r="B958" t="s">
        <v>2200</v>
      </c>
      <c r="C958" t="s">
        <v>32</v>
      </c>
      <c r="D958" t="s">
        <v>1271</v>
      </c>
      <c r="E958">
        <v>53479</v>
      </c>
      <c r="F958" t="s">
        <v>1272</v>
      </c>
      <c r="G958" t="s">
        <v>1273</v>
      </c>
      <c r="H958" t="s">
        <v>1274</v>
      </c>
      <c r="I958" t="s">
        <v>1275</v>
      </c>
      <c r="L958" t="b">
        <v>1</v>
      </c>
      <c r="M958" t="s">
        <v>452</v>
      </c>
      <c r="N958" t="s">
        <v>32</v>
      </c>
      <c r="P958" t="s">
        <v>579</v>
      </c>
      <c r="Q958">
        <v>1</v>
      </c>
      <c r="R958">
        <v>3</v>
      </c>
      <c r="S958">
        <v>103.04100099999999</v>
      </c>
      <c r="T958">
        <v>8671000</v>
      </c>
      <c r="U958">
        <v>8671000</v>
      </c>
      <c r="V958">
        <v>1</v>
      </c>
      <c r="W958">
        <v>332267.90000000002</v>
      </c>
      <c r="X958">
        <v>8934685.1999999993</v>
      </c>
      <c r="Y958">
        <v>9266953.0999999996</v>
      </c>
    </row>
    <row r="959" spans="1:25" x14ac:dyDescent="0.25">
      <c r="A959">
        <v>59</v>
      </c>
      <c r="B959" t="s">
        <v>2200</v>
      </c>
      <c r="C959" t="s">
        <v>32</v>
      </c>
      <c r="D959" t="s">
        <v>62</v>
      </c>
      <c r="E959">
        <v>213324</v>
      </c>
      <c r="F959" t="s">
        <v>63</v>
      </c>
      <c r="G959" t="s">
        <v>64</v>
      </c>
      <c r="H959" t="s">
        <v>65</v>
      </c>
      <c r="I959" t="s">
        <v>66</v>
      </c>
      <c r="J959" t="s">
        <v>63</v>
      </c>
      <c r="K959" t="s">
        <v>67</v>
      </c>
      <c r="L959" t="b">
        <v>1</v>
      </c>
      <c r="M959" t="s">
        <v>50</v>
      </c>
      <c r="N959" t="s">
        <v>32</v>
      </c>
      <c r="P959" t="s">
        <v>579</v>
      </c>
      <c r="Q959">
        <v>1</v>
      </c>
      <c r="R959">
        <v>3</v>
      </c>
      <c r="S959">
        <v>99.037999999999997</v>
      </c>
      <c r="T959">
        <v>10650000</v>
      </c>
      <c r="U959">
        <v>10650000</v>
      </c>
      <c r="V959">
        <v>1</v>
      </c>
      <c r="W959">
        <v>237539.38</v>
      </c>
      <c r="X959">
        <v>10547547</v>
      </c>
      <c r="Y959">
        <v>10785086.380000001</v>
      </c>
    </row>
    <row r="960" spans="1:25" x14ac:dyDescent="0.25">
      <c r="A960">
        <v>59</v>
      </c>
      <c r="B960" t="s">
        <v>2200</v>
      </c>
      <c r="C960" t="s">
        <v>32</v>
      </c>
      <c r="D960" t="s">
        <v>559</v>
      </c>
      <c r="E960">
        <v>1545</v>
      </c>
      <c r="F960" t="s">
        <v>560</v>
      </c>
      <c r="G960" t="s">
        <v>561</v>
      </c>
      <c r="H960" t="s">
        <v>562</v>
      </c>
      <c r="I960" t="s">
        <v>563</v>
      </c>
      <c r="J960" t="s">
        <v>560</v>
      </c>
      <c r="K960" t="s">
        <v>564</v>
      </c>
      <c r="L960" t="b">
        <v>1</v>
      </c>
      <c r="M960" t="s">
        <v>31</v>
      </c>
      <c r="N960" t="s">
        <v>32</v>
      </c>
      <c r="P960" t="s">
        <v>579</v>
      </c>
      <c r="Q960">
        <v>1</v>
      </c>
      <c r="R960">
        <v>3</v>
      </c>
      <c r="S960">
        <v>101.2899</v>
      </c>
      <c r="T960">
        <v>28830402</v>
      </c>
      <c r="U960">
        <v>42896000</v>
      </c>
      <c r="V960">
        <v>0.67210000000000003</v>
      </c>
      <c r="W960">
        <v>324245.92999999988</v>
      </c>
      <c r="X960">
        <v>29202285.350000001</v>
      </c>
      <c r="Y960">
        <v>29526531.280000001</v>
      </c>
    </row>
    <row r="961" spans="1:25" x14ac:dyDescent="0.25">
      <c r="A961">
        <v>59</v>
      </c>
      <c r="B961" t="s">
        <v>2200</v>
      </c>
      <c r="C961" t="s">
        <v>32</v>
      </c>
      <c r="D961" t="s">
        <v>1278</v>
      </c>
      <c r="E961">
        <v>39251</v>
      </c>
      <c r="F961" t="s">
        <v>1279</v>
      </c>
      <c r="G961" t="s">
        <v>1280</v>
      </c>
      <c r="H961" t="s">
        <v>1281</v>
      </c>
      <c r="I961" t="s">
        <v>1282</v>
      </c>
      <c r="L961" t="b">
        <v>1</v>
      </c>
      <c r="M961" t="s">
        <v>31</v>
      </c>
      <c r="N961" t="s">
        <v>32</v>
      </c>
      <c r="P961" t="s">
        <v>579</v>
      </c>
      <c r="Q961">
        <v>1</v>
      </c>
      <c r="R961">
        <v>3</v>
      </c>
      <c r="S961">
        <v>96.340999999999994</v>
      </c>
      <c r="T961">
        <v>1130000</v>
      </c>
      <c r="U961">
        <v>1130000</v>
      </c>
      <c r="V961">
        <v>1</v>
      </c>
      <c r="W961">
        <v>19210</v>
      </c>
      <c r="X961">
        <v>1088653.3</v>
      </c>
      <c r="Y961">
        <v>1107863.3</v>
      </c>
    </row>
    <row r="962" spans="1:25" x14ac:dyDescent="0.25">
      <c r="A962">
        <v>59</v>
      </c>
      <c r="B962" t="s">
        <v>2200</v>
      </c>
      <c r="C962" t="s">
        <v>32</v>
      </c>
      <c r="D962" t="s">
        <v>1283</v>
      </c>
      <c r="E962">
        <v>937</v>
      </c>
      <c r="F962" t="s">
        <v>1284</v>
      </c>
      <c r="G962" t="s">
        <v>1285</v>
      </c>
      <c r="H962" t="s">
        <v>1286</v>
      </c>
      <c r="I962" t="s">
        <v>1287</v>
      </c>
      <c r="L962" t="b">
        <v>1</v>
      </c>
      <c r="M962" t="s">
        <v>44</v>
      </c>
      <c r="N962" t="s">
        <v>32</v>
      </c>
      <c r="P962" t="s">
        <v>579</v>
      </c>
      <c r="Q962">
        <v>1</v>
      </c>
      <c r="R962">
        <v>3</v>
      </c>
      <c r="S962">
        <v>4</v>
      </c>
      <c r="T962">
        <v>1400000</v>
      </c>
      <c r="U962">
        <v>1400000</v>
      </c>
      <c r="V962">
        <v>1</v>
      </c>
      <c r="W962">
        <v>0</v>
      </c>
      <c r="X962">
        <v>56000</v>
      </c>
      <c r="Y962">
        <v>56000</v>
      </c>
    </row>
    <row r="963" spans="1:25" x14ac:dyDescent="0.25">
      <c r="A963">
        <v>59</v>
      </c>
      <c r="B963" t="s">
        <v>2200</v>
      </c>
      <c r="C963" t="s">
        <v>32</v>
      </c>
      <c r="D963" t="s">
        <v>1288</v>
      </c>
      <c r="E963">
        <v>143842</v>
      </c>
      <c r="F963" t="s">
        <v>1289</v>
      </c>
      <c r="G963" t="s">
        <v>1290</v>
      </c>
      <c r="H963" t="s">
        <v>1291</v>
      </c>
      <c r="I963" t="s">
        <v>1292</v>
      </c>
      <c r="J963" t="s">
        <v>1289</v>
      </c>
      <c r="K963" t="s">
        <v>1293</v>
      </c>
      <c r="L963" t="b">
        <v>1</v>
      </c>
      <c r="M963" t="s">
        <v>31</v>
      </c>
      <c r="N963" t="s">
        <v>32</v>
      </c>
      <c r="P963" t="s">
        <v>579</v>
      </c>
      <c r="Q963">
        <v>1</v>
      </c>
      <c r="R963">
        <v>3</v>
      </c>
      <c r="S963">
        <v>48.625</v>
      </c>
      <c r="T963">
        <v>25079357</v>
      </c>
      <c r="U963">
        <v>25079357</v>
      </c>
      <c r="V963">
        <v>1</v>
      </c>
      <c r="W963">
        <v>0</v>
      </c>
      <c r="X963">
        <v>12194837.350000011</v>
      </c>
      <c r="Y963">
        <v>12194837.350000011</v>
      </c>
    </row>
    <row r="964" spans="1:25" x14ac:dyDescent="0.25">
      <c r="A964">
        <v>59</v>
      </c>
      <c r="B964" t="s">
        <v>2200</v>
      </c>
      <c r="C964" t="s">
        <v>32</v>
      </c>
      <c r="D964" t="s">
        <v>570</v>
      </c>
      <c r="E964">
        <v>944</v>
      </c>
      <c r="F964" t="s">
        <v>571</v>
      </c>
      <c r="G964" t="s">
        <v>572</v>
      </c>
      <c r="H964" t="s">
        <v>159</v>
      </c>
      <c r="I964" t="s">
        <v>573</v>
      </c>
      <c r="L964" t="b">
        <v>1</v>
      </c>
      <c r="M964" t="s">
        <v>81</v>
      </c>
      <c r="N964" t="s">
        <v>32</v>
      </c>
      <c r="P964" t="s">
        <v>579</v>
      </c>
      <c r="Q964">
        <v>1</v>
      </c>
      <c r="R964">
        <v>3</v>
      </c>
      <c r="S964">
        <v>101.3</v>
      </c>
      <c r="T964">
        <v>14715725</v>
      </c>
      <c r="U964">
        <v>19750000</v>
      </c>
      <c r="V964">
        <v>0.74509999999999998</v>
      </c>
      <c r="W964">
        <v>53957.670000000013</v>
      </c>
      <c r="X964">
        <v>14907029.43</v>
      </c>
      <c r="Y964">
        <v>14960987.1</v>
      </c>
    </row>
    <row r="965" spans="1:25" x14ac:dyDescent="0.25">
      <c r="A965">
        <v>59</v>
      </c>
      <c r="B965" t="s">
        <v>2200</v>
      </c>
      <c r="C965" t="s">
        <v>32</v>
      </c>
      <c r="D965" t="s">
        <v>1325</v>
      </c>
      <c r="E965">
        <v>216350</v>
      </c>
      <c r="F965" t="s">
        <v>1326</v>
      </c>
      <c r="G965" t="s">
        <v>1327</v>
      </c>
      <c r="H965" t="s">
        <v>1328</v>
      </c>
      <c r="I965" t="s">
        <v>1327</v>
      </c>
      <c r="L965" t="b">
        <v>0</v>
      </c>
      <c r="M965" t="s">
        <v>31</v>
      </c>
      <c r="N965" t="s">
        <v>32</v>
      </c>
      <c r="P965" t="s">
        <v>579</v>
      </c>
      <c r="Q965">
        <v>1</v>
      </c>
      <c r="R965">
        <v>3</v>
      </c>
      <c r="S965">
        <v>99.896829999999994</v>
      </c>
      <c r="T965">
        <v>9600000</v>
      </c>
      <c r="U965">
        <v>9600000</v>
      </c>
      <c r="V965">
        <v>1</v>
      </c>
      <c r="W965">
        <v>149500</v>
      </c>
      <c r="X965">
        <v>9590095.6799999997</v>
      </c>
      <c r="Y965">
        <v>9739595.6799999997</v>
      </c>
    </row>
    <row r="966" spans="1:25" x14ac:dyDescent="0.25">
      <c r="A966">
        <v>59</v>
      </c>
      <c r="B966" t="s">
        <v>2200</v>
      </c>
      <c r="C966" t="s">
        <v>32</v>
      </c>
      <c r="D966" t="s">
        <v>1329</v>
      </c>
      <c r="E966">
        <v>134542</v>
      </c>
      <c r="F966" t="s">
        <v>1330</v>
      </c>
      <c r="G966" t="s">
        <v>1331</v>
      </c>
      <c r="H966" t="s">
        <v>1328</v>
      </c>
      <c r="I966" t="s">
        <v>1331</v>
      </c>
      <c r="L966" t="b">
        <v>0</v>
      </c>
      <c r="M966" t="s">
        <v>31</v>
      </c>
      <c r="N966" t="s">
        <v>32</v>
      </c>
      <c r="P966" t="s">
        <v>579</v>
      </c>
      <c r="Q966">
        <v>1</v>
      </c>
      <c r="R966">
        <v>3</v>
      </c>
      <c r="S966">
        <v>104.20699999999999</v>
      </c>
      <c r="T966">
        <v>7300000</v>
      </c>
      <c r="U966">
        <v>7300000</v>
      </c>
      <c r="V966">
        <v>1</v>
      </c>
      <c r="W966">
        <v>61644.44</v>
      </c>
      <c r="X966">
        <v>7607111</v>
      </c>
      <c r="Y966">
        <v>7668755.4400000004</v>
      </c>
    </row>
    <row r="967" spans="1:25" x14ac:dyDescent="0.25">
      <c r="A967">
        <v>59</v>
      </c>
      <c r="B967" t="s">
        <v>2200</v>
      </c>
      <c r="C967" t="s">
        <v>32</v>
      </c>
      <c r="D967" t="s">
        <v>1332</v>
      </c>
      <c r="E967">
        <v>155595</v>
      </c>
      <c r="F967" t="s">
        <v>1333</v>
      </c>
      <c r="G967" t="s">
        <v>1334</v>
      </c>
      <c r="H967" t="s">
        <v>1335</v>
      </c>
      <c r="I967" t="s">
        <v>1336</v>
      </c>
      <c r="J967" t="s">
        <v>1333</v>
      </c>
      <c r="K967" t="s">
        <v>1337</v>
      </c>
      <c r="L967" t="b">
        <v>1</v>
      </c>
      <c r="M967" t="s">
        <v>112</v>
      </c>
      <c r="N967" t="s">
        <v>32</v>
      </c>
      <c r="P967" t="s">
        <v>579</v>
      </c>
      <c r="Q967">
        <v>1</v>
      </c>
      <c r="R967">
        <v>3</v>
      </c>
      <c r="S967">
        <v>104.45099999999999</v>
      </c>
      <c r="T967">
        <v>29000000</v>
      </c>
      <c r="U967">
        <v>29000000</v>
      </c>
      <c r="V967">
        <v>1</v>
      </c>
      <c r="W967">
        <v>285468.75</v>
      </c>
      <c r="X967">
        <v>30290790</v>
      </c>
      <c r="Y967">
        <v>30576258.75</v>
      </c>
    </row>
    <row r="968" spans="1:25" x14ac:dyDescent="0.25">
      <c r="A968">
        <v>59</v>
      </c>
      <c r="B968" t="s">
        <v>2200</v>
      </c>
      <c r="C968" t="s">
        <v>32</v>
      </c>
      <c r="D968" t="s">
        <v>1338</v>
      </c>
      <c r="E968">
        <v>146644</v>
      </c>
      <c r="F968" t="s">
        <v>1339</v>
      </c>
      <c r="G968" t="s">
        <v>1340</v>
      </c>
      <c r="H968" t="s">
        <v>1335</v>
      </c>
      <c r="I968" t="s">
        <v>1341</v>
      </c>
      <c r="L968" t="b">
        <v>1</v>
      </c>
      <c r="M968" t="s">
        <v>112</v>
      </c>
      <c r="N968" t="s">
        <v>32</v>
      </c>
      <c r="P968" t="s">
        <v>579</v>
      </c>
      <c r="Q968">
        <v>1</v>
      </c>
      <c r="R968">
        <v>3</v>
      </c>
      <c r="S968">
        <v>104.425</v>
      </c>
      <c r="T968">
        <v>3000000</v>
      </c>
      <c r="U968">
        <v>3000000</v>
      </c>
      <c r="V968">
        <v>1</v>
      </c>
      <c r="W968">
        <v>93412.5</v>
      </c>
      <c r="X968">
        <v>3132750</v>
      </c>
      <c r="Y968">
        <v>3226162.5</v>
      </c>
    </row>
    <row r="969" spans="1:25" x14ac:dyDescent="0.25">
      <c r="A969">
        <v>59</v>
      </c>
      <c r="B969" t="s">
        <v>2200</v>
      </c>
      <c r="C969" t="s">
        <v>32</v>
      </c>
      <c r="D969" t="s">
        <v>1342</v>
      </c>
      <c r="E969">
        <v>130578</v>
      </c>
      <c r="F969" t="s">
        <v>1343</v>
      </c>
      <c r="G969" t="s">
        <v>1344</v>
      </c>
      <c r="H969" t="s">
        <v>1345</v>
      </c>
      <c r="I969" t="s">
        <v>1346</v>
      </c>
      <c r="L969" t="b">
        <v>1</v>
      </c>
      <c r="M969" t="s">
        <v>112</v>
      </c>
      <c r="N969" t="s">
        <v>32</v>
      </c>
      <c r="P969" t="s">
        <v>579</v>
      </c>
      <c r="Q969">
        <v>1</v>
      </c>
      <c r="R969">
        <v>3</v>
      </c>
      <c r="S969">
        <v>107.97499999999999</v>
      </c>
      <c r="T969">
        <v>13891000</v>
      </c>
      <c r="U969">
        <v>13891000</v>
      </c>
      <c r="V969">
        <v>1</v>
      </c>
      <c r="W969">
        <v>298463.57</v>
      </c>
      <c r="X969">
        <v>14998807.25</v>
      </c>
      <c r="Y969">
        <v>15297270.82</v>
      </c>
    </row>
    <row r="970" spans="1:25" x14ac:dyDescent="0.25">
      <c r="A970">
        <v>59</v>
      </c>
      <c r="B970" t="s">
        <v>2200</v>
      </c>
      <c r="C970" t="s">
        <v>32</v>
      </c>
      <c r="D970" t="s">
        <v>1347</v>
      </c>
      <c r="E970">
        <v>226995</v>
      </c>
      <c r="F970" t="s">
        <v>1348</v>
      </c>
      <c r="G970" t="s">
        <v>1349</v>
      </c>
      <c r="H970" t="s">
        <v>577</v>
      </c>
      <c r="I970" t="s">
        <v>1350</v>
      </c>
      <c r="J970" t="s">
        <v>1348</v>
      </c>
      <c r="K970" t="s">
        <v>1351</v>
      </c>
      <c r="L970" t="b">
        <v>1</v>
      </c>
      <c r="M970" t="s">
        <v>112</v>
      </c>
      <c r="N970" t="s">
        <v>32</v>
      </c>
      <c r="P970" t="s">
        <v>579</v>
      </c>
      <c r="Q970">
        <v>1</v>
      </c>
      <c r="R970">
        <v>3</v>
      </c>
      <c r="S970">
        <v>98.83</v>
      </c>
      <c r="T970">
        <v>29000000</v>
      </c>
      <c r="U970">
        <v>29000000</v>
      </c>
      <c r="V970">
        <v>1</v>
      </c>
      <c r="W970">
        <v>20541.669999999998</v>
      </c>
      <c r="X970">
        <v>28660700</v>
      </c>
      <c r="Y970">
        <v>28681241.670000002</v>
      </c>
    </row>
    <row r="971" spans="1:25" x14ac:dyDescent="0.25">
      <c r="A971">
        <v>59</v>
      </c>
      <c r="B971" t="s">
        <v>2200</v>
      </c>
      <c r="C971" t="s">
        <v>32</v>
      </c>
      <c r="D971" t="s">
        <v>2216</v>
      </c>
      <c r="E971">
        <v>953</v>
      </c>
      <c r="F971" t="s">
        <v>2217</v>
      </c>
      <c r="G971" t="s">
        <v>2218</v>
      </c>
      <c r="H971" t="s">
        <v>2219</v>
      </c>
      <c r="I971" t="s">
        <v>2220</v>
      </c>
      <c r="L971" t="b">
        <v>1</v>
      </c>
      <c r="M971" t="s">
        <v>2221</v>
      </c>
      <c r="N971" t="s">
        <v>32</v>
      </c>
      <c r="P971" t="s">
        <v>579</v>
      </c>
      <c r="Q971">
        <v>1</v>
      </c>
      <c r="R971">
        <v>3</v>
      </c>
      <c r="S971">
        <v>37.735999999999997</v>
      </c>
      <c r="T971">
        <v>8900000</v>
      </c>
      <c r="U971">
        <v>8900000</v>
      </c>
      <c r="V971">
        <v>1</v>
      </c>
      <c r="W971">
        <v>0</v>
      </c>
      <c r="X971">
        <v>3358504</v>
      </c>
      <c r="Y971">
        <v>3358504</v>
      </c>
    </row>
    <row r="972" spans="1:25" x14ac:dyDescent="0.25">
      <c r="A972">
        <v>59</v>
      </c>
      <c r="B972" t="s">
        <v>2200</v>
      </c>
      <c r="C972" t="s">
        <v>32</v>
      </c>
      <c r="D972" t="s">
        <v>2222</v>
      </c>
      <c r="E972">
        <v>954</v>
      </c>
      <c r="F972" t="s">
        <v>2223</v>
      </c>
      <c r="G972" t="s">
        <v>2224</v>
      </c>
      <c r="H972" t="s">
        <v>2219</v>
      </c>
      <c r="I972" t="s">
        <v>2225</v>
      </c>
      <c r="L972" t="b">
        <v>1</v>
      </c>
      <c r="M972" t="s">
        <v>2221</v>
      </c>
      <c r="N972" t="s">
        <v>32</v>
      </c>
      <c r="P972" t="s">
        <v>579</v>
      </c>
      <c r="Q972">
        <v>1</v>
      </c>
      <c r="R972">
        <v>3</v>
      </c>
      <c r="S972">
        <v>37.9</v>
      </c>
      <c r="T972">
        <v>10100000</v>
      </c>
      <c r="U972">
        <v>10100000</v>
      </c>
      <c r="V972">
        <v>1</v>
      </c>
      <c r="W972">
        <v>0</v>
      </c>
      <c r="X972">
        <v>3827900</v>
      </c>
      <c r="Y972">
        <v>3827900</v>
      </c>
    </row>
    <row r="973" spans="1:25" x14ac:dyDescent="0.25">
      <c r="A973">
        <v>59</v>
      </c>
      <c r="B973" t="s">
        <v>2200</v>
      </c>
      <c r="C973" t="s">
        <v>32</v>
      </c>
      <c r="D973" t="s">
        <v>1358</v>
      </c>
      <c r="E973">
        <v>2382</v>
      </c>
      <c r="F973" t="s">
        <v>1357</v>
      </c>
      <c r="G973" t="s">
        <v>1359</v>
      </c>
      <c r="H973" t="s">
        <v>1355</v>
      </c>
      <c r="I973" t="s">
        <v>1356</v>
      </c>
      <c r="J973" t="s">
        <v>1353</v>
      </c>
      <c r="K973" t="s">
        <v>1353</v>
      </c>
      <c r="L973" t="b">
        <v>1</v>
      </c>
      <c r="M973" t="s">
        <v>61</v>
      </c>
      <c r="N973" t="s">
        <v>32</v>
      </c>
      <c r="P973" t="s">
        <v>579</v>
      </c>
      <c r="Q973">
        <v>1</v>
      </c>
      <c r="R973">
        <v>3</v>
      </c>
      <c r="S973">
        <v>97.495329999999996</v>
      </c>
      <c r="T973">
        <v>17156096</v>
      </c>
      <c r="U973">
        <v>25729000</v>
      </c>
      <c r="V973">
        <v>0.66679999999999995</v>
      </c>
      <c r="W973">
        <v>330433.56</v>
      </c>
      <c r="X973">
        <v>16726392.4</v>
      </c>
      <c r="Y973">
        <v>17056825.960000001</v>
      </c>
    </row>
    <row r="974" spans="1:25" x14ac:dyDescent="0.25">
      <c r="A974">
        <v>59</v>
      </c>
      <c r="B974" t="s">
        <v>2200</v>
      </c>
      <c r="C974" t="s">
        <v>32</v>
      </c>
      <c r="D974" t="s">
        <v>1360</v>
      </c>
      <c r="E974">
        <v>186586</v>
      </c>
      <c r="F974" t="s">
        <v>1361</v>
      </c>
      <c r="G974" t="s">
        <v>1362</v>
      </c>
      <c r="H974" t="s">
        <v>356</v>
      </c>
      <c r="I974" t="s">
        <v>1362</v>
      </c>
      <c r="L974" t="b">
        <v>0</v>
      </c>
      <c r="M974" t="s">
        <v>31</v>
      </c>
      <c r="N974" t="s">
        <v>32</v>
      </c>
      <c r="P974" t="s">
        <v>579</v>
      </c>
      <c r="Q974">
        <v>1</v>
      </c>
      <c r="R974">
        <v>3</v>
      </c>
      <c r="S974">
        <v>97.64</v>
      </c>
      <c r="T974">
        <v>11850000</v>
      </c>
      <c r="U974">
        <v>11850000</v>
      </c>
      <c r="V974">
        <v>1</v>
      </c>
      <c r="W974">
        <v>237864.06</v>
      </c>
      <c r="X974">
        <v>11570340</v>
      </c>
      <c r="Y974">
        <v>11808204.060000001</v>
      </c>
    </row>
    <row r="975" spans="1:25" x14ac:dyDescent="0.25">
      <c r="A975">
        <v>59</v>
      </c>
      <c r="B975" t="s">
        <v>2200</v>
      </c>
      <c r="C975" t="s">
        <v>32</v>
      </c>
      <c r="D975" t="s">
        <v>2226</v>
      </c>
      <c r="E975">
        <v>2924</v>
      </c>
      <c r="F975" t="s">
        <v>2227</v>
      </c>
      <c r="G975" t="s">
        <v>2228</v>
      </c>
      <c r="H975" t="s">
        <v>356</v>
      </c>
      <c r="I975" t="s">
        <v>2228</v>
      </c>
      <c r="L975" t="b">
        <v>0</v>
      </c>
      <c r="M975" t="s">
        <v>31</v>
      </c>
      <c r="N975" t="s">
        <v>32</v>
      </c>
      <c r="P975" t="s">
        <v>579</v>
      </c>
      <c r="Q975">
        <v>1</v>
      </c>
      <c r="R975">
        <v>3</v>
      </c>
      <c r="S975">
        <v>99.770669999999996</v>
      </c>
      <c r="T975">
        <v>2142000</v>
      </c>
      <c r="U975">
        <v>2142000</v>
      </c>
      <c r="V975">
        <v>1</v>
      </c>
      <c r="W975">
        <v>9329.6</v>
      </c>
      <c r="X975">
        <v>2137087.7599999998</v>
      </c>
      <c r="Y975">
        <v>2146417.36</v>
      </c>
    </row>
    <row r="976" spans="1:25" x14ac:dyDescent="0.25">
      <c r="A976">
        <v>59</v>
      </c>
      <c r="B976" t="s">
        <v>2200</v>
      </c>
      <c r="C976" t="s">
        <v>32</v>
      </c>
      <c r="D976" t="s">
        <v>1363</v>
      </c>
      <c r="E976">
        <v>146334</v>
      </c>
      <c r="F976" t="s">
        <v>1364</v>
      </c>
      <c r="G976" t="s">
        <v>1365</v>
      </c>
      <c r="H976" t="s">
        <v>356</v>
      </c>
      <c r="I976" t="s">
        <v>1365</v>
      </c>
      <c r="L976" t="b">
        <v>0</v>
      </c>
      <c r="M976" t="s">
        <v>31</v>
      </c>
      <c r="N976" t="s">
        <v>32</v>
      </c>
      <c r="P976" t="s">
        <v>579</v>
      </c>
      <c r="Q976">
        <v>1</v>
      </c>
      <c r="R976">
        <v>3</v>
      </c>
      <c r="S976">
        <v>98.462500000000006</v>
      </c>
      <c r="T976">
        <v>7950000</v>
      </c>
      <c r="U976">
        <v>7950000</v>
      </c>
      <c r="V976">
        <v>1</v>
      </c>
      <c r="W976">
        <v>23850</v>
      </c>
      <c r="X976">
        <v>7827768.75</v>
      </c>
      <c r="Y976">
        <v>7851618.75</v>
      </c>
    </row>
    <row r="977" spans="1:25" x14ac:dyDescent="0.25">
      <c r="A977">
        <v>59</v>
      </c>
      <c r="B977" t="s">
        <v>2200</v>
      </c>
      <c r="C977" t="s">
        <v>32</v>
      </c>
      <c r="D977" t="s">
        <v>1366</v>
      </c>
      <c r="E977">
        <v>972</v>
      </c>
      <c r="F977" t="s">
        <v>1367</v>
      </c>
      <c r="G977" t="s">
        <v>1368</v>
      </c>
      <c r="H977" t="s">
        <v>356</v>
      </c>
      <c r="I977" t="s">
        <v>1368</v>
      </c>
      <c r="L977" t="b">
        <v>0</v>
      </c>
      <c r="M977" t="s">
        <v>31</v>
      </c>
      <c r="N977" t="s">
        <v>32</v>
      </c>
      <c r="P977" t="s">
        <v>579</v>
      </c>
      <c r="Q977">
        <v>1</v>
      </c>
      <c r="R977">
        <v>3</v>
      </c>
      <c r="S977">
        <v>100.64700000000001</v>
      </c>
      <c r="T977">
        <v>6225000</v>
      </c>
      <c r="U977">
        <v>6225000</v>
      </c>
      <c r="V977">
        <v>1</v>
      </c>
      <c r="W977">
        <v>13076.83</v>
      </c>
      <c r="X977">
        <v>6265275.7500000009</v>
      </c>
      <c r="Y977">
        <v>6278352.580000001</v>
      </c>
    </row>
    <row r="978" spans="1:25" x14ac:dyDescent="0.25">
      <c r="A978">
        <v>59</v>
      </c>
      <c r="B978" t="s">
        <v>2200</v>
      </c>
      <c r="C978" t="s">
        <v>32</v>
      </c>
      <c r="D978" t="s">
        <v>1369</v>
      </c>
      <c r="E978">
        <v>2371</v>
      </c>
      <c r="F978" t="s">
        <v>1370</v>
      </c>
      <c r="G978" t="s">
        <v>1371</v>
      </c>
      <c r="H978" t="s">
        <v>356</v>
      </c>
      <c r="I978" t="s">
        <v>1371</v>
      </c>
      <c r="L978" t="b">
        <v>0</v>
      </c>
      <c r="M978" t="s">
        <v>31</v>
      </c>
      <c r="N978" t="s">
        <v>32</v>
      </c>
      <c r="P978" t="s">
        <v>579</v>
      </c>
      <c r="Q978">
        <v>1</v>
      </c>
      <c r="R978">
        <v>3</v>
      </c>
      <c r="S978">
        <v>98.167490000000001</v>
      </c>
      <c r="T978">
        <v>2500000</v>
      </c>
      <c r="U978">
        <v>2500000</v>
      </c>
      <c r="V978">
        <v>1</v>
      </c>
      <c r="W978">
        <v>1875</v>
      </c>
      <c r="X978">
        <v>2454187.25</v>
      </c>
      <c r="Y978">
        <v>2456062.25</v>
      </c>
    </row>
    <row r="979" spans="1:25" x14ac:dyDescent="0.25">
      <c r="A979">
        <v>59</v>
      </c>
      <c r="B979" t="s">
        <v>2200</v>
      </c>
      <c r="C979" t="s">
        <v>32</v>
      </c>
      <c r="D979" t="s">
        <v>1372</v>
      </c>
      <c r="E979">
        <v>2925</v>
      </c>
      <c r="F979" t="s">
        <v>1373</v>
      </c>
      <c r="G979" t="s">
        <v>1374</v>
      </c>
      <c r="H979" t="s">
        <v>356</v>
      </c>
      <c r="I979" t="s">
        <v>1374</v>
      </c>
      <c r="L979" t="b">
        <v>0</v>
      </c>
      <c r="M979" t="s">
        <v>31</v>
      </c>
      <c r="N979" t="s">
        <v>32</v>
      </c>
      <c r="P979" t="s">
        <v>579</v>
      </c>
      <c r="Q979">
        <v>1</v>
      </c>
      <c r="R979">
        <v>3</v>
      </c>
      <c r="S979">
        <v>94.796000000000006</v>
      </c>
      <c r="T979">
        <v>5350000</v>
      </c>
      <c r="U979">
        <v>5350000</v>
      </c>
      <c r="V979">
        <v>1</v>
      </c>
      <c r="W979">
        <v>58181.259999999987</v>
      </c>
      <c r="X979">
        <v>5071585.9999999991</v>
      </c>
      <c r="Y979">
        <v>5129767.2599999988</v>
      </c>
    </row>
    <row r="980" spans="1:25" x14ac:dyDescent="0.25">
      <c r="A980">
        <v>59</v>
      </c>
      <c r="B980" t="s">
        <v>2200</v>
      </c>
      <c r="C980" t="s">
        <v>32</v>
      </c>
      <c r="D980" t="s">
        <v>1375</v>
      </c>
      <c r="E980">
        <v>971</v>
      </c>
      <c r="F980" t="s">
        <v>1376</v>
      </c>
      <c r="G980" t="s">
        <v>1377</v>
      </c>
      <c r="H980" t="s">
        <v>356</v>
      </c>
      <c r="I980" t="s">
        <v>1377</v>
      </c>
      <c r="L980" t="b">
        <v>0</v>
      </c>
      <c r="M980" t="s">
        <v>31</v>
      </c>
      <c r="N980" t="s">
        <v>32</v>
      </c>
      <c r="P980" t="s">
        <v>579</v>
      </c>
      <c r="Q980">
        <v>1</v>
      </c>
      <c r="R980">
        <v>3</v>
      </c>
      <c r="S980">
        <v>90.416120000000006</v>
      </c>
      <c r="T980">
        <v>14441000</v>
      </c>
      <c r="U980">
        <v>14441000</v>
      </c>
      <c r="V980">
        <v>1</v>
      </c>
      <c r="W980">
        <v>153876.88</v>
      </c>
      <c r="X980">
        <v>13056991.9</v>
      </c>
      <c r="Y980">
        <v>13210868.779999999</v>
      </c>
    </row>
    <row r="981" spans="1:25" x14ac:dyDescent="0.25">
      <c r="A981">
        <v>59</v>
      </c>
      <c r="B981" t="s">
        <v>2200</v>
      </c>
      <c r="C981" t="s">
        <v>32</v>
      </c>
      <c r="D981" t="s">
        <v>1378</v>
      </c>
      <c r="E981">
        <v>973</v>
      </c>
      <c r="F981" t="s">
        <v>1379</v>
      </c>
      <c r="G981" t="s">
        <v>1380</v>
      </c>
      <c r="H981" t="s">
        <v>356</v>
      </c>
      <c r="I981" t="s">
        <v>1380</v>
      </c>
      <c r="L981" t="b">
        <v>0</v>
      </c>
      <c r="M981" t="s">
        <v>31</v>
      </c>
      <c r="N981" t="s">
        <v>32</v>
      </c>
      <c r="P981" t="s">
        <v>579</v>
      </c>
      <c r="Q981">
        <v>1</v>
      </c>
      <c r="R981">
        <v>3</v>
      </c>
      <c r="S981">
        <v>95.81</v>
      </c>
      <c r="T981">
        <v>14506000</v>
      </c>
      <c r="U981">
        <v>14506000</v>
      </c>
      <c r="V981">
        <v>1</v>
      </c>
      <c r="W981">
        <v>367001.8</v>
      </c>
      <c r="X981">
        <v>13898198.6</v>
      </c>
      <c r="Y981">
        <v>14265200.4</v>
      </c>
    </row>
    <row r="982" spans="1:25" x14ac:dyDescent="0.25">
      <c r="A982">
        <v>59</v>
      </c>
      <c r="B982" t="s">
        <v>2200</v>
      </c>
      <c r="C982" t="s">
        <v>32</v>
      </c>
      <c r="D982" t="s">
        <v>1381</v>
      </c>
      <c r="E982">
        <v>974</v>
      </c>
      <c r="F982" t="s">
        <v>1382</v>
      </c>
      <c r="G982" t="s">
        <v>1383</v>
      </c>
      <c r="H982" t="s">
        <v>356</v>
      </c>
      <c r="I982" t="s">
        <v>1383</v>
      </c>
      <c r="L982" t="b">
        <v>0</v>
      </c>
      <c r="M982" t="s">
        <v>31</v>
      </c>
      <c r="N982" t="s">
        <v>32</v>
      </c>
      <c r="P982" t="s">
        <v>579</v>
      </c>
      <c r="Q982">
        <v>1</v>
      </c>
      <c r="R982">
        <v>3</v>
      </c>
      <c r="S982">
        <v>100.76300000000001</v>
      </c>
      <c r="T982">
        <v>9227000</v>
      </c>
      <c r="U982">
        <v>9227000</v>
      </c>
      <c r="V982">
        <v>1</v>
      </c>
      <c r="W982">
        <v>249000.86</v>
      </c>
      <c r="X982">
        <v>9297402.0100000016</v>
      </c>
      <c r="Y982">
        <v>9546402.870000001</v>
      </c>
    </row>
    <row r="983" spans="1:25" x14ac:dyDescent="0.25">
      <c r="A983">
        <v>59</v>
      </c>
      <c r="B983" t="s">
        <v>2200</v>
      </c>
      <c r="C983" t="s">
        <v>32</v>
      </c>
      <c r="D983" t="s">
        <v>580</v>
      </c>
      <c r="E983">
        <v>222557</v>
      </c>
      <c r="F983" t="s">
        <v>581</v>
      </c>
      <c r="G983" t="s">
        <v>582</v>
      </c>
      <c r="H983" t="s">
        <v>583</v>
      </c>
      <c r="I983" t="s">
        <v>584</v>
      </c>
      <c r="J983" t="s">
        <v>581</v>
      </c>
      <c r="K983" t="s">
        <v>585</v>
      </c>
      <c r="L983" t="b">
        <v>1</v>
      </c>
      <c r="M983" t="s">
        <v>81</v>
      </c>
      <c r="N983" t="s">
        <v>32</v>
      </c>
      <c r="P983" t="s">
        <v>579</v>
      </c>
      <c r="Q983">
        <v>1</v>
      </c>
      <c r="R983">
        <v>3</v>
      </c>
      <c r="S983">
        <v>102.07</v>
      </c>
      <c r="T983">
        <v>16400000</v>
      </c>
      <c r="U983">
        <v>16400000</v>
      </c>
      <c r="V983">
        <v>1</v>
      </c>
      <c r="W983">
        <v>130630.56</v>
      </c>
      <c r="X983">
        <v>16739480</v>
      </c>
      <c r="Y983">
        <v>16870110.559999999</v>
      </c>
    </row>
    <row r="984" spans="1:25" x14ac:dyDescent="0.25">
      <c r="A984">
        <v>59</v>
      </c>
      <c r="B984" t="s">
        <v>2200</v>
      </c>
      <c r="C984" t="s">
        <v>32</v>
      </c>
      <c r="D984" t="s">
        <v>586</v>
      </c>
      <c r="E984">
        <v>1944</v>
      </c>
      <c r="F984" t="s">
        <v>587</v>
      </c>
      <c r="G984" t="s">
        <v>588</v>
      </c>
      <c r="H984" t="s">
        <v>589</v>
      </c>
      <c r="I984" t="s">
        <v>590</v>
      </c>
      <c r="L984" t="b">
        <v>1</v>
      </c>
      <c r="M984" t="s">
        <v>31</v>
      </c>
      <c r="N984" t="s">
        <v>32</v>
      </c>
      <c r="P984" t="s">
        <v>579</v>
      </c>
      <c r="Q984">
        <v>1</v>
      </c>
      <c r="R984">
        <v>3</v>
      </c>
      <c r="S984">
        <v>101.55856799999999</v>
      </c>
      <c r="T984">
        <v>5943813</v>
      </c>
      <c r="U984">
        <v>9600000</v>
      </c>
      <c r="V984">
        <v>0.61909999999999998</v>
      </c>
      <c r="W984">
        <v>38387.129999999997</v>
      </c>
      <c r="X984">
        <v>6036451.3700000001</v>
      </c>
      <c r="Y984">
        <v>6074838.5</v>
      </c>
    </row>
    <row r="985" spans="1:25" x14ac:dyDescent="0.25">
      <c r="A985">
        <v>59</v>
      </c>
      <c r="B985" t="s">
        <v>2200</v>
      </c>
      <c r="C985" t="s">
        <v>32</v>
      </c>
      <c r="D985" t="s">
        <v>68</v>
      </c>
      <c r="E985">
        <v>194433</v>
      </c>
      <c r="F985" t="s">
        <v>69</v>
      </c>
      <c r="G985" t="s">
        <v>70</v>
      </c>
      <c r="H985" t="s">
        <v>71</v>
      </c>
      <c r="I985" t="s">
        <v>72</v>
      </c>
      <c r="J985" t="s">
        <v>69</v>
      </c>
      <c r="K985" t="s">
        <v>73</v>
      </c>
      <c r="L985" t="b">
        <v>1</v>
      </c>
      <c r="M985" t="s">
        <v>74</v>
      </c>
      <c r="N985" t="s">
        <v>32</v>
      </c>
      <c r="P985" t="s">
        <v>579</v>
      </c>
      <c r="Q985">
        <v>1</v>
      </c>
      <c r="R985">
        <v>3</v>
      </c>
      <c r="S985">
        <v>109.23654500000001</v>
      </c>
      <c r="T985">
        <v>9250000</v>
      </c>
      <c r="U985">
        <v>9250000</v>
      </c>
      <c r="V985">
        <v>1</v>
      </c>
      <c r="W985">
        <v>106375</v>
      </c>
      <c r="X985">
        <v>10104380.41</v>
      </c>
      <c r="Y985">
        <v>10210755.41</v>
      </c>
    </row>
    <row r="986" spans="1:25" x14ac:dyDescent="0.25">
      <c r="A986">
        <v>59</v>
      </c>
      <c r="B986" t="s">
        <v>2200</v>
      </c>
      <c r="C986" t="s">
        <v>32</v>
      </c>
      <c r="D986" t="s">
        <v>1384</v>
      </c>
      <c r="E986">
        <v>30387</v>
      </c>
      <c r="F986" t="s">
        <v>1385</v>
      </c>
      <c r="G986" t="s">
        <v>1386</v>
      </c>
      <c r="H986" t="s">
        <v>1297</v>
      </c>
      <c r="I986" t="s">
        <v>1387</v>
      </c>
      <c r="L986" t="b">
        <v>1</v>
      </c>
      <c r="M986" t="s">
        <v>31</v>
      </c>
      <c r="N986" t="s">
        <v>32</v>
      </c>
      <c r="P986" t="s">
        <v>579</v>
      </c>
      <c r="Q986">
        <v>1</v>
      </c>
      <c r="R986">
        <v>3</v>
      </c>
      <c r="S986">
        <v>53</v>
      </c>
      <c r="T986">
        <v>500000</v>
      </c>
      <c r="U986">
        <v>500000</v>
      </c>
      <c r="V986">
        <v>1</v>
      </c>
      <c r="W986">
        <v>809.72</v>
      </c>
      <c r="X986">
        <v>265000</v>
      </c>
      <c r="Y986">
        <v>265809.71999999997</v>
      </c>
    </row>
    <row r="987" spans="1:25" x14ac:dyDescent="0.25">
      <c r="A987">
        <v>59</v>
      </c>
      <c r="B987" t="s">
        <v>2200</v>
      </c>
      <c r="C987" t="s">
        <v>32</v>
      </c>
      <c r="D987" t="s">
        <v>1388</v>
      </c>
      <c r="E987">
        <v>147225</v>
      </c>
      <c r="F987" t="s">
        <v>1389</v>
      </c>
      <c r="G987" t="s">
        <v>1390</v>
      </c>
      <c r="H987" t="s">
        <v>1297</v>
      </c>
      <c r="I987" t="s">
        <v>1391</v>
      </c>
      <c r="L987" t="b">
        <v>1</v>
      </c>
      <c r="M987" t="s">
        <v>31</v>
      </c>
      <c r="N987" t="s">
        <v>32</v>
      </c>
      <c r="P987" t="s">
        <v>579</v>
      </c>
      <c r="Q987">
        <v>1</v>
      </c>
      <c r="R987">
        <v>3</v>
      </c>
      <c r="S987">
        <v>53.164000000000001</v>
      </c>
      <c r="T987">
        <v>8700000</v>
      </c>
      <c r="U987">
        <v>8700000</v>
      </c>
      <c r="V987">
        <v>1</v>
      </c>
      <c r="W987">
        <v>0</v>
      </c>
      <c r="X987">
        <v>4625268</v>
      </c>
      <c r="Y987">
        <v>4625268</v>
      </c>
    </row>
    <row r="988" spans="1:25" x14ac:dyDescent="0.25">
      <c r="A988">
        <v>59</v>
      </c>
      <c r="B988" t="s">
        <v>2200</v>
      </c>
      <c r="C988" t="s">
        <v>32</v>
      </c>
      <c r="D988" t="s">
        <v>1392</v>
      </c>
      <c r="E988">
        <v>179346</v>
      </c>
      <c r="F988" t="s">
        <v>1393</v>
      </c>
      <c r="G988" t="s">
        <v>1394</v>
      </c>
      <c r="H988" t="s">
        <v>1297</v>
      </c>
      <c r="I988" t="s">
        <v>1395</v>
      </c>
      <c r="L988" t="b">
        <v>1</v>
      </c>
      <c r="M988" t="s">
        <v>31</v>
      </c>
      <c r="N988" t="s">
        <v>32</v>
      </c>
      <c r="P988" t="s">
        <v>579</v>
      </c>
      <c r="Q988">
        <v>1</v>
      </c>
      <c r="R988">
        <v>3</v>
      </c>
      <c r="S988">
        <v>53.234999999999999</v>
      </c>
      <c r="T988">
        <v>5200000</v>
      </c>
      <c r="U988">
        <v>5200000</v>
      </c>
      <c r="V988">
        <v>1</v>
      </c>
      <c r="W988">
        <v>0</v>
      </c>
      <c r="X988">
        <v>2768220</v>
      </c>
      <c r="Y988">
        <v>2768220</v>
      </c>
    </row>
    <row r="989" spans="1:25" x14ac:dyDescent="0.25">
      <c r="A989">
        <v>59</v>
      </c>
      <c r="B989" t="s">
        <v>2200</v>
      </c>
      <c r="C989" t="s">
        <v>32</v>
      </c>
      <c r="D989" t="s">
        <v>1396</v>
      </c>
      <c r="E989">
        <v>123482</v>
      </c>
      <c r="F989" t="s">
        <v>1397</v>
      </c>
      <c r="G989" t="s">
        <v>1398</v>
      </c>
      <c r="H989" t="s">
        <v>1297</v>
      </c>
      <c r="I989" t="s">
        <v>1399</v>
      </c>
      <c r="L989" t="b">
        <v>1</v>
      </c>
      <c r="M989" t="s">
        <v>31</v>
      </c>
      <c r="N989" t="s">
        <v>32</v>
      </c>
      <c r="P989" t="s">
        <v>579</v>
      </c>
      <c r="Q989">
        <v>1</v>
      </c>
      <c r="R989">
        <v>3</v>
      </c>
      <c r="S989">
        <v>53.4375</v>
      </c>
      <c r="T989">
        <v>750000</v>
      </c>
      <c r="U989">
        <v>750000</v>
      </c>
      <c r="V989">
        <v>1</v>
      </c>
      <c r="W989">
        <v>0</v>
      </c>
      <c r="X989">
        <v>400781.25</v>
      </c>
      <c r="Y989">
        <v>400781.25</v>
      </c>
    </row>
    <row r="990" spans="1:25" x14ac:dyDescent="0.25">
      <c r="A990">
        <v>59</v>
      </c>
      <c r="B990" t="s">
        <v>2200</v>
      </c>
      <c r="C990" t="s">
        <v>32</v>
      </c>
      <c r="D990" t="s">
        <v>1400</v>
      </c>
      <c r="E990">
        <v>205495</v>
      </c>
      <c r="F990" t="s">
        <v>1401</v>
      </c>
      <c r="G990" t="s">
        <v>1402</v>
      </c>
      <c r="H990" t="s">
        <v>1297</v>
      </c>
      <c r="I990" t="s">
        <v>1403</v>
      </c>
      <c r="J990" t="s">
        <v>1401</v>
      </c>
      <c r="K990" t="s">
        <v>1404</v>
      </c>
      <c r="L990" t="b">
        <v>1</v>
      </c>
      <c r="M990" t="s">
        <v>31</v>
      </c>
      <c r="N990" t="s">
        <v>32</v>
      </c>
      <c r="P990" t="s">
        <v>579</v>
      </c>
      <c r="Q990">
        <v>1</v>
      </c>
      <c r="R990">
        <v>3</v>
      </c>
      <c r="S990">
        <v>52.860985999999997</v>
      </c>
      <c r="T990">
        <v>3950000</v>
      </c>
      <c r="U990">
        <v>3950000</v>
      </c>
      <c r="V990">
        <v>1</v>
      </c>
      <c r="W990">
        <v>0</v>
      </c>
      <c r="X990">
        <v>2088008.95</v>
      </c>
      <c r="Y990">
        <v>2088008.95</v>
      </c>
    </row>
    <row r="991" spans="1:25" x14ac:dyDescent="0.25">
      <c r="A991">
        <v>59</v>
      </c>
      <c r="B991" t="s">
        <v>2200</v>
      </c>
      <c r="C991" t="s">
        <v>32</v>
      </c>
      <c r="D991" t="s">
        <v>2229</v>
      </c>
      <c r="E991">
        <v>162841</v>
      </c>
      <c r="F991" t="s">
        <v>1404</v>
      </c>
      <c r="G991" t="s">
        <v>2230</v>
      </c>
      <c r="H991" t="s">
        <v>1297</v>
      </c>
      <c r="I991" t="s">
        <v>1403</v>
      </c>
      <c r="J991" t="s">
        <v>1401</v>
      </c>
      <c r="K991" t="s">
        <v>1401</v>
      </c>
      <c r="L991" t="b">
        <v>1</v>
      </c>
      <c r="M991" t="s">
        <v>31</v>
      </c>
      <c r="N991" t="s">
        <v>32</v>
      </c>
      <c r="P991" t="s">
        <v>579</v>
      </c>
      <c r="Q991">
        <v>1</v>
      </c>
      <c r="R991">
        <v>3</v>
      </c>
      <c r="S991">
        <v>52.860985999999997</v>
      </c>
      <c r="T991">
        <v>2500000</v>
      </c>
      <c r="U991">
        <v>2500000</v>
      </c>
      <c r="V991">
        <v>1</v>
      </c>
      <c r="W991">
        <v>0</v>
      </c>
      <c r="X991">
        <v>1321524.6499999999</v>
      </c>
      <c r="Y991">
        <v>1321524.6499999999</v>
      </c>
    </row>
    <row r="992" spans="1:25" x14ac:dyDescent="0.25">
      <c r="A992">
        <v>59</v>
      </c>
      <c r="B992" t="s">
        <v>2200</v>
      </c>
      <c r="C992" t="s">
        <v>32</v>
      </c>
      <c r="D992" t="s">
        <v>1464</v>
      </c>
      <c r="E992">
        <v>123483</v>
      </c>
      <c r="F992" t="s">
        <v>1465</v>
      </c>
      <c r="G992" t="s">
        <v>1466</v>
      </c>
      <c r="H992" t="s">
        <v>1297</v>
      </c>
      <c r="I992" t="s">
        <v>1467</v>
      </c>
      <c r="L992" t="b">
        <v>1</v>
      </c>
      <c r="M992" t="s">
        <v>31</v>
      </c>
      <c r="N992" t="s">
        <v>32</v>
      </c>
      <c r="P992" t="s">
        <v>579</v>
      </c>
      <c r="Q992">
        <v>1</v>
      </c>
      <c r="R992">
        <v>3</v>
      </c>
      <c r="S992">
        <v>53.287999999999997</v>
      </c>
      <c r="T992">
        <v>57564000</v>
      </c>
      <c r="U992">
        <v>57564000</v>
      </c>
      <c r="V992">
        <v>1</v>
      </c>
      <c r="W992">
        <v>0</v>
      </c>
      <c r="X992">
        <v>30674704.32</v>
      </c>
      <c r="Y992">
        <v>30674704.32</v>
      </c>
    </row>
    <row r="993" spans="1:25" x14ac:dyDescent="0.25">
      <c r="A993">
        <v>59</v>
      </c>
      <c r="B993" t="s">
        <v>2200</v>
      </c>
      <c r="C993" t="s">
        <v>32</v>
      </c>
      <c r="D993" t="s">
        <v>1468</v>
      </c>
      <c r="E993">
        <v>1653</v>
      </c>
      <c r="F993" t="s">
        <v>1469</v>
      </c>
      <c r="G993" t="s">
        <v>1470</v>
      </c>
      <c r="H993" t="s">
        <v>1471</v>
      </c>
      <c r="I993" t="s">
        <v>1472</v>
      </c>
      <c r="L993" t="b">
        <v>1</v>
      </c>
      <c r="M993" t="s">
        <v>31</v>
      </c>
      <c r="N993" t="s">
        <v>32</v>
      </c>
      <c r="P993" t="s">
        <v>579</v>
      </c>
      <c r="Q993">
        <v>1</v>
      </c>
      <c r="R993">
        <v>3</v>
      </c>
      <c r="S993">
        <v>98.802679999999995</v>
      </c>
      <c r="T993">
        <v>1420000</v>
      </c>
      <c r="U993">
        <v>1420000</v>
      </c>
      <c r="V993">
        <v>1</v>
      </c>
      <c r="W993">
        <v>2733.5</v>
      </c>
      <c r="X993">
        <v>1402998.06</v>
      </c>
      <c r="Y993">
        <v>1405731.56</v>
      </c>
    </row>
    <row r="994" spans="1:25" x14ac:dyDescent="0.25">
      <c r="A994">
        <v>59</v>
      </c>
      <c r="B994" t="s">
        <v>2200</v>
      </c>
      <c r="C994" t="s">
        <v>32</v>
      </c>
      <c r="D994" t="s">
        <v>1473</v>
      </c>
      <c r="E994">
        <v>1062</v>
      </c>
      <c r="F994" t="s">
        <v>1474</v>
      </c>
      <c r="G994" t="s">
        <v>1475</v>
      </c>
      <c r="H994" t="s">
        <v>1476</v>
      </c>
      <c r="I994" t="s">
        <v>1477</v>
      </c>
      <c r="L994" t="b">
        <v>1</v>
      </c>
      <c r="M994" t="s">
        <v>31</v>
      </c>
      <c r="N994" t="s">
        <v>32</v>
      </c>
      <c r="P994" t="s">
        <v>579</v>
      </c>
      <c r="Q994">
        <v>1</v>
      </c>
      <c r="R994">
        <v>3</v>
      </c>
      <c r="S994">
        <v>102.375</v>
      </c>
      <c r="T994">
        <v>607950</v>
      </c>
      <c r="U994">
        <v>1750000</v>
      </c>
      <c r="V994">
        <v>0.34739999999999999</v>
      </c>
      <c r="W994">
        <v>3461.94</v>
      </c>
      <c r="X994">
        <v>622388.82000000007</v>
      </c>
      <c r="Y994">
        <v>625850.76</v>
      </c>
    </row>
    <row r="995" spans="1:25" x14ac:dyDescent="0.25">
      <c r="A995">
        <v>59</v>
      </c>
      <c r="B995" t="s">
        <v>2200</v>
      </c>
      <c r="C995" t="s">
        <v>32</v>
      </c>
      <c r="D995" t="s">
        <v>591</v>
      </c>
      <c r="E995">
        <v>114867</v>
      </c>
      <c r="F995" t="s">
        <v>592</v>
      </c>
      <c r="G995" t="s">
        <v>593</v>
      </c>
      <c r="H995" t="s">
        <v>594</v>
      </c>
      <c r="I995" t="s">
        <v>595</v>
      </c>
      <c r="J995" t="s">
        <v>592</v>
      </c>
      <c r="K995" t="s">
        <v>596</v>
      </c>
      <c r="L995" t="b">
        <v>1</v>
      </c>
      <c r="M995" t="s">
        <v>31</v>
      </c>
      <c r="N995" t="s">
        <v>32</v>
      </c>
      <c r="P995" t="s">
        <v>579</v>
      </c>
      <c r="Q995">
        <v>1</v>
      </c>
      <c r="R995">
        <v>3</v>
      </c>
      <c r="S995">
        <v>100.820808</v>
      </c>
      <c r="T995">
        <v>186878331</v>
      </c>
      <c r="U995">
        <v>186878331</v>
      </c>
      <c r="V995">
        <v>1</v>
      </c>
      <c r="W995">
        <v>1448307.07</v>
      </c>
      <c r="X995">
        <v>188412243.27999991</v>
      </c>
      <c r="Y995">
        <v>189860550.3499999</v>
      </c>
    </row>
    <row r="996" spans="1:25" x14ac:dyDescent="0.25">
      <c r="A996">
        <v>59</v>
      </c>
      <c r="B996" t="s">
        <v>2200</v>
      </c>
      <c r="C996" t="s">
        <v>32</v>
      </c>
      <c r="D996" t="s">
        <v>1480</v>
      </c>
      <c r="E996">
        <v>203890</v>
      </c>
      <c r="F996" t="s">
        <v>1481</v>
      </c>
      <c r="G996" t="s">
        <v>1482</v>
      </c>
      <c r="H996" t="s">
        <v>1483</v>
      </c>
      <c r="I996" t="s">
        <v>1484</v>
      </c>
      <c r="J996" t="s">
        <v>1481</v>
      </c>
      <c r="K996" t="s">
        <v>1485</v>
      </c>
      <c r="L996" t="b">
        <v>1</v>
      </c>
      <c r="M996" t="s">
        <v>31</v>
      </c>
      <c r="N996" t="s">
        <v>32</v>
      </c>
      <c r="P996" t="s">
        <v>579</v>
      </c>
      <c r="Q996">
        <v>1</v>
      </c>
      <c r="R996">
        <v>3</v>
      </c>
      <c r="S996">
        <v>95.301050000000004</v>
      </c>
      <c r="T996">
        <v>8100000</v>
      </c>
      <c r="U996">
        <v>8100000</v>
      </c>
      <c r="V996">
        <v>1</v>
      </c>
      <c r="W996">
        <v>230287.5</v>
      </c>
      <c r="X996">
        <v>7719385.0499999998</v>
      </c>
      <c r="Y996">
        <v>7949672.5499999998</v>
      </c>
    </row>
    <row r="997" spans="1:25" x14ac:dyDescent="0.25">
      <c r="A997">
        <v>59</v>
      </c>
      <c r="B997" t="s">
        <v>2200</v>
      </c>
      <c r="C997" t="s">
        <v>32</v>
      </c>
      <c r="D997" t="s">
        <v>1486</v>
      </c>
      <c r="E997">
        <v>203892</v>
      </c>
      <c r="F997" t="s">
        <v>1487</v>
      </c>
      <c r="G997" t="s">
        <v>1488</v>
      </c>
      <c r="H997" t="s">
        <v>1483</v>
      </c>
      <c r="I997" t="s">
        <v>1489</v>
      </c>
      <c r="J997" t="s">
        <v>1487</v>
      </c>
      <c r="K997" t="s">
        <v>1490</v>
      </c>
      <c r="L997" t="b">
        <v>1</v>
      </c>
      <c r="M997" t="s">
        <v>31</v>
      </c>
      <c r="N997" t="s">
        <v>32</v>
      </c>
      <c r="P997" t="s">
        <v>579</v>
      </c>
      <c r="Q997">
        <v>1</v>
      </c>
      <c r="R997">
        <v>3</v>
      </c>
      <c r="S997">
        <v>91.677104</v>
      </c>
      <c r="T997">
        <v>6500000</v>
      </c>
      <c r="U997">
        <v>6500000</v>
      </c>
      <c r="V997">
        <v>1</v>
      </c>
      <c r="W997">
        <v>208902.78</v>
      </c>
      <c r="X997">
        <v>5959011.7599999998</v>
      </c>
      <c r="Y997">
        <v>6167914.54</v>
      </c>
    </row>
    <row r="998" spans="1:25" x14ac:dyDescent="0.25">
      <c r="A998">
        <v>59</v>
      </c>
      <c r="B998" t="s">
        <v>2200</v>
      </c>
      <c r="C998" t="s">
        <v>32</v>
      </c>
      <c r="D998" t="s">
        <v>1491</v>
      </c>
      <c r="E998">
        <v>203105</v>
      </c>
      <c r="F998" t="s">
        <v>1492</v>
      </c>
      <c r="G998" t="s">
        <v>1493</v>
      </c>
      <c r="H998" t="s">
        <v>1494</v>
      </c>
      <c r="I998" t="s">
        <v>1495</v>
      </c>
      <c r="L998" t="b">
        <v>1</v>
      </c>
      <c r="M998" t="s">
        <v>112</v>
      </c>
      <c r="N998" t="s">
        <v>32</v>
      </c>
      <c r="P998" t="s">
        <v>579</v>
      </c>
      <c r="Q998">
        <v>1</v>
      </c>
      <c r="R998">
        <v>3</v>
      </c>
      <c r="S998">
        <v>64.05</v>
      </c>
      <c r="T998">
        <v>6885014</v>
      </c>
      <c r="U998">
        <v>6885014</v>
      </c>
      <c r="V998">
        <v>1</v>
      </c>
      <c r="W998">
        <v>70380.14</v>
      </c>
      <c r="X998">
        <v>4409851.47</v>
      </c>
      <c r="Y998">
        <v>4480231.6099999994</v>
      </c>
    </row>
    <row r="999" spans="1:25" x14ac:dyDescent="0.25">
      <c r="A999">
        <v>59</v>
      </c>
      <c r="B999" t="s">
        <v>2200</v>
      </c>
      <c r="C999" t="s">
        <v>32</v>
      </c>
      <c r="D999" t="s">
        <v>1496</v>
      </c>
      <c r="E999">
        <v>119726</v>
      </c>
      <c r="F999" t="s">
        <v>1497</v>
      </c>
      <c r="G999" t="s">
        <v>1498</v>
      </c>
      <c r="H999" t="s">
        <v>1499</v>
      </c>
      <c r="I999" t="s">
        <v>1498</v>
      </c>
      <c r="L999" t="b">
        <v>0</v>
      </c>
      <c r="M999" t="s">
        <v>31</v>
      </c>
      <c r="N999" t="s">
        <v>32</v>
      </c>
      <c r="P999" t="s">
        <v>579</v>
      </c>
      <c r="Q999">
        <v>1</v>
      </c>
      <c r="R999">
        <v>3</v>
      </c>
      <c r="S999">
        <v>2.944</v>
      </c>
      <c r="T999">
        <v>6441952</v>
      </c>
      <c r="U999">
        <v>6441952</v>
      </c>
      <c r="V999">
        <v>1</v>
      </c>
      <c r="W999">
        <v>0</v>
      </c>
      <c r="X999">
        <v>189651.0700000003</v>
      </c>
      <c r="Y999">
        <v>189651.0700000003</v>
      </c>
    </row>
    <row r="1000" spans="1:25" x14ac:dyDescent="0.25">
      <c r="A1000">
        <v>59</v>
      </c>
      <c r="B1000" t="s">
        <v>2200</v>
      </c>
      <c r="C1000" t="s">
        <v>32</v>
      </c>
      <c r="D1000" t="s">
        <v>2231</v>
      </c>
      <c r="E1000">
        <v>1075</v>
      </c>
      <c r="F1000" t="s">
        <v>2232</v>
      </c>
      <c r="G1000" t="s">
        <v>2233</v>
      </c>
      <c r="H1000" t="s">
        <v>2234</v>
      </c>
      <c r="I1000" t="s">
        <v>2235</v>
      </c>
      <c r="L1000" t="b">
        <v>1</v>
      </c>
      <c r="M1000" t="s">
        <v>2221</v>
      </c>
      <c r="N1000" t="s">
        <v>32</v>
      </c>
      <c r="P1000" t="s">
        <v>579</v>
      </c>
      <c r="Q1000">
        <v>1</v>
      </c>
      <c r="R1000">
        <v>3</v>
      </c>
      <c r="S1000">
        <v>7.6390000000000002</v>
      </c>
      <c r="T1000">
        <v>1880625</v>
      </c>
      <c r="U1000">
        <v>2550000</v>
      </c>
      <c r="V1000">
        <v>0.73750000000000004</v>
      </c>
      <c r="W1000">
        <v>0</v>
      </c>
      <c r="X1000">
        <v>143660.94</v>
      </c>
      <c r="Y1000">
        <v>143660.94</v>
      </c>
    </row>
    <row r="1001" spans="1:25" x14ac:dyDescent="0.25">
      <c r="A1001">
        <v>59</v>
      </c>
      <c r="B1001" t="s">
        <v>2200</v>
      </c>
      <c r="C1001" t="s">
        <v>32</v>
      </c>
      <c r="D1001" t="s">
        <v>1500</v>
      </c>
      <c r="E1001">
        <v>202993</v>
      </c>
      <c r="F1001" t="s">
        <v>1501</v>
      </c>
      <c r="G1001" t="s">
        <v>1502</v>
      </c>
      <c r="H1001" t="s">
        <v>1503</v>
      </c>
      <c r="I1001" t="s">
        <v>1504</v>
      </c>
      <c r="J1001" t="s">
        <v>1501</v>
      </c>
      <c r="K1001" t="s">
        <v>1505</v>
      </c>
      <c r="L1001" t="b">
        <v>1</v>
      </c>
      <c r="M1001" t="s">
        <v>112</v>
      </c>
      <c r="N1001" t="s">
        <v>32</v>
      </c>
      <c r="P1001" t="s">
        <v>579</v>
      </c>
      <c r="Q1001">
        <v>1</v>
      </c>
      <c r="R1001">
        <v>3</v>
      </c>
      <c r="S1001">
        <v>104.4</v>
      </c>
      <c r="T1001">
        <v>37000000</v>
      </c>
      <c r="U1001">
        <v>37000000</v>
      </c>
      <c r="V1001">
        <v>1</v>
      </c>
      <c r="W1001">
        <v>96097.22</v>
      </c>
      <c r="X1001">
        <v>38628000</v>
      </c>
      <c r="Y1001">
        <v>38724097.219999999</v>
      </c>
    </row>
    <row r="1002" spans="1:25" x14ac:dyDescent="0.25">
      <c r="A1002">
        <v>59</v>
      </c>
      <c r="B1002" t="s">
        <v>2200</v>
      </c>
      <c r="C1002" t="s">
        <v>32</v>
      </c>
      <c r="D1002" t="s">
        <v>1506</v>
      </c>
      <c r="E1002">
        <v>173052</v>
      </c>
      <c r="F1002" t="s">
        <v>1507</v>
      </c>
      <c r="G1002" t="s">
        <v>1508</v>
      </c>
      <c r="H1002" t="s">
        <v>1503</v>
      </c>
      <c r="I1002" t="s">
        <v>1509</v>
      </c>
      <c r="J1002" t="s">
        <v>1507</v>
      </c>
      <c r="K1002" t="s">
        <v>1510</v>
      </c>
      <c r="L1002" t="b">
        <v>1</v>
      </c>
      <c r="M1002" t="s">
        <v>112</v>
      </c>
      <c r="N1002" t="s">
        <v>32</v>
      </c>
      <c r="P1002" t="s">
        <v>579</v>
      </c>
      <c r="Q1002">
        <v>1</v>
      </c>
      <c r="R1002">
        <v>3</v>
      </c>
      <c r="S1002">
        <v>107.3031</v>
      </c>
      <c r="T1002">
        <v>29500000</v>
      </c>
      <c r="U1002">
        <v>29500000</v>
      </c>
      <c r="V1002">
        <v>1</v>
      </c>
      <c r="W1002">
        <v>477531.25</v>
      </c>
      <c r="X1002">
        <v>31654414.5</v>
      </c>
      <c r="Y1002">
        <v>32131945.75</v>
      </c>
    </row>
    <row r="1003" spans="1:25" x14ac:dyDescent="0.25">
      <c r="A1003">
        <v>59</v>
      </c>
      <c r="B1003" t="s">
        <v>2200</v>
      </c>
      <c r="C1003" t="s">
        <v>32</v>
      </c>
      <c r="D1003" t="s">
        <v>1511</v>
      </c>
      <c r="E1003">
        <v>139012</v>
      </c>
      <c r="F1003" t="s">
        <v>1512</v>
      </c>
      <c r="G1003" t="s">
        <v>1513</v>
      </c>
      <c r="H1003" t="s">
        <v>1503</v>
      </c>
      <c r="I1003" t="s">
        <v>1514</v>
      </c>
      <c r="J1003" t="s">
        <v>1512</v>
      </c>
      <c r="K1003" t="s">
        <v>1515</v>
      </c>
      <c r="L1003" t="b">
        <v>1</v>
      </c>
      <c r="M1003" t="s">
        <v>112</v>
      </c>
      <c r="N1003" t="s">
        <v>32</v>
      </c>
      <c r="P1003" t="s">
        <v>579</v>
      </c>
      <c r="Q1003">
        <v>1</v>
      </c>
      <c r="R1003">
        <v>3</v>
      </c>
      <c r="S1003">
        <v>108.41500000000001</v>
      </c>
      <c r="T1003">
        <v>25850000</v>
      </c>
      <c r="U1003">
        <v>25850000</v>
      </c>
      <c r="V1003">
        <v>1</v>
      </c>
      <c r="W1003">
        <v>75036.800000000003</v>
      </c>
      <c r="X1003">
        <v>28025277.5</v>
      </c>
      <c r="Y1003">
        <v>28100314.300000001</v>
      </c>
    </row>
    <row r="1004" spans="1:25" x14ac:dyDescent="0.25">
      <c r="A1004">
        <v>59</v>
      </c>
      <c r="B1004" t="s">
        <v>2200</v>
      </c>
      <c r="C1004" t="s">
        <v>32</v>
      </c>
      <c r="D1004" t="s">
        <v>1516</v>
      </c>
      <c r="E1004">
        <v>159686</v>
      </c>
      <c r="F1004" t="s">
        <v>1517</v>
      </c>
      <c r="G1004" t="s">
        <v>1518</v>
      </c>
      <c r="H1004" t="s">
        <v>1519</v>
      </c>
      <c r="I1004" t="s">
        <v>1520</v>
      </c>
      <c r="J1004" t="s">
        <v>1517</v>
      </c>
      <c r="K1004" t="s">
        <v>1521</v>
      </c>
      <c r="L1004" t="b">
        <v>1</v>
      </c>
      <c r="M1004" t="s">
        <v>112</v>
      </c>
      <c r="N1004" t="s">
        <v>32</v>
      </c>
      <c r="P1004" t="s">
        <v>579</v>
      </c>
      <c r="Q1004">
        <v>1</v>
      </c>
      <c r="R1004">
        <v>3</v>
      </c>
      <c r="S1004">
        <v>104.05</v>
      </c>
      <c r="T1004">
        <v>44500000</v>
      </c>
      <c r="U1004">
        <v>44500000</v>
      </c>
      <c r="V1004">
        <v>1</v>
      </c>
      <c r="W1004">
        <v>84828.13</v>
      </c>
      <c r="X1004">
        <v>46302250</v>
      </c>
      <c r="Y1004">
        <v>46387078.130000003</v>
      </c>
    </row>
    <row r="1005" spans="1:25" x14ac:dyDescent="0.25">
      <c r="A1005">
        <v>59</v>
      </c>
      <c r="B1005" t="s">
        <v>2200</v>
      </c>
      <c r="C1005" t="s">
        <v>32</v>
      </c>
      <c r="D1005" t="s">
        <v>1522</v>
      </c>
      <c r="E1005">
        <v>192587</v>
      </c>
      <c r="F1005" t="s">
        <v>1523</v>
      </c>
      <c r="G1005" t="s">
        <v>1524</v>
      </c>
      <c r="H1005" t="s">
        <v>1519</v>
      </c>
      <c r="I1005" t="s">
        <v>1525</v>
      </c>
      <c r="L1005" t="b">
        <v>1</v>
      </c>
      <c r="M1005" t="s">
        <v>112</v>
      </c>
      <c r="N1005" t="s">
        <v>32</v>
      </c>
      <c r="P1005" t="s">
        <v>579</v>
      </c>
      <c r="Q1005">
        <v>1</v>
      </c>
      <c r="R1005">
        <v>3</v>
      </c>
      <c r="S1005">
        <v>103.05500000000001</v>
      </c>
      <c r="T1005">
        <v>7500000</v>
      </c>
      <c r="U1005">
        <v>7500000</v>
      </c>
      <c r="V1005">
        <v>1</v>
      </c>
      <c r="W1005">
        <v>139791.67000000001</v>
      </c>
      <c r="X1005">
        <v>7729125</v>
      </c>
      <c r="Y1005">
        <v>7868916.6699999999</v>
      </c>
    </row>
    <row r="1006" spans="1:25" x14ac:dyDescent="0.25">
      <c r="A1006">
        <v>59</v>
      </c>
      <c r="B1006" t="s">
        <v>2200</v>
      </c>
      <c r="C1006" t="s">
        <v>32</v>
      </c>
      <c r="D1006" t="s">
        <v>75</v>
      </c>
      <c r="E1006">
        <v>147061</v>
      </c>
      <c r="F1006" t="s">
        <v>76</v>
      </c>
      <c r="G1006" t="s">
        <v>77</v>
      </c>
      <c r="H1006" t="s">
        <v>78</v>
      </c>
      <c r="I1006" t="s">
        <v>79</v>
      </c>
      <c r="J1006" t="s">
        <v>76</v>
      </c>
      <c r="K1006" t="s">
        <v>80</v>
      </c>
      <c r="L1006" t="b">
        <v>1</v>
      </c>
      <c r="M1006" t="s">
        <v>81</v>
      </c>
      <c r="N1006" t="s">
        <v>32</v>
      </c>
      <c r="P1006" t="s">
        <v>579</v>
      </c>
      <c r="Q1006">
        <v>1</v>
      </c>
      <c r="R1006">
        <v>3</v>
      </c>
      <c r="S1006">
        <v>102.258</v>
      </c>
      <c r="T1006">
        <v>28900000</v>
      </c>
      <c r="U1006">
        <v>28900000</v>
      </c>
      <c r="V1006">
        <v>1</v>
      </c>
      <c r="W1006">
        <v>833684.73</v>
      </c>
      <c r="X1006">
        <v>29552562</v>
      </c>
      <c r="Y1006">
        <v>30386246.73</v>
      </c>
    </row>
    <row r="1007" spans="1:25" x14ac:dyDescent="0.25">
      <c r="A1007">
        <v>59</v>
      </c>
      <c r="B1007" t="s">
        <v>2200</v>
      </c>
      <c r="C1007" t="s">
        <v>32</v>
      </c>
      <c r="D1007" t="s">
        <v>1526</v>
      </c>
      <c r="E1007">
        <v>913</v>
      </c>
      <c r="F1007" t="s">
        <v>1527</v>
      </c>
      <c r="G1007" t="s">
        <v>1528</v>
      </c>
      <c r="H1007" t="s">
        <v>141</v>
      </c>
      <c r="I1007" t="s">
        <v>1529</v>
      </c>
      <c r="L1007" t="b">
        <v>1</v>
      </c>
      <c r="M1007" t="s">
        <v>81</v>
      </c>
      <c r="N1007" t="s">
        <v>32</v>
      </c>
      <c r="P1007" t="s">
        <v>579</v>
      </c>
      <c r="Q1007">
        <v>1</v>
      </c>
      <c r="R1007">
        <v>3</v>
      </c>
      <c r="S1007">
        <v>99.175060000000002</v>
      </c>
      <c r="T1007">
        <v>3915000</v>
      </c>
      <c r="U1007">
        <v>4350000</v>
      </c>
      <c r="V1007">
        <v>0.9</v>
      </c>
      <c r="W1007">
        <v>8917.5</v>
      </c>
      <c r="X1007">
        <v>3882703.600000001</v>
      </c>
      <c r="Y1007">
        <v>3891621.100000001</v>
      </c>
    </row>
    <row r="1008" spans="1:25" x14ac:dyDescent="0.25">
      <c r="A1008">
        <v>59</v>
      </c>
      <c r="B1008" t="s">
        <v>2200</v>
      </c>
      <c r="C1008" t="s">
        <v>32</v>
      </c>
      <c r="D1008" t="s">
        <v>82</v>
      </c>
      <c r="E1008">
        <v>1104</v>
      </c>
      <c r="F1008" t="s">
        <v>83</v>
      </c>
      <c r="G1008" t="s">
        <v>84</v>
      </c>
      <c r="H1008" t="s">
        <v>85</v>
      </c>
      <c r="I1008" t="s">
        <v>86</v>
      </c>
      <c r="J1008" t="s">
        <v>83</v>
      </c>
      <c r="K1008" t="s">
        <v>87</v>
      </c>
      <c r="L1008" t="b">
        <v>1</v>
      </c>
      <c r="M1008" t="s">
        <v>61</v>
      </c>
      <c r="N1008" t="s">
        <v>32</v>
      </c>
      <c r="P1008" t="s">
        <v>579</v>
      </c>
      <c r="Q1008">
        <v>1</v>
      </c>
      <c r="R1008">
        <v>3</v>
      </c>
      <c r="S1008">
        <v>101.6</v>
      </c>
      <c r="T1008">
        <v>17854869.210999999</v>
      </c>
      <c r="U1008">
        <v>21463884</v>
      </c>
      <c r="V1008">
        <v>0.83189999999999997</v>
      </c>
      <c r="W1008">
        <v>120892.34</v>
      </c>
      <c r="X1008">
        <v>18140547.109999999</v>
      </c>
      <c r="Y1008">
        <v>18261439.449999999</v>
      </c>
    </row>
    <row r="1009" spans="1:25" x14ac:dyDescent="0.25">
      <c r="A1009">
        <v>59</v>
      </c>
      <c r="B1009" t="s">
        <v>2200</v>
      </c>
      <c r="C1009" t="s">
        <v>32</v>
      </c>
      <c r="D1009" t="s">
        <v>88</v>
      </c>
      <c r="E1009">
        <v>1103</v>
      </c>
      <c r="F1009" t="s">
        <v>87</v>
      </c>
      <c r="G1009" t="s">
        <v>89</v>
      </c>
      <c r="H1009" t="s">
        <v>85</v>
      </c>
      <c r="I1009" t="s">
        <v>86</v>
      </c>
      <c r="J1009" t="s">
        <v>83</v>
      </c>
      <c r="K1009" t="s">
        <v>83</v>
      </c>
      <c r="L1009" t="b">
        <v>1</v>
      </c>
      <c r="M1009" t="s">
        <v>61</v>
      </c>
      <c r="N1009" t="s">
        <v>32</v>
      </c>
      <c r="P1009" t="s">
        <v>579</v>
      </c>
      <c r="Q1009">
        <v>1</v>
      </c>
      <c r="R1009">
        <v>3</v>
      </c>
      <c r="S1009">
        <v>101.599998</v>
      </c>
      <c r="T1009">
        <v>295519</v>
      </c>
      <c r="U1009">
        <v>355250</v>
      </c>
      <c r="V1009">
        <v>0.83189999999999997</v>
      </c>
      <c r="W1009">
        <v>2000.91</v>
      </c>
      <c r="X1009">
        <v>300247.3</v>
      </c>
      <c r="Y1009">
        <v>302248.21000000002</v>
      </c>
    </row>
    <row r="1010" spans="1:25" x14ac:dyDescent="0.25">
      <c r="A1010">
        <v>59</v>
      </c>
      <c r="B1010" t="s">
        <v>2200</v>
      </c>
      <c r="C1010" t="s">
        <v>32</v>
      </c>
      <c r="D1010" t="s">
        <v>1530</v>
      </c>
      <c r="E1010">
        <v>195282</v>
      </c>
      <c r="F1010" t="s">
        <v>1531</v>
      </c>
      <c r="G1010" t="s">
        <v>1532</v>
      </c>
      <c r="H1010" t="s">
        <v>1533</v>
      </c>
      <c r="I1010" t="s">
        <v>1534</v>
      </c>
      <c r="L1010" t="b">
        <v>1</v>
      </c>
      <c r="M1010" t="s">
        <v>112</v>
      </c>
      <c r="N1010" t="s">
        <v>32</v>
      </c>
      <c r="P1010" t="s">
        <v>579</v>
      </c>
      <c r="Q1010">
        <v>1</v>
      </c>
      <c r="R1010">
        <v>3</v>
      </c>
      <c r="S1010">
        <v>103.85</v>
      </c>
      <c r="T1010">
        <v>8550000</v>
      </c>
      <c r="U1010">
        <v>8550000</v>
      </c>
      <c r="V1010">
        <v>1</v>
      </c>
      <c r="W1010">
        <v>130684.38</v>
      </c>
      <c r="X1010">
        <v>8879175</v>
      </c>
      <c r="Y1010">
        <v>9009859.3800000008</v>
      </c>
    </row>
    <row r="1011" spans="1:25" x14ac:dyDescent="0.25">
      <c r="A1011">
        <v>59</v>
      </c>
      <c r="B1011" t="s">
        <v>2200</v>
      </c>
      <c r="C1011" t="s">
        <v>32</v>
      </c>
      <c r="D1011" t="s">
        <v>1535</v>
      </c>
      <c r="E1011">
        <v>139465</v>
      </c>
      <c r="F1011" t="s">
        <v>1536</v>
      </c>
      <c r="G1011" t="s">
        <v>1537</v>
      </c>
      <c r="H1011" t="s">
        <v>1533</v>
      </c>
      <c r="I1011" t="s">
        <v>1538</v>
      </c>
      <c r="J1011" t="s">
        <v>1536</v>
      </c>
      <c r="K1011" t="s">
        <v>1539</v>
      </c>
      <c r="L1011" t="b">
        <v>1</v>
      </c>
      <c r="M1011" t="s">
        <v>112</v>
      </c>
      <c r="N1011" t="s">
        <v>32</v>
      </c>
      <c r="P1011" t="s">
        <v>579</v>
      </c>
      <c r="Q1011">
        <v>1</v>
      </c>
      <c r="R1011">
        <v>3</v>
      </c>
      <c r="S1011">
        <v>106.19851800000001</v>
      </c>
      <c r="T1011">
        <v>12050000</v>
      </c>
      <c r="U1011">
        <v>12050000</v>
      </c>
      <c r="V1011">
        <v>1</v>
      </c>
      <c r="W1011">
        <v>19915.97</v>
      </c>
      <c r="X1011">
        <v>12796921.42</v>
      </c>
      <c r="Y1011">
        <v>12816837.390000001</v>
      </c>
    </row>
    <row r="1012" spans="1:25" x14ac:dyDescent="0.25">
      <c r="A1012">
        <v>59</v>
      </c>
      <c r="B1012" t="s">
        <v>2200</v>
      </c>
      <c r="C1012" t="s">
        <v>32</v>
      </c>
      <c r="D1012" t="s">
        <v>1540</v>
      </c>
      <c r="E1012">
        <v>2222</v>
      </c>
      <c r="F1012" t="s">
        <v>1541</v>
      </c>
      <c r="G1012" t="s">
        <v>1542</v>
      </c>
      <c r="H1012" t="s">
        <v>1543</v>
      </c>
      <c r="I1012" t="s">
        <v>1544</v>
      </c>
      <c r="L1012" t="b">
        <v>1</v>
      </c>
      <c r="M1012" t="s">
        <v>1030</v>
      </c>
      <c r="N1012" t="s">
        <v>32</v>
      </c>
      <c r="P1012" t="s">
        <v>579</v>
      </c>
      <c r="Q1012">
        <v>1</v>
      </c>
      <c r="R1012">
        <v>3</v>
      </c>
      <c r="S1012">
        <v>92.25</v>
      </c>
      <c r="T1012">
        <v>5135701</v>
      </c>
      <c r="U1012">
        <v>6400000</v>
      </c>
      <c r="V1012">
        <v>0.80249999999999999</v>
      </c>
      <c r="W1012">
        <v>17226</v>
      </c>
      <c r="X1012">
        <v>4737684.1700000009</v>
      </c>
      <c r="Y1012">
        <v>4754910.1700000009</v>
      </c>
    </row>
    <row r="1013" spans="1:25" x14ac:dyDescent="0.25">
      <c r="A1013">
        <v>59</v>
      </c>
      <c r="B1013" t="s">
        <v>2200</v>
      </c>
      <c r="C1013" t="s">
        <v>32</v>
      </c>
      <c r="D1013" t="s">
        <v>1653</v>
      </c>
      <c r="E1013">
        <v>160999</v>
      </c>
      <c r="F1013" t="s">
        <v>1654</v>
      </c>
      <c r="G1013" t="s">
        <v>1655</v>
      </c>
      <c r="H1013" t="s">
        <v>1656</v>
      </c>
      <c r="I1013" t="s">
        <v>1657</v>
      </c>
      <c r="L1013" t="b">
        <v>1</v>
      </c>
      <c r="M1013" t="s">
        <v>31</v>
      </c>
      <c r="N1013" t="s">
        <v>32</v>
      </c>
      <c r="P1013" t="s">
        <v>579</v>
      </c>
      <c r="Q1013">
        <v>1</v>
      </c>
      <c r="R1013">
        <v>3</v>
      </c>
      <c r="S1013">
        <v>2.5</v>
      </c>
      <c r="T1013">
        <v>36612411</v>
      </c>
      <c r="U1013">
        <v>36612411</v>
      </c>
      <c r="V1013">
        <v>1</v>
      </c>
      <c r="W1013">
        <v>0</v>
      </c>
      <c r="X1013">
        <v>915310.28000000201</v>
      </c>
      <c r="Y1013">
        <v>915310.28000000201</v>
      </c>
    </row>
    <row r="1014" spans="1:25" x14ac:dyDescent="0.25">
      <c r="A1014">
        <v>59</v>
      </c>
      <c r="B1014" t="s">
        <v>2200</v>
      </c>
      <c r="C1014" t="s">
        <v>32</v>
      </c>
      <c r="D1014" t="s">
        <v>1658</v>
      </c>
      <c r="E1014">
        <v>159992</v>
      </c>
      <c r="F1014" t="s">
        <v>1659</v>
      </c>
      <c r="G1014" t="s">
        <v>1660</v>
      </c>
      <c r="H1014" t="s">
        <v>1661</v>
      </c>
      <c r="I1014" t="s">
        <v>1662</v>
      </c>
      <c r="J1014" t="s">
        <v>1659</v>
      </c>
      <c r="K1014" t="s">
        <v>1663</v>
      </c>
      <c r="L1014" t="b">
        <v>1</v>
      </c>
      <c r="M1014" t="s">
        <v>31</v>
      </c>
      <c r="N1014" t="s">
        <v>32</v>
      </c>
      <c r="P1014" t="s">
        <v>579</v>
      </c>
      <c r="Q1014">
        <v>1</v>
      </c>
      <c r="R1014">
        <v>3</v>
      </c>
      <c r="S1014">
        <v>102.82899999999999</v>
      </c>
      <c r="T1014">
        <v>7150000</v>
      </c>
      <c r="U1014">
        <v>7150000</v>
      </c>
      <c r="V1014">
        <v>1</v>
      </c>
      <c r="W1014">
        <v>5958.33</v>
      </c>
      <c r="X1014">
        <v>7352273.5</v>
      </c>
      <c r="Y1014">
        <v>7358231.8300000001</v>
      </c>
    </row>
    <row r="1015" spans="1:25" x14ac:dyDescent="0.25">
      <c r="A1015">
        <v>59</v>
      </c>
      <c r="B1015" t="s">
        <v>2200</v>
      </c>
      <c r="C1015" t="s">
        <v>32</v>
      </c>
      <c r="D1015" t="s">
        <v>1664</v>
      </c>
      <c r="E1015">
        <v>189331</v>
      </c>
      <c r="F1015" t="s">
        <v>1665</v>
      </c>
      <c r="G1015" t="s">
        <v>1666</v>
      </c>
      <c r="H1015" t="s">
        <v>1667</v>
      </c>
      <c r="I1015" t="s">
        <v>1668</v>
      </c>
      <c r="J1015" t="s">
        <v>1665</v>
      </c>
      <c r="K1015" t="s">
        <v>1669</v>
      </c>
      <c r="L1015" t="b">
        <v>1</v>
      </c>
      <c r="M1015" t="s">
        <v>31</v>
      </c>
      <c r="N1015" t="s">
        <v>32</v>
      </c>
      <c r="P1015" t="s">
        <v>579</v>
      </c>
      <c r="Q1015">
        <v>1</v>
      </c>
      <c r="R1015">
        <v>3</v>
      </c>
      <c r="S1015">
        <v>95.1</v>
      </c>
      <c r="T1015">
        <v>17400000</v>
      </c>
      <c r="U1015">
        <v>17400000</v>
      </c>
      <c r="V1015">
        <v>1</v>
      </c>
      <c r="W1015">
        <v>22233.33</v>
      </c>
      <c r="X1015">
        <v>16547400</v>
      </c>
      <c r="Y1015">
        <v>16569633.33</v>
      </c>
    </row>
    <row r="1016" spans="1:25" x14ac:dyDescent="0.25">
      <c r="A1016">
        <v>59</v>
      </c>
      <c r="B1016" t="s">
        <v>2200</v>
      </c>
      <c r="C1016" t="s">
        <v>32</v>
      </c>
      <c r="D1016" t="s">
        <v>1670</v>
      </c>
      <c r="E1016">
        <v>155346</v>
      </c>
      <c r="F1016" t="s">
        <v>1671</v>
      </c>
      <c r="G1016" t="s">
        <v>1672</v>
      </c>
      <c r="H1016" t="s">
        <v>1673</v>
      </c>
      <c r="I1016" t="s">
        <v>1674</v>
      </c>
      <c r="J1016" t="s">
        <v>1671</v>
      </c>
      <c r="K1016" t="s">
        <v>1675</v>
      </c>
      <c r="L1016" t="b">
        <v>1</v>
      </c>
      <c r="M1016" t="s">
        <v>112</v>
      </c>
      <c r="N1016" t="s">
        <v>32</v>
      </c>
      <c r="P1016" t="s">
        <v>579</v>
      </c>
      <c r="Q1016">
        <v>1</v>
      </c>
      <c r="R1016">
        <v>3</v>
      </c>
      <c r="S1016">
        <v>104.72499999999999</v>
      </c>
      <c r="T1016">
        <v>7069000</v>
      </c>
      <c r="U1016">
        <v>7069000</v>
      </c>
      <c r="V1016">
        <v>1</v>
      </c>
      <c r="W1016">
        <v>76359.929999999993</v>
      </c>
      <c r="X1016">
        <v>7403010.25</v>
      </c>
      <c r="Y1016">
        <v>7479370.1799999997</v>
      </c>
    </row>
    <row r="1017" spans="1:25" x14ac:dyDescent="0.25">
      <c r="A1017">
        <v>59</v>
      </c>
      <c r="B1017" t="s">
        <v>2200</v>
      </c>
      <c r="C1017" t="s">
        <v>32</v>
      </c>
      <c r="D1017" t="s">
        <v>1676</v>
      </c>
      <c r="E1017">
        <v>176271</v>
      </c>
      <c r="F1017" t="s">
        <v>1677</v>
      </c>
      <c r="G1017" t="s">
        <v>1678</v>
      </c>
      <c r="H1017" t="s">
        <v>1673</v>
      </c>
      <c r="I1017" t="s">
        <v>1679</v>
      </c>
      <c r="L1017" t="b">
        <v>1</v>
      </c>
      <c r="M1017" t="s">
        <v>112</v>
      </c>
      <c r="N1017" t="s">
        <v>32</v>
      </c>
      <c r="P1017" t="s">
        <v>579</v>
      </c>
      <c r="Q1017">
        <v>1</v>
      </c>
      <c r="R1017">
        <v>3</v>
      </c>
      <c r="S1017">
        <v>105.696687</v>
      </c>
      <c r="T1017">
        <v>2906000</v>
      </c>
      <c r="U1017">
        <v>2906000</v>
      </c>
      <c r="V1017">
        <v>1</v>
      </c>
      <c r="W1017">
        <v>34993.089999999997</v>
      </c>
      <c r="X1017">
        <v>3071545.73</v>
      </c>
      <c r="Y1017">
        <v>3106538.82</v>
      </c>
    </row>
    <row r="1018" spans="1:25" x14ac:dyDescent="0.25">
      <c r="A1018">
        <v>59</v>
      </c>
      <c r="B1018" t="s">
        <v>2200</v>
      </c>
      <c r="C1018" t="s">
        <v>32</v>
      </c>
      <c r="D1018" t="s">
        <v>1680</v>
      </c>
      <c r="E1018">
        <v>126886</v>
      </c>
      <c r="F1018" t="s">
        <v>1681</v>
      </c>
      <c r="G1018" t="s">
        <v>1682</v>
      </c>
      <c r="H1018" t="s">
        <v>1683</v>
      </c>
      <c r="I1018" t="s">
        <v>1682</v>
      </c>
      <c r="L1018" t="b">
        <v>0</v>
      </c>
      <c r="M1018" t="s">
        <v>31</v>
      </c>
      <c r="N1018" t="s">
        <v>32</v>
      </c>
      <c r="P1018" t="s">
        <v>579</v>
      </c>
      <c r="Q1018">
        <v>1</v>
      </c>
      <c r="R1018">
        <v>3</v>
      </c>
      <c r="S1018">
        <v>101.93756399999999</v>
      </c>
      <c r="T1018">
        <v>8447567</v>
      </c>
      <c r="U1018">
        <v>8447567</v>
      </c>
      <c r="V1018">
        <v>1</v>
      </c>
      <c r="W1018">
        <v>25812.02</v>
      </c>
      <c r="X1018">
        <v>8611244.0100000016</v>
      </c>
      <c r="Y1018">
        <v>8637056.0300000012</v>
      </c>
    </row>
    <row r="1019" spans="1:25" x14ac:dyDescent="0.25">
      <c r="A1019">
        <v>59</v>
      </c>
      <c r="B1019" t="s">
        <v>2200</v>
      </c>
      <c r="C1019" t="s">
        <v>32</v>
      </c>
      <c r="D1019" t="s">
        <v>90</v>
      </c>
      <c r="E1019">
        <v>166674</v>
      </c>
      <c r="F1019" t="s">
        <v>91</v>
      </c>
      <c r="G1019" t="s">
        <v>92</v>
      </c>
      <c r="H1019" t="s">
        <v>93</v>
      </c>
      <c r="I1019" t="s">
        <v>94</v>
      </c>
      <c r="J1019" t="s">
        <v>91</v>
      </c>
      <c r="K1019" t="s">
        <v>95</v>
      </c>
      <c r="L1019" t="b">
        <v>1</v>
      </c>
      <c r="M1019" t="s">
        <v>50</v>
      </c>
      <c r="N1019" t="s">
        <v>32</v>
      </c>
      <c r="P1019" t="s">
        <v>579</v>
      </c>
      <c r="Q1019">
        <v>1</v>
      </c>
      <c r="R1019">
        <v>3</v>
      </c>
      <c r="S1019">
        <v>89.9</v>
      </c>
      <c r="T1019">
        <v>113702268</v>
      </c>
      <c r="U1019">
        <v>113702268</v>
      </c>
      <c r="V1019">
        <v>1</v>
      </c>
      <c r="W1019">
        <v>1895037.8</v>
      </c>
      <c r="X1019">
        <v>102218338.94</v>
      </c>
      <c r="Y1019">
        <v>104113376.73999999</v>
      </c>
    </row>
    <row r="1020" spans="1:25" x14ac:dyDescent="0.25">
      <c r="A1020">
        <v>59</v>
      </c>
      <c r="B1020" t="s">
        <v>2200</v>
      </c>
      <c r="C1020" t="s">
        <v>32</v>
      </c>
      <c r="D1020" t="s">
        <v>96</v>
      </c>
      <c r="E1020">
        <v>166676</v>
      </c>
      <c r="F1020" t="s">
        <v>97</v>
      </c>
      <c r="G1020" t="s">
        <v>98</v>
      </c>
      <c r="H1020" t="s">
        <v>93</v>
      </c>
      <c r="I1020" t="s">
        <v>99</v>
      </c>
      <c r="J1020" t="s">
        <v>97</v>
      </c>
      <c r="K1020" t="s">
        <v>100</v>
      </c>
      <c r="L1020" t="b">
        <v>1</v>
      </c>
      <c r="M1020" t="s">
        <v>50</v>
      </c>
      <c r="N1020" t="s">
        <v>32</v>
      </c>
      <c r="P1020" t="s">
        <v>579</v>
      </c>
      <c r="Q1020">
        <v>1</v>
      </c>
      <c r="R1020">
        <v>3</v>
      </c>
      <c r="S1020">
        <v>103.75</v>
      </c>
      <c r="T1020">
        <v>73459590</v>
      </c>
      <c r="U1020">
        <v>73459590</v>
      </c>
      <c r="V1020">
        <v>1</v>
      </c>
      <c r="W1020">
        <v>2693518.31</v>
      </c>
      <c r="X1020">
        <v>76214324.650000036</v>
      </c>
      <c r="Y1020">
        <v>78907842.960000038</v>
      </c>
    </row>
    <row r="1021" spans="1:25" x14ac:dyDescent="0.25">
      <c r="A1021">
        <v>59</v>
      </c>
      <c r="B1021" t="s">
        <v>2200</v>
      </c>
      <c r="C1021" t="s">
        <v>32</v>
      </c>
      <c r="D1021" t="s">
        <v>1684</v>
      </c>
      <c r="E1021">
        <v>1144</v>
      </c>
      <c r="F1021" t="s">
        <v>1685</v>
      </c>
      <c r="G1021" t="s">
        <v>1686</v>
      </c>
      <c r="H1021" t="s">
        <v>605</v>
      </c>
      <c r="I1021" t="s">
        <v>1687</v>
      </c>
      <c r="L1021" t="b">
        <v>1</v>
      </c>
      <c r="M1021" t="s">
        <v>112</v>
      </c>
      <c r="N1021" t="s">
        <v>32</v>
      </c>
      <c r="P1021" t="s">
        <v>579</v>
      </c>
      <c r="Q1021">
        <v>1</v>
      </c>
      <c r="R1021">
        <v>3</v>
      </c>
      <c r="S1021">
        <v>100.58240000000001</v>
      </c>
      <c r="T1021">
        <v>13426000</v>
      </c>
      <c r="U1021">
        <v>13426000</v>
      </c>
      <c r="V1021">
        <v>1</v>
      </c>
      <c r="W1021">
        <v>25919.65</v>
      </c>
      <c r="X1021">
        <v>13504193.02</v>
      </c>
      <c r="Y1021">
        <v>13530112.67</v>
      </c>
    </row>
    <row r="1022" spans="1:25" x14ac:dyDescent="0.25">
      <c r="A1022">
        <v>59</v>
      </c>
      <c r="B1022" t="s">
        <v>2200</v>
      </c>
      <c r="C1022" t="s">
        <v>32</v>
      </c>
      <c r="D1022" t="s">
        <v>1688</v>
      </c>
      <c r="E1022">
        <v>1145</v>
      </c>
      <c r="F1022" t="s">
        <v>1689</v>
      </c>
      <c r="G1022" t="s">
        <v>1690</v>
      </c>
      <c r="H1022" t="s">
        <v>605</v>
      </c>
      <c r="I1022" t="s">
        <v>1691</v>
      </c>
      <c r="L1022" t="b">
        <v>1</v>
      </c>
      <c r="M1022" t="s">
        <v>112</v>
      </c>
      <c r="N1022" t="s">
        <v>32</v>
      </c>
      <c r="P1022" t="s">
        <v>579</v>
      </c>
      <c r="Q1022">
        <v>1</v>
      </c>
      <c r="R1022">
        <v>3</v>
      </c>
      <c r="S1022">
        <v>94.208619999999996</v>
      </c>
      <c r="T1022">
        <v>3955000</v>
      </c>
      <c r="U1022">
        <v>3955000</v>
      </c>
      <c r="V1022">
        <v>1</v>
      </c>
      <c r="W1022">
        <v>35375.269999999997</v>
      </c>
      <c r="X1022">
        <v>3725950.92</v>
      </c>
      <c r="Y1022">
        <v>3761326.19</v>
      </c>
    </row>
    <row r="1023" spans="1:25" x14ac:dyDescent="0.25">
      <c r="A1023">
        <v>59</v>
      </c>
      <c r="B1023" t="s">
        <v>2200</v>
      </c>
      <c r="C1023" t="s">
        <v>32</v>
      </c>
      <c r="D1023" t="s">
        <v>1692</v>
      </c>
      <c r="E1023">
        <v>159225</v>
      </c>
      <c r="F1023" t="s">
        <v>1693</v>
      </c>
      <c r="G1023" t="s">
        <v>1694</v>
      </c>
      <c r="H1023" t="s">
        <v>605</v>
      </c>
      <c r="I1023" t="s">
        <v>1695</v>
      </c>
      <c r="J1023" t="s">
        <v>1693</v>
      </c>
      <c r="K1023" t="s">
        <v>1696</v>
      </c>
      <c r="L1023" t="b">
        <v>1</v>
      </c>
      <c r="M1023" t="s">
        <v>112</v>
      </c>
      <c r="N1023" t="s">
        <v>32</v>
      </c>
      <c r="P1023" t="s">
        <v>579</v>
      </c>
      <c r="Q1023">
        <v>1</v>
      </c>
      <c r="R1023">
        <v>3</v>
      </c>
      <c r="S1023">
        <v>105.59353900000001</v>
      </c>
      <c r="T1023">
        <v>73900000</v>
      </c>
      <c r="U1023">
        <v>73900000</v>
      </c>
      <c r="V1023">
        <v>1</v>
      </c>
      <c r="W1023">
        <v>237095.83</v>
      </c>
      <c r="X1023">
        <v>78033625.329999983</v>
      </c>
      <c r="Y1023">
        <v>78270721.159999982</v>
      </c>
    </row>
    <row r="1024" spans="1:25" x14ac:dyDescent="0.25">
      <c r="A1024">
        <v>59</v>
      </c>
      <c r="B1024" t="s">
        <v>2200</v>
      </c>
      <c r="C1024" t="s">
        <v>32</v>
      </c>
      <c r="D1024" t="s">
        <v>1697</v>
      </c>
      <c r="E1024">
        <v>1147</v>
      </c>
      <c r="F1024" t="s">
        <v>1698</v>
      </c>
      <c r="G1024" t="s">
        <v>1699</v>
      </c>
      <c r="H1024" t="s">
        <v>605</v>
      </c>
      <c r="I1024" t="s">
        <v>1700</v>
      </c>
      <c r="L1024" t="b">
        <v>1</v>
      </c>
      <c r="M1024" t="s">
        <v>112</v>
      </c>
      <c r="N1024" t="s">
        <v>32</v>
      </c>
      <c r="P1024" t="s">
        <v>579</v>
      </c>
      <c r="Q1024">
        <v>1</v>
      </c>
      <c r="R1024">
        <v>3</v>
      </c>
      <c r="S1024">
        <v>104.552954</v>
      </c>
      <c r="T1024">
        <v>12854000</v>
      </c>
      <c r="U1024">
        <v>12854000</v>
      </c>
      <c r="V1024">
        <v>1</v>
      </c>
      <c r="W1024">
        <v>103189.06</v>
      </c>
      <c r="X1024">
        <v>13439236.710000001</v>
      </c>
      <c r="Y1024">
        <v>13542425.77</v>
      </c>
    </row>
    <row r="1025" spans="1:25" x14ac:dyDescent="0.25">
      <c r="A1025">
        <v>59</v>
      </c>
      <c r="B1025" t="s">
        <v>2200</v>
      </c>
      <c r="C1025" t="s">
        <v>32</v>
      </c>
      <c r="D1025" t="s">
        <v>1706</v>
      </c>
      <c r="E1025">
        <v>146386</v>
      </c>
      <c r="F1025" t="s">
        <v>1705</v>
      </c>
      <c r="G1025" t="s">
        <v>1707</v>
      </c>
      <c r="H1025" t="s">
        <v>605</v>
      </c>
      <c r="I1025" t="s">
        <v>1704</v>
      </c>
      <c r="J1025" t="s">
        <v>1702</v>
      </c>
      <c r="K1025" t="s">
        <v>1702</v>
      </c>
      <c r="L1025" t="b">
        <v>1</v>
      </c>
      <c r="M1025" t="s">
        <v>112</v>
      </c>
      <c r="N1025" t="s">
        <v>32</v>
      </c>
      <c r="P1025" t="s">
        <v>579</v>
      </c>
      <c r="Q1025">
        <v>1</v>
      </c>
      <c r="R1025">
        <v>3</v>
      </c>
      <c r="S1025">
        <v>106.1785</v>
      </c>
      <c r="T1025">
        <v>30500000</v>
      </c>
      <c r="U1025">
        <v>30500000</v>
      </c>
      <c r="V1025">
        <v>1</v>
      </c>
      <c r="W1025">
        <v>1037847.23</v>
      </c>
      <c r="X1025">
        <v>32384442.5</v>
      </c>
      <c r="Y1025">
        <v>33422289.73</v>
      </c>
    </row>
    <row r="1026" spans="1:25" x14ac:dyDescent="0.25">
      <c r="A1026">
        <v>59</v>
      </c>
      <c r="B1026" t="s">
        <v>2200</v>
      </c>
      <c r="C1026" t="s">
        <v>32</v>
      </c>
      <c r="D1026" t="s">
        <v>1708</v>
      </c>
      <c r="E1026">
        <v>118893</v>
      </c>
      <c r="F1026" t="s">
        <v>1709</v>
      </c>
      <c r="G1026" t="s">
        <v>1710</v>
      </c>
      <c r="H1026" t="s">
        <v>605</v>
      </c>
      <c r="I1026" t="s">
        <v>1711</v>
      </c>
      <c r="L1026" t="b">
        <v>1</v>
      </c>
      <c r="M1026" t="s">
        <v>112</v>
      </c>
      <c r="N1026" t="s">
        <v>32</v>
      </c>
      <c r="P1026" t="s">
        <v>579</v>
      </c>
      <c r="Q1026">
        <v>1</v>
      </c>
      <c r="R1026">
        <v>3</v>
      </c>
      <c r="S1026">
        <v>106.2775</v>
      </c>
      <c r="T1026">
        <v>10440000</v>
      </c>
      <c r="U1026">
        <v>11600000</v>
      </c>
      <c r="V1026">
        <v>0.9</v>
      </c>
      <c r="W1026">
        <v>38570</v>
      </c>
      <c r="X1026">
        <v>11095371</v>
      </c>
      <c r="Y1026">
        <v>11133941</v>
      </c>
    </row>
    <row r="1027" spans="1:25" x14ac:dyDescent="0.25">
      <c r="A1027">
        <v>59</v>
      </c>
      <c r="B1027" t="s">
        <v>2200</v>
      </c>
      <c r="C1027" t="s">
        <v>32</v>
      </c>
      <c r="D1027" t="s">
        <v>1712</v>
      </c>
      <c r="E1027">
        <v>149417</v>
      </c>
      <c r="F1027" t="s">
        <v>1713</v>
      </c>
      <c r="G1027" t="s">
        <v>1714</v>
      </c>
      <c r="H1027" t="s">
        <v>1715</v>
      </c>
      <c r="I1027" t="s">
        <v>1716</v>
      </c>
      <c r="J1027" t="s">
        <v>1713</v>
      </c>
      <c r="K1027" t="s">
        <v>1717</v>
      </c>
      <c r="L1027" t="b">
        <v>1</v>
      </c>
      <c r="M1027" t="s">
        <v>112</v>
      </c>
      <c r="N1027" t="s">
        <v>32</v>
      </c>
      <c r="P1027" t="s">
        <v>579</v>
      </c>
      <c r="Q1027">
        <v>1</v>
      </c>
      <c r="R1027">
        <v>3</v>
      </c>
      <c r="S1027">
        <v>103.7752</v>
      </c>
      <c r="T1027">
        <v>14850000</v>
      </c>
      <c r="U1027">
        <v>14850000</v>
      </c>
      <c r="V1027">
        <v>1</v>
      </c>
      <c r="W1027">
        <v>341085.94</v>
      </c>
      <c r="X1027">
        <v>15410617.199999999</v>
      </c>
      <c r="Y1027">
        <v>15751703.140000001</v>
      </c>
    </row>
    <row r="1028" spans="1:25" x14ac:dyDescent="0.25">
      <c r="A1028">
        <v>59</v>
      </c>
      <c r="B1028" t="s">
        <v>2200</v>
      </c>
      <c r="C1028" t="s">
        <v>32</v>
      </c>
      <c r="D1028" t="s">
        <v>1718</v>
      </c>
      <c r="E1028">
        <v>176141</v>
      </c>
      <c r="F1028" t="s">
        <v>1719</v>
      </c>
      <c r="G1028" t="s">
        <v>1720</v>
      </c>
      <c r="H1028" t="s">
        <v>600</v>
      </c>
      <c r="I1028" t="s">
        <v>1721</v>
      </c>
      <c r="J1028" t="s">
        <v>1719</v>
      </c>
      <c r="K1028" t="s">
        <v>1722</v>
      </c>
      <c r="L1028" t="b">
        <v>1</v>
      </c>
      <c r="M1028" t="s">
        <v>31</v>
      </c>
      <c r="N1028" t="s">
        <v>32</v>
      </c>
      <c r="P1028" t="s">
        <v>579</v>
      </c>
      <c r="Q1028">
        <v>1</v>
      </c>
      <c r="R1028">
        <v>3</v>
      </c>
      <c r="S1028">
        <v>107.29694600000001</v>
      </c>
      <c r="T1028">
        <v>17564940</v>
      </c>
      <c r="U1028">
        <v>18000000</v>
      </c>
      <c r="V1028">
        <v>0.9758</v>
      </c>
      <c r="W1028">
        <v>4146.3000000000466</v>
      </c>
      <c r="X1028">
        <v>18846644.190000001</v>
      </c>
      <c r="Y1028">
        <v>18850790.489999998</v>
      </c>
    </row>
    <row r="1029" spans="1:25" x14ac:dyDescent="0.25">
      <c r="A1029">
        <v>59</v>
      </c>
      <c r="B1029" t="s">
        <v>2200</v>
      </c>
      <c r="C1029" t="s">
        <v>32</v>
      </c>
      <c r="D1029" t="s">
        <v>116</v>
      </c>
      <c r="E1029">
        <v>3819</v>
      </c>
      <c r="F1029" t="s">
        <v>117</v>
      </c>
      <c r="G1029" t="s">
        <v>118</v>
      </c>
      <c r="H1029" t="s">
        <v>111</v>
      </c>
      <c r="I1029" t="s">
        <v>118</v>
      </c>
      <c r="L1029" t="b">
        <v>0</v>
      </c>
      <c r="M1029" t="s">
        <v>112</v>
      </c>
      <c r="N1029" t="s">
        <v>32</v>
      </c>
      <c r="P1029" t="s">
        <v>579</v>
      </c>
      <c r="Q1029">
        <v>1</v>
      </c>
      <c r="R1029">
        <v>3</v>
      </c>
      <c r="S1029">
        <v>89.75</v>
      </c>
      <c r="T1029">
        <v>2168338</v>
      </c>
      <c r="U1029">
        <v>3613901</v>
      </c>
      <c r="V1029">
        <v>0.6</v>
      </c>
      <c r="W1029">
        <v>1325.1</v>
      </c>
      <c r="X1029">
        <v>1946083.36</v>
      </c>
      <c r="Y1029">
        <v>1947408.46</v>
      </c>
    </row>
    <row r="1030" spans="1:25" x14ac:dyDescent="0.25">
      <c r="A1030">
        <v>59</v>
      </c>
      <c r="B1030" t="s">
        <v>2200</v>
      </c>
      <c r="C1030" t="s">
        <v>32</v>
      </c>
      <c r="D1030" t="s">
        <v>1723</v>
      </c>
      <c r="E1030">
        <v>3816</v>
      </c>
      <c r="F1030" t="s">
        <v>1724</v>
      </c>
      <c r="G1030" t="s">
        <v>1725</v>
      </c>
      <c r="H1030" t="s">
        <v>111</v>
      </c>
      <c r="I1030" t="s">
        <v>1725</v>
      </c>
      <c r="L1030" t="b">
        <v>0</v>
      </c>
      <c r="M1030" t="s">
        <v>112</v>
      </c>
      <c r="N1030" t="s">
        <v>32</v>
      </c>
      <c r="P1030" t="s">
        <v>579</v>
      </c>
      <c r="Q1030">
        <v>1</v>
      </c>
      <c r="R1030">
        <v>3</v>
      </c>
      <c r="S1030">
        <v>82.65</v>
      </c>
      <c r="T1030">
        <v>67013765</v>
      </c>
      <c r="U1030">
        <v>67013765</v>
      </c>
      <c r="V1030">
        <v>1</v>
      </c>
      <c r="W1030">
        <v>204764.28</v>
      </c>
      <c r="X1030">
        <v>55386876.770000003</v>
      </c>
      <c r="Y1030">
        <v>55591641.049999997</v>
      </c>
    </row>
    <row r="1031" spans="1:25" x14ac:dyDescent="0.25">
      <c r="A1031">
        <v>59</v>
      </c>
      <c r="B1031" t="s">
        <v>2200</v>
      </c>
      <c r="C1031" t="s">
        <v>32</v>
      </c>
      <c r="D1031" t="s">
        <v>2236</v>
      </c>
      <c r="E1031">
        <v>119732</v>
      </c>
      <c r="F1031" t="s">
        <v>2237</v>
      </c>
      <c r="G1031" t="s">
        <v>2238</v>
      </c>
      <c r="H1031" t="s">
        <v>638</v>
      </c>
      <c r="I1031" t="s">
        <v>2238</v>
      </c>
      <c r="L1031" t="b">
        <v>0</v>
      </c>
      <c r="M1031" t="s">
        <v>31</v>
      </c>
      <c r="N1031" t="s">
        <v>32</v>
      </c>
      <c r="P1031" t="s">
        <v>579</v>
      </c>
      <c r="Q1031">
        <v>1</v>
      </c>
      <c r="R1031">
        <v>3</v>
      </c>
      <c r="S1031">
        <v>99.2</v>
      </c>
      <c r="T1031">
        <v>4500000</v>
      </c>
      <c r="U1031">
        <v>4500000</v>
      </c>
      <c r="V1031">
        <v>1</v>
      </c>
      <c r="W1031">
        <v>103359.38</v>
      </c>
      <c r="X1031">
        <v>4464000</v>
      </c>
      <c r="Y1031">
        <v>4567359.38</v>
      </c>
    </row>
    <row r="1032" spans="1:25" x14ac:dyDescent="0.25">
      <c r="A1032">
        <v>59</v>
      </c>
      <c r="B1032" t="s">
        <v>2200</v>
      </c>
      <c r="C1032" t="s">
        <v>32</v>
      </c>
      <c r="D1032" t="s">
        <v>2195</v>
      </c>
      <c r="E1032">
        <v>119731</v>
      </c>
      <c r="F1032" t="s">
        <v>2196</v>
      </c>
      <c r="G1032" t="s">
        <v>2197</v>
      </c>
      <c r="H1032" t="s">
        <v>638</v>
      </c>
      <c r="I1032" t="s">
        <v>2197</v>
      </c>
      <c r="L1032" t="b">
        <v>0</v>
      </c>
      <c r="M1032" t="s">
        <v>31</v>
      </c>
      <c r="N1032" t="s">
        <v>32</v>
      </c>
      <c r="P1032" t="s">
        <v>579</v>
      </c>
      <c r="Q1032">
        <v>1</v>
      </c>
      <c r="R1032">
        <v>3</v>
      </c>
      <c r="S1032">
        <v>96.075000000000003</v>
      </c>
      <c r="T1032">
        <v>5000000</v>
      </c>
      <c r="U1032">
        <v>5000000</v>
      </c>
      <c r="V1032">
        <v>1</v>
      </c>
      <c r="W1032">
        <v>77187.5</v>
      </c>
      <c r="X1032">
        <v>4803750</v>
      </c>
      <c r="Y1032">
        <v>4880937.5</v>
      </c>
    </row>
    <row r="1033" spans="1:25" x14ac:dyDescent="0.25">
      <c r="A1033">
        <v>59</v>
      </c>
      <c r="B1033" t="s">
        <v>2200</v>
      </c>
      <c r="C1033" t="s">
        <v>32</v>
      </c>
      <c r="D1033" t="s">
        <v>1729</v>
      </c>
      <c r="E1033">
        <v>695</v>
      </c>
      <c r="F1033" t="s">
        <v>1730</v>
      </c>
      <c r="G1033" t="s">
        <v>1731</v>
      </c>
      <c r="H1033" t="s">
        <v>1732</v>
      </c>
      <c r="I1033" t="s">
        <v>1733</v>
      </c>
      <c r="L1033" t="b">
        <v>1</v>
      </c>
      <c r="M1033" t="s">
        <v>112</v>
      </c>
      <c r="N1033" t="s">
        <v>32</v>
      </c>
      <c r="P1033" t="s">
        <v>579</v>
      </c>
      <c r="Q1033">
        <v>1</v>
      </c>
      <c r="R1033">
        <v>3</v>
      </c>
      <c r="S1033">
        <v>101.76649999999999</v>
      </c>
      <c r="T1033">
        <v>1150230</v>
      </c>
      <c r="U1033">
        <v>3450000</v>
      </c>
      <c r="V1033">
        <v>0.33339999999999997</v>
      </c>
      <c r="W1033">
        <v>14377.87</v>
      </c>
      <c r="X1033">
        <v>1170548.82</v>
      </c>
      <c r="Y1033">
        <v>1184926.69</v>
      </c>
    </row>
    <row r="1034" spans="1:25" x14ac:dyDescent="0.25">
      <c r="A1034">
        <v>59</v>
      </c>
      <c r="B1034" t="s">
        <v>2200</v>
      </c>
      <c r="C1034" t="s">
        <v>32</v>
      </c>
      <c r="D1034" t="s">
        <v>1734</v>
      </c>
      <c r="E1034">
        <v>216183</v>
      </c>
      <c r="F1034" t="s">
        <v>1735</v>
      </c>
      <c r="G1034" t="s">
        <v>1736</v>
      </c>
      <c r="H1034" t="s">
        <v>1732</v>
      </c>
      <c r="I1034" t="s">
        <v>1737</v>
      </c>
      <c r="J1034" t="s">
        <v>1735</v>
      </c>
      <c r="K1034" t="s">
        <v>1738</v>
      </c>
      <c r="L1034" t="b">
        <v>1</v>
      </c>
      <c r="M1034" t="s">
        <v>112</v>
      </c>
      <c r="N1034" t="s">
        <v>32</v>
      </c>
      <c r="P1034" t="s">
        <v>579</v>
      </c>
      <c r="Q1034">
        <v>1</v>
      </c>
      <c r="R1034">
        <v>3</v>
      </c>
      <c r="S1034">
        <v>97.724999999999994</v>
      </c>
      <c r="T1034">
        <v>3650000</v>
      </c>
      <c r="U1034">
        <v>3650000</v>
      </c>
      <c r="V1034">
        <v>1</v>
      </c>
      <c r="W1034">
        <v>55753.75</v>
      </c>
      <c r="X1034">
        <v>3566962.5</v>
      </c>
      <c r="Y1034">
        <v>3622716.25</v>
      </c>
    </row>
    <row r="1035" spans="1:25" x14ac:dyDescent="0.25">
      <c r="A1035">
        <v>59</v>
      </c>
      <c r="B1035" t="s">
        <v>2200</v>
      </c>
      <c r="C1035" t="s">
        <v>32</v>
      </c>
      <c r="D1035" t="s">
        <v>1739</v>
      </c>
      <c r="E1035">
        <v>195836</v>
      </c>
      <c r="F1035" t="s">
        <v>1740</v>
      </c>
      <c r="G1035" t="s">
        <v>1741</v>
      </c>
      <c r="H1035" t="s">
        <v>1732</v>
      </c>
      <c r="I1035" t="s">
        <v>1742</v>
      </c>
      <c r="J1035" t="s">
        <v>1740</v>
      </c>
      <c r="K1035" t="s">
        <v>1743</v>
      </c>
      <c r="L1035" t="b">
        <v>1</v>
      </c>
      <c r="M1035" t="s">
        <v>112</v>
      </c>
      <c r="N1035" t="s">
        <v>32</v>
      </c>
      <c r="P1035" t="s">
        <v>579</v>
      </c>
      <c r="Q1035">
        <v>1</v>
      </c>
      <c r="R1035">
        <v>3</v>
      </c>
      <c r="S1035">
        <v>104.569</v>
      </c>
      <c r="T1035">
        <v>14350000</v>
      </c>
      <c r="U1035">
        <v>14350000</v>
      </c>
      <c r="V1035">
        <v>1</v>
      </c>
      <c r="W1035">
        <v>202095.83</v>
      </c>
      <c r="X1035">
        <v>15005651.5</v>
      </c>
      <c r="Y1035">
        <v>15207747.33</v>
      </c>
    </row>
    <row r="1036" spans="1:25" x14ac:dyDescent="0.25">
      <c r="A1036">
        <v>59</v>
      </c>
      <c r="B1036" t="s">
        <v>2200</v>
      </c>
      <c r="C1036" t="s">
        <v>32</v>
      </c>
      <c r="D1036" t="s">
        <v>1744</v>
      </c>
      <c r="E1036">
        <v>214282</v>
      </c>
      <c r="F1036" t="s">
        <v>1745</v>
      </c>
      <c r="G1036" t="s">
        <v>1746</v>
      </c>
      <c r="H1036" t="s">
        <v>1747</v>
      </c>
      <c r="I1036" t="s">
        <v>1748</v>
      </c>
      <c r="J1036" t="s">
        <v>1745</v>
      </c>
      <c r="K1036" t="s">
        <v>1749</v>
      </c>
      <c r="L1036" t="b">
        <v>1</v>
      </c>
      <c r="M1036" t="s">
        <v>112</v>
      </c>
      <c r="N1036" t="s">
        <v>32</v>
      </c>
      <c r="P1036" t="s">
        <v>579</v>
      </c>
      <c r="Q1036">
        <v>1</v>
      </c>
      <c r="R1036">
        <v>3</v>
      </c>
      <c r="S1036">
        <v>106.672</v>
      </c>
      <c r="T1036">
        <v>18200000</v>
      </c>
      <c r="U1036">
        <v>18200000</v>
      </c>
      <c r="V1036">
        <v>1</v>
      </c>
      <c r="W1036">
        <v>9555</v>
      </c>
      <c r="X1036">
        <v>19414304</v>
      </c>
      <c r="Y1036">
        <v>19423859</v>
      </c>
    </row>
    <row r="1037" spans="1:25" x14ac:dyDescent="0.25">
      <c r="A1037">
        <v>59</v>
      </c>
      <c r="B1037" t="s">
        <v>2200</v>
      </c>
      <c r="C1037" t="s">
        <v>32</v>
      </c>
      <c r="D1037" t="s">
        <v>784</v>
      </c>
      <c r="E1037">
        <v>29877</v>
      </c>
      <c r="F1037" t="s">
        <v>785</v>
      </c>
      <c r="G1037" t="s">
        <v>786</v>
      </c>
      <c r="H1037" t="s">
        <v>787</v>
      </c>
      <c r="I1037" t="s">
        <v>786</v>
      </c>
      <c r="L1037" t="b">
        <v>0</v>
      </c>
      <c r="M1037" t="s">
        <v>112</v>
      </c>
      <c r="N1037" t="s">
        <v>32</v>
      </c>
      <c r="P1037" t="s">
        <v>579</v>
      </c>
      <c r="Q1037">
        <v>1</v>
      </c>
      <c r="R1037">
        <v>3</v>
      </c>
      <c r="S1037">
        <v>98.25</v>
      </c>
      <c r="T1037">
        <v>13022566</v>
      </c>
      <c r="U1037">
        <v>34726845</v>
      </c>
      <c r="V1037">
        <v>0.375</v>
      </c>
      <c r="W1037">
        <v>308924.2</v>
      </c>
      <c r="X1037">
        <v>12794671.09</v>
      </c>
      <c r="Y1037">
        <v>13103595.289999999</v>
      </c>
    </row>
    <row r="1038" spans="1:25" x14ac:dyDescent="0.25">
      <c r="A1038">
        <v>59</v>
      </c>
      <c r="B1038" t="s">
        <v>2200</v>
      </c>
      <c r="C1038" t="s">
        <v>32</v>
      </c>
      <c r="D1038" t="s">
        <v>1750</v>
      </c>
      <c r="E1038">
        <v>876</v>
      </c>
      <c r="F1038" t="s">
        <v>1751</v>
      </c>
      <c r="G1038" t="s">
        <v>1752</v>
      </c>
      <c r="H1038" t="s">
        <v>1753</v>
      </c>
      <c r="I1038" t="s">
        <v>1752</v>
      </c>
      <c r="L1038" t="b">
        <v>0</v>
      </c>
      <c r="M1038" t="s">
        <v>112</v>
      </c>
      <c r="N1038" t="s">
        <v>32</v>
      </c>
      <c r="P1038" t="s">
        <v>579</v>
      </c>
      <c r="Q1038">
        <v>1</v>
      </c>
      <c r="R1038">
        <v>3</v>
      </c>
      <c r="S1038">
        <v>99.75</v>
      </c>
      <c r="T1038">
        <v>1034762</v>
      </c>
      <c r="U1038">
        <v>4654798</v>
      </c>
      <c r="V1038">
        <v>0.2223</v>
      </c>
      <c r="W1038">
        <v>31535.09</v>
      </c>
      <c r="X1038">
        <v>1032175.1</v>
      </c>
      <c r="Y1038">
        <v>1063710.19</v>
      </c>
    </row>
    <row r="1039" spans="1:25" x14ac:dyDescent="0.25">
      <c r="A1039">
        <v>59</v>
      </c>
      <c r="B1039" t="s">
        <v>2200</v>
      </c>
      <c r="C1039" t="s">
        <v>32</v>
      </c>
      <c r="D1039" t="s">
        <v>1754</v>
      </c>
      <c r="E1039">
        <v>4002</v>
      </c>
      <c r="F1039" t="s">
        <v>1755</v>
      </c>
      <c r="G1039" t="s">
        <v>1756</v>
      </c>
      <c r="H1039" t="s">
        <v>1757</v>
      </c>
      <c r="I1039" t="s">
        <v>1758</v>
      </c>
      <c r="L1039" t="b">
        <v>1</v>
      </c>
      <c r="M1039" t="s">
        <v>112</v>
      </c>
      <c r="N1039" t="s">
        <v>32</v>
      </c>
      <c r="P1039" t="s">
        <v>579</v>
      </c>
      <c r="Q1039">
        <v>1</v>
      </c>
      <c r="R1039">
        <v>3</v>
      </c>
      <c r="S1039">
        <v>97.200999999999993</v>
      </c>
      <c r="T1039">
        <v>3746305</v>
      </c>
      <c r="U1039">
        <v>8117000</v>
      </c>
      <c r="V1039">
        <v>0.46150000000000002</v>
      </c>
      <c r="W1039">
        <v>78984.600000000006</v>
      </c>
      <c r="X1039">
        <v>3641445.9200000009</v>
      </c>
      <c r="Y1039">
        <v>3720430.5200000009</v>
      </c>
    </row>
    <row r="1040" spans="1:25" x14ac:dyDescent="0.25">
      <c r="A1040">
        <v>59</v>
      </c>
      <c r="B1040" t="s">
        <v>2200</v>
      </c>
      <c r="C1040" t="s">
        <v>32</v>
      </c>
      <c r="D1040" t="s">
        <v>1759</v>
      </c>
      <c r="E1040">
        <v>29843</v>
      </c>
      <c r="F1040" t="s">
        <v>1760</v>
      </c>
      <c r="G1040" t="s">
        <v>1761</v>
      </c>
      <c r="H1040" t="s">
        <v>184</v>
      </c>
      <c r="I1040" t="s">
        <v>1762</v>
      </c>
      <c r="J1040" t="s">
        <v>1760</v>
      </c>
      <c r="K1040" t="s">
        <v>1763</v>
      </c>
      <c r="L1040" t="b">
        <v>1</v>
      </c>
      <c r="M1040" t="s">
        <v>112</v>
      </c>
      <c r="N1040" t="s">
        <v>32</v>
      </c>
      <c r="P1040" t="s">
        <v>579</v>
      </c>
      <c r="Q1040">
        <v>1</v>
      </c>
      <c r="R1040">
        <v>3</v>
      </c>
      <c r="S1040">
        <v>98.33</v>
      </c>
      <c r="T1040">
        <v>1709697</v>
      </c>
      <c r="U1040">
        <v>1709697</v>
      </c>
      <c r="V1040">
        <v>1</v>
      </c>
      <c r="W1040">
        <v>58770.83</v>
      </c>
      <c r="X1040">
        <v>1681145.06</v>
      </c>
      <c r="Y1040">
        <v>1739915.89</v>
      </c>
    </row>
    <row r="1041" spans="1:25" x14ac:dyDescent="0.25">
      <c r="A1041">
        <v>59</v>
      </c>
      <c r="B1041" t="s">
        <v>2200</v>
      </c>
      <c r="C1041" t="s">
        <v>32</v>
      </c>
      <c r="D1041" t="s">
        <v>2239</v>
      </c>
      <c r="E1041">
        <v>950</v>
      </c>
      <c r="F1041" t="s">
        <v>2240</v>
      </c>
      <c r="G1041" t="s">
        <v>2241</v>
      </c>
      <c r="H1041" t="s">
        <v>184</v>
      </c>
      <c r="I1041" t="s">
        <v>2241</v>
      </c>
      <c r="L1041" t="b">
        <v>0</v>
      </c>
      <c r="M1041" t="s">
        <v>112</v>
      </c>
      <c r="N1041" t="s">
        <v>32</v>
      </c>
      <c r="P1041" t="s">
        <v>579</v>
      </c>
      <c r="Q1041">
        <v>1</v>
      </c>
      <c r="R1041">
        <v>3</v>
      </c>
      <c r="S1041">
        <v>156</v>
      </c>
      <c r="T1041">
        <v>22252</v>
      </c>
      <c r="U1041">
        <v>712168</v>
      </c>
      <c r="V1041">
        <v>3.1199999999999999E-2</v>
      </c>
      <c r="W1041">
        <v>0</v>
      </c>
      <c r="X1041">
        <v>34713.120000000017</v>
      </c>
      <c r="Y1041">
        <v>34713.120000000017</v>
      </c>
    </row>
    <row r="1042" spans="1:25" x14ac:dyDescent="0.25">
      <c r="A1042">
        <v>59</v>
      </c>
      <c r="B1042" t="s">
        <v>2200</v>
      </c>
      <c r="C1042" t="s">
        <v>32</v>
      </c>
      <c r="D1042" t="s">
        <v>1766</v>
      </c>
      <c r="E1042">
        <v>176138</v>
      </c>
      <c r="F1042" t="s">
        <v>1767</v>
      </c>
      <c r="G1042" t="s">
        <v>1768</v>
      </c>
      <c r="H1042" t="s">
        <v>184</v>
      </c>
      <c r="I1042" t="s">
        <v>1769</v>
      </c>
      <c r="J1042" t="s">
        <v>1767</v>
      </c>
      <c r="K1042" t="s">
        <v>1770</v>
      </c>
      <c r="L1042" t="b">
        <v>1</v>
      </c>
      <c r="M1042" t="s">
        <v>112</v>
      </c>
      <c r="N1042" t="s">
        <v>32</v>
      </c>
      <c r="P1042" t="s">
        <v>579</v>
      </c>
      <c r="Q1042">
        <v>1</v>
      </c>
      <c r="R1042">
        <v>3</v>
      </c>
      <c r="S1042">
        <v>107.02500499999999</v>
      </c>
      <c r="T1042">
        <v>36750000</v>
      </c>
      <c r="U1042">
        <v>36750000</v>
      </c>
      <c r="V1042">
        <v>1</v>
      </c>
      <c r="W1042">
        <v>288640.63</v>
      </c>
      <c r="X1042">
        <v>39331689.340000004</v>
      </c>
      <c r="Y1042">
        <v>39620329.969999999</v>
      </c>
    </row>
    <row r="1043" spans="1:25" x14ac:dyDescent="0.25">
      <c r="A1043">
        <v>59</v>
      </c>
      <c r="B1043" t="s">
        <v>2200</v>
      </c>
      <c r="C1043" t="s">
        <v>32</v>
      </c>
      <c r="D1043" t="s">
        <v>1771</v>
      </c>
      <c r="E1043">
        <v>981</v>
      </c>
      <c r="F1043" t="s">
        <v>1772</v>
      </c>
      <c r="G1043" t="s">
        <v>1773</v>
      </c>
      <c r="H1043" t="s">
        <v>1774</v>
      </c>
      <c r="I1043" t="s">
        <v>1775</v>
      </c>
      <c r="L1043" t="b">
        <v>1</v>
      </c>
      <c r="M1043" t="s">
        <v>112</v>
      </c>
      <c r="N1043" t="s">
        <v>32</v>
      </c>
      <c r="P1043" t="s">
        <v>579</v>
      </c>
      <c r="Q1043">
        <v>1</v>
      </c>
      <c r="R1043">
        <v>3</v>
      </c>
      <c r="S1043">
        <v>98.375</v>
      </c>
      <c r="T1043">
        <v>17260562</v>
      </c>
      <c r="U1043">
        <v>38836262</v>
      </c>
      <c r="V1043">
        <v>0.44440000000000002</v>
      </c>
      <c r="W1043">
        <v>464776.58</v>
      </c>
      <c r="X1043">
        <v>16980077.859999999</v>
      </c>
      <c r="Y1043">
        <v>17444854.440000001</v>
      </c>
    </row>
    <row r="1044" spans="1:25" x14ac:dyDescent="0.25">
      <c r="A1044">
        <v>59</v>
      </c>
      <c r="B1044" t="s">
        <v>2200</v>
      </c>
      <c r="C1044" t="s">
        <v>32</v>
      </c>
      <c r="D1044" t="s">
        <v>1776</v>
      </c>
      <c r="E1044">
        <v>1068</v>
      </c>
      <c r="F1044" t="s">
        <v>1777</v>
      </c>
      <c r="G1044" t="s">
        <v>1778</v>
      </c>
      <c r="H1044" t="s">
        <v>1779</v>
      </c>
      <c r="I1044" t="s">
        <v>1780</v>
      </c>
      <c r="L1044" t="b">
        <v>1</v>
      </c>
      <c r="M1044" t="s">
        <v>112</v>
      </c>
      <c r="N1044" t="s">
        <v>32</v>
      </c>
      <c r="P1044" t="s">
        <v>579</v>
      </c>
      <c r="Q1044">
        <v>1</v>
      </c>
      <c r="R1044">
        <v>3</v>
      </c>
      <c r="S1044">
        <v>100.25</v>
      </c>
      <c r="T1044">
        <v>1658381</v>
      </c>
      <c r="U1044">
        <v>4422344</v>
      </c>
      <c r="V1044">
        <v>0.375</v>
      </c>
      <c r="W1044">
        <v>23493.72</v>
      </c>
      <c r="X1044">
        <v>1662526.97</v>
      </c>
      <c r="Y1044">
        <v>1686020.69</v>
      </c>
    </row>
    <row r="1045" spans="1:25" x14ac:dyDescent="0.25">
      <c r="A1045">
        <v>65</v>
      </c>
      <c r="B1045" t="s">
        <v>2242</v>
      </c>
      <c r="C1045" t="s">
        <v>32</v>
      </c>
      <c r="D1045" t="s">
        <v>2201</v>
      </c>
      <c r="E1045">
        <v>152596</v>
      </c>
      <c r="F1045" t="s">
        <v>726</v>
      </c>
      <c r="G1045" t="s">
        <v>2202</v>
      </c>
      <c r="H1045" t="s">
        <v>724</v>
      </c>
      <c r="I1045" t="s">
        <v>725</v>
      </c>
      <c r="J1045" t="s">
        <v>722</v>
      </c>
      <c r="K1045" t="s">
        <v>722</v>
      </c>
      <c r="L1045" t="b">
        <v>1</v>
      </c>
      <c r="M1045" t="s">
        <v>81</v>
      </c>
      <c r="N1045" t="s">
        <v>32</v>
      </c>
      <c r="P1045" t="s">
        <v>579</v>
      </c>
      <c r="Q1045">
        <v>1</v>
      </c>
      <c r="R1045">
        <v>3</v>
      </c>
      <c r="S1045">
        <v>98.257000000000005</v>
      </c>
      <c r="T1045">
        <v>1513327</v>
      </c>
      <c r="U1045">
        <v>1513327</v>
      </c>
      <c r="V1045">
        <v>1</v>
      </c>
      <c r="W1045">
        <v>18244</v>
      </c>
      <c r="X1045">
        <v>1486949.71</v>
      </c>
      <c r="Y1045">
        <v>1505193.71</v>
      </c>
    </row>
    <row r="1046" spans="1:25" x14ac:dyDescent="0.25">
      <c r="A1046">
        <v>65</v>
      </c>
      <c r="B1046" t="s">
        <v>2242</v>
      </c>
      <c r="C1046" t="s">
        <v>32</v>
      </c>
      <c r="D1046" t="s">
        <v>2203</v>
      </c>
      <c r="E1046">
        <v>35667</v>
      </c>
      <c r="F1046" t="s">
        <v>739</v>
      </c>
      <c r="G1046" t="s">
        <v>2204</v>
      </c>
      <c r="H1046" t="s">
        <v>730</v>
      </c>
      <c r="I1046" t="s">
        <v>738</v>
      </c>
      <c r="J1046" t="s">
        <v>736</v>
      </c>
      <c r="K1046" t="s">
        <v>736</v>
      </c>
      <c r="L1046" t="b">
        <v>1</v>
      </c>
      <c r="M1046" t="s">
        <v>39</v>
      </c>
      <c r="N1046" t="s">
        <v>32</v>
      </c>
      <c r="P1046" t="s">
        <v>579</v>
      </c>
      <c r="Q1046">
        <v>1</v>
      </c>
      <c r="R1046">
        <v>3</v>
      </c>
      <c r="S1046">
        <v>100</v>
      </c>
      <c r="T1046">
        <v>3502254</v>
      </c>
      <c r="U1046">
        <v>3660000</v>
      </c>
      <c r="V1046">
        <v>0.95689999999999997</v>
      </c>
      <c r="W1046">
        <v>41467.660000000003</v>
      </c>
      <c r="X1046">
        <v>3502254</v>
      </c>
      <c r="Y1046">
        <v>3543721.66</v>
      </c>
    </row>
    <row r="1047" spans="1:25" x14ac:dyDescent="0.25">
      <c r="A1047">
        <v>65</v>
      </c>
      <c r="B1047" t="s">
        <v>2242</v>
      </c>
      <c r="C1047" t="s">
        <v>32</v>
      </c>
      <c r="D1047" t="s">
        <v>746</v>
      </c>
      <c r="E1047">
        <v>36160</v>
      </c>
      <c r="F1047" t="s">
        <v>745</v>
      </c>
      <c r="G1047" t="s">
        <v>744</v>
      </c>
      <c r="H1047" t="s">
        <v>743</v>
      </c>
      <c r="I1047" t="s">
        <v>744</v>
      </c>
      <c r="J1047" t="s">
        <v>741</v>
      </c>
      <c r="K1047" t="s">
        <v>741</v>
      </c>
      <c r="L1047" t="b">
        <v>0</v>
      </c>
      <c r="M1047" t="s">
        <v>31</v>
      </c>
      <c r="N1047" t="s">
        <v>32</v>
      </c>
      <c r="P1047" t="s">
        <v>579</v>
      </c>
      <c r="Q1047">
        <v>1</v>
      </c>
      <c r="R1047">
        <v>3</v>
      </c>
      <c r="S1047">
        <v>102.7582</v>
      </c>
      <c r="T1047">
        <v>392590</v>
      </c>
      <c r="U1047">
        <v>490000</v>
      </c>
      <c r="V1047">
        <v>0.80120000000000002</v>
      </c>
      <c r="W1047">
        <v>1472.21</v>
      </c>
      <c r="X1047">
        <v>403418.42</v>
      </c>
      <c r="Y1047">
        <v>404890.63</v>
      </c>
    </row>
    <row r="1048" spans="1:25" x14ac:dyDescent="0.25">
      <c r="A1048">
        <v>65</v>
      </c>
      <c r="B1048" t="s">
        <v>2242</v>
      </c>
      <c r="C1048" t="s">
        <v>32</v>
      </c>
      <c r="D1048" t="s">
        <v>747</v>
      </c>
      <c r="E1048">
        <v>106547</v>
      </c>
      <c r="F1048" t="s">
        <v>748</v>
      </c>
      <c r="G1048" t="s">
        <v>749</v>
      </c>
      <c r="H1048" t="s">
        <v>750</v>
      </c>
      <c r="I1048" t="s">
        <v>751</v>
      </c>
      <c r="L1048" t="b">
        <v>1</v>
      </c>
      <c r="M1048" t="s">
        <v>31</v>
      </c>
      <c r="N1048" t="s">
        <v>32</v>
      </c>
      <c r="P1048" t="s">
        <v>579</v>
      </c>
      <c r="Q1048">
        <v>1</v>
      </c>
      <c r="R1048">
        <v>3</v>
      </c>
      <c r="S1048">
        <v>97.332144999999997</v>
      </c>
      <c r="T1048">
        <v>400000</v>
      </c>
      <c r="U1048">
        <v>400000</v>
      </c>
      <c r="V1048">
        <v>1</v>
      </c>
      <c r="W1048">
        <v>1100</v>
      </c>
      <c r="X1048">
        <v>389328.58</v>
      </c>
      <c r="Y1048">
        <v>390428.58</v>
      </c>
    </row>
    <row r="1049" spans="1:25" x14ac:dyDescent="0.25">
      <c r="A1049">
        <v>65</v>
      </c>
      <c r="B1049" t="s">
        <v>2242</v>
      </c>
      <c r="C1049" t="s">
        <v>32</v>
      </c>
      <c r="D1049" t="s">
        <v>2243</v>
      </c>
      <c r="E1049">
        <v>137444</v>
      </c>
      <c r="F1049" t="s">
        <v>757</v>
      </c>
      <c r="G1049" t="s">
        <v>2244</v>
      </c>
      <c r="H1049" t="s">
        <v>755</v>
      </c>
      <c r="I1049" t="s">
        <v>756</v>
      </c>
      <c r="J1049" t="s">
        <v>753</v>
      </c>
      <c r="K1049" t="s">
        <v>753</v>
      </c>
      <c r="L1049" t="b">
        <v>1</v>
      </c>
      <c r="M1049" t="s">
        <v>681</v>
      </c>
      <c r="N1049" t="s">
        <v>32</v>
      </c>
      <c r="P1049" t="s">
        <v>579</v>
      </c>
      <c r="Q1049">
        <v>1</v>
      </c>
      <c r="R1049">
        <v>3</v>
      </c>
      <c r="S1049">
        <v>102.574</v>
      </c>
      <c r="T1049">
        <v>590000</v>
      </c>
      <c r="U1049">
        <v>590000</v>
      </c>
      <c r="V1049">
        <v>1</v>
      </c>
      <c r="W1049">
        <v>3556.39</v>
      </c>
      <c r="X1049">
        <v>605186.6</v>
      </c>
      <c r="Y1049">
        <v>608742.99</v>
      </c>
    </row>
    <row r="1050" spans="1:25" x14ac:dyDescent="0.25">
      <c r="A1050">
        <v>65</v>
      </c>
      <c r="B1050" t="s">
        <v>2242</v>
      </c>
      <c r="C1050" t="s">
        <v>32</v>
      </c>
      <c r="D1050" t="s">
        <v>758</v>
      </c>
      <c r="E1050">
        <v>444</v>
      </c>
      <c r="F1050" t="s">
        <v>759</v>
      </c>
      <c r="G1050" t="s">
        <v>760</v>
      </c>
      <c r="H1050" t="s">
        <v>761</v>
      </c>
      <c r="I1050" t="s">
        <v>762</v>
      </c>
      <c r="J1050" t="s">
        <v>759</v>
      </c>
      <c r="K1050" t="s">
        <v>763</v>
      </c>
      <c r="L1050" t="b">
        <v>1</v>
      </c>
      <c r="M1050" t="s">
        <v>112</v>
      </c>
      <c r="N1050" t="s">
        <v>32</v>
      </c>
      <c r="P1050" t="s">
        <v>579</v>
      </c>
      <c r="Q1050">
        <v>1</v>
      </c>
      <c r="R1050">
        <v>3</v>
      </c>
      <c r="S1050">
        <v>100</v>
      </c>
      <c r="T1050">
        <v>18750</v>
      </c>
      <c r="U1050">
        <v>200000</v>
      </c>
      <c r="V1050">
        <v>9.3799999999999994E-2</v>
      </c>
      <c r="W1050">
        <v>322.27</v>
      </c>
      <c r="X1050">
        <v>18750</v>
      </c>
      <c r="Y1050">
        <v>19072.27</v>
      </c>
    </row>
    <row r="1051" spans="1:25" x14ac:dyDescent="0.25">
      <c r="A1051">
        <v>65</v>
      </c>
      <c r="B1051" t="s">
        <v>2242</v>
      </c>
      <c r="C1051" t="s">
        <v>32</v>
      </c>
      <c r="D1051" t="s">
        <v>764</v>
      </c>
      <c r="E1051">
        <v>3902</v>
      </c>
      <c r="F1051" t="s">
        <v>765</v>
      </c>
      <c r="G1051" t="s">
        <v>766</v>
      </c>
      <c r="H1051" t="s">
        <v>761</v>
      </c>
      <c r="I1051" t="s">
        <v>762</v>
      </c>
      <c r="J1051" t="s">
        <v>759</v>
      </c>
      <c r="K1051" t="s">
        <v>767</v>
      </c>
      <c r="L1051" t="b">
        <v>1</v>
      </c>
      <c r="M1051" t="s">
        <v>112</v>
      </c>
      <c r="N1051" t="s">
        <v>32</v>
      </c>
      <c r="P1051" t="s">
        <v>579</v>
      </c>
      <c r="Q1051">
        <v>1</v>
      </c>
      <c r="R1051">
        <v>3</v>
      </c>
      <c r="S1051">
        <v>99.999994999999998</v>
      </c>
      <c r="T1051">
        <v>32492</v>
      </c>
      <c r="U1051">
        <v>260075</v>
      </c>
      <c r="V1051">
        <v>0.1249</v>
      </c>
      <c r="W1051">
        <v>558.44999999999993</v>
      </c>
      <c r="X1051">
        <v>32491.999999999989</v>
      </c>
      <c r="Y1051">
        <v>33050.44999999999</v>
      </c>
    </row>
    <row r="1052" spans="1:25" x14ac:dyDescent="0.25">
      <c r="A1052">
        <v>65</v>
      </c>
      <c r="B1052" t="s">
        <v>2242</v>
      </c>
      <c r="C1052" t="s">
        <v>32</v>
      </c>
      <c r="D1052" t="s">
        <v>795</v>
      </c>
      <c r="E1052">
        <v>35456</v>
      </c>
      <c r="F1052" t="s">
        <v>796</v>
      </c>
      <c r="G1052" t="s">
        <v>797</v>
      </c>
      <c r="H1052" t="s">
        <v>761</v>
      </c>
      <c r="I1052" t="s">
        <v>797</v>
      </c>
      <c r="L1052" t="b">
        <v>0</v>
      </c>
      <c r="M1052" t="s">
        <v>112</v>
      </c>
      <c r="N1052" t="s">
        <v>32</v>
      </c>
      <c r="P1052" t="s">
        <v>579</v>
      </c>
      <c r="Q1052">
        <v>1</v>
      </c>
      <c r="R1052">
        <v>3</v>
      </c>
      <c r="S1052">
        <v>98.937286999999998</v>
      </c>
      <c r="T1052">
        <v>117376</v>
      </c>
      <c r="U1052">
        <v>160000</v>
      </c>
      <c r="V1052">
        <v>0.73360000000000003</v>
      </c>
      <c r="W1052">
        <v>2787.68</v>
      </c>
      <c r="X1052">
        <v>116128.63</v>
      </c>
      <c r="Y1052">
        <v>118916.31</v>
      </c>
    </row>
    <row r="1053" spans="1:25" x14ac:dyDescent="0.25">
      <c r="A1053">
        <v>65</v>
      </c>
      <c r="B1053" t="s">
        <v>2242</v>
      </c>
      <c r="C1053" t="s">
        <v>32</v>
      </c>
      <c r="D1053" t="s">
        <v>2245</v>
      </c>
      <c r="E1053">
        <v>152072</v>
      </c>
      <c r="F1053" t="s">
        <v>802</v>
      </c>
      <c r="G1053" t="s">
        <v>2246</v>
      </c>
      <c r="H1053" t="s">
        <v>362</v>
      </c>
      <c r="I1053" t="s">
        <v>801</v>
      </c>
      <c r="J1053" t="s">
        <v>799</v>
      </c>
      <c r="K1053" t="s">
        <v>799</v>
      </c>
      <c r="L1053" t="b">
        <v>1</v>
      </c>
      <c r="M1053" t="s">
        <v>44</v>
      </c>
      <c r="N1053" t="s">
        <v>32</v>
      </c>
      <c r="P1053" t="s">
        <v>579</v>
      </c>
      <c r="Q1053">
        <v>1</v>
      </c>
      <c r="R1053">
        <v>3</v>
      </c>
      <c r="S1053">
        <v>100.898</v>
      </c>
      <c r="T1053">
        <v>1010000</v>
      </c>
      <c r="U1053">
        <v>1010000</v>
      </c>
      <c r="V1053">
        <v>1</v>
      </c>
      <c r="W1053">
        <v>17590.830000000002</v>
      </c>
      <c r="X1053">
        <v>1019069.8</v>
      </c>
      <c r="Y1053">
        <v>1036660.63</v>
      </c>
    </row>
    <row r="1054" spans="1:25" x14ac:dyDescent="0.25">
      <c r="A1054">
        <v>65</v>
      </c>
      <c r="B1054" t="s">
        <v>2242</v>
      </c>
      <c r="C1054" t="s">
        <v>32</v>
      </c>
      <c r="D1054" t="s">
        <v>2247</v>
      </c>
      <c r="E1054">
        <v>152070</v>
      </c>
      <c r="F1054" t="s">
        <v>364</v>
      </c>
      <c r="G1054" t="s">
        <v>2248</v>
      </c>
      <c r="H1054" t="s">
        <v>362</v>
      </c>
      <c r="I1054" t="s">
        <v>363</v>
      </c>
      <c r="J1054" t="s">
        <v>360</v>
      </c>
      <c r="K1054" t="s">
        <v>360</v>
      </c>
      <c r="L1054" t="b">
        <v>1</v>
      </c>
      <c r="M1054" t="s">
        <v>44</v>
      </c>
      <c r="N1054" t="s">
        <v>32</v>
      </c>
      <c r="P1054" t="s">
        <v>579</v>
      </c>
      <c r="Q1054">
        <v>1</v>
      </c>
      <c r="R1054">
        <v>3</v>
      </c>
      <c r="S1054">
        <v>101</v>
      </c>
      <c r="T1054">
        <v>820000</v>
      </c>
      <c r="U1054">
        <v>820000</v>
      </c>
      <c r="V1054">
        <v>1</v>
      </c>
      <c r="W1054">
        <v>14930.83</v>
      </c>
      <c r="X1054">
        <v>828200</v>
      </c>
      <c r="Y1054">
        <v>843130.83</v>
      </c>
    </row>
    <row r="1055" spans="1:25" x14ac:dyDescent="0.25">
      <c r="A1055">
        <v>65</v>
      </c>
      <c r="B1055" t="s">
        <v>2242</v>
      </c>
      <c r="C1055" t="s">
        <v>32</v>
      </c>
      <c r="D1055" t="s">
        <v>2249</v>
      </c>
      <c r="E1055">
        <v>227437</v>
      </c>
      <c r="F1055" t="s">
        <v>812</v>
      </c>
      <c r="G1055" t="s">
        <v>2250</v>
      </c>
      <c r="H1055" t="s">
        <v>806</v>
      </c>
      <c r="I1055" t="s">
        <v>811</v>
      </c>
      <c r="J1055" t="s">
        <v>809</v>
      </c>
      <c r="K1055" t="s">
        <v>809</v>
      </c>
      <c r="L1055" t="b">
        <v>1</v>
      </c>
      <c r="M1055" t="s">
        <v>681</v>
      </c>
      <c r="N1055" t="s">
        <v>32</v>
      </c>
      <c r="P1055" t="s">
        <v>579</v>
      </c>
      <c r="Q1055">
        <v>1</v>
      </c>
      <c r="R1055">
        <v>3</v>
      </c>
      <c r="S1055">
        <v>100.53448</v>
      </c>
      <c r="T1055">
        <v>500000</v>
      </c>
      <c r="U1055">
        <v>500000</v>
      </c>
      <c r="V1055">
        <v>1</v>
      </c>
      <c r="W1055">
        <v>0</v>
      </c>
      <c r="X1055">
        <v>502672.4</v>
      </c>
      <c r="Y1055">
        <v>502672.4</v>
      </c>
    </row>
    <row r="1056" spans="1:25" x14ac:dyDescent="0.25">
      <c r="A1056">
        <v>65</v>
      </c>
      <c r="B1056" t="s">
        <v>2242</v>
      </c>
      <c r="C1056" t="s">
        <v>32</v>
      </c>
      <c r="D1056" t="s">
        <v>2251</v>
      </c>
      <c r="E1056">
        <v>133013</v>
      </c>
      <c r="F1056" t="s">
        <v>2252</v>
      </c>
      <c r="G1056" t="s">
        <v>2253</v>
      </c>
      <c r="H1056" t="s">
        <v>816</v>
      </c>
      <c r="I1056" t="s">
        <v>2254</v>
      </c>
      <c r="L1056" t="b">
        <v>1</v>
      </c>
      <c r="M1056" t="s">
        <v>112</v>
      </c>
      <c r="N1056" t="s">
        <v>32</v>
      </c>
      <c r="P1056" t="s">
        <v>579</v>
      </c>
      <c r="Q1056">
        <v>1</v>
      </c>
      <c r="R1056">
        <v>3</v>
      </c>
      <c r="S1056">
        <v>100.96867</v>
      </c>
      <c r="T1056">
        <v>345000</v>
      </c>
      <c r="U1056">
        <v>460000</v>
      </c>
      <c r="V1056">
        <v>0.75</v>
      </c>
      <c r="W1056">
        <v>13929.37</v>
      </c>
      <c r="X1056">
        <v>348341.91</v>
      </c>
      <c r="Y1056">
        <v>362271.28</v>
      </c>
    </row>
    <row r="1057" spans="1:25" x14ac:dyDescent="0.25">
      <c r="A1057">
        <v>65</v>
      </c>
      <c r="B1057" t="s">
        <v>2242</v>
      </c>
      <c r="C1057" t="s">
        <v>32</v>
      </c>
      <c r="D1057" t="s">
        <v>813</v>
      </c>
      <c r="E1057">
        <v>116573</v>
      </c>
      <c r="F1057" t="s">
        <v>814</v>
      </c>
      <c r="G1057" t="s">
        <v>815</v>
      </c>
      <c r="H1057" t="s">
        <v>816</v>
      </c>
      <c r="I1057" t="s">
        <v>817</v>
      </c>
      <c r="L1057" t="b">
        <v>1</v>
      </c>
      <c r="M1057" t="s">
        <v>112</v>
      </c>
      <c r="N1057" t="s">
        <v>32</v>
      </c>
      <c r="P1057" t="s">
        <v>579</v>
      </c>
      <c r="Q1057">
        <v>1</v>
      </c>
      <c r="R1057">
        <v>3</v>
      </c>
      <c r="S1057">
        <v>100.968667</v>
      </c>
      <c r="T1057">
        <v>37500</v>
      </c>
      <c r="U1057">
        <v>50000</v>
      </c>
      <c r="V1057">
        <v>0.75</v>
      </c>
      <c r="W1057">
        <v>1523.96</v>
      </c>
      <c r="X1057">
        <v>37863.25</v>
      </c>
      <c r="Y1057">
        <v>39387.21</v>
      </c>
    </row>
    <row r="1058" spans="1:25" x14ac:dyDescent="0.25">
      <c r="A1058">
        <v>65</v>
      </c>
      <c r="B1058" t="s">
        <v>2242</v>
      </c>
      <c r="C1058" t="s">
        <v>32</v>
      </c>
      <c r="D1058" t="s">
        <v>828</v>
      </c>
      <c r="E1058">
        <v>452</v>
      </c>
      <c r="F1058" t="s">
        <v>829</v>
      </c>
      <c r="G1058" t="s">
        <v>830</v>
      </c>
      <c r="H1058" t="s">
        <v>826</v>
      </c>
      <c r="I1058" t="s">
        <v>831</v>
      </c>
      <c r="L1058" t="b">
        <v>1</v>
      </c>
      <c r="M1058" t="s">
        <v>81</v>
      </c>
      <c r="N1058" t="s">
        <v>32</v>
      </c>
      <c r="P1058" t="s">
        <v>579</v>
      </c>
      <c r="Q1058">
        <v>1</v>
      </c>
      <c r="R1058">
        <v>3</v>
      </c>
      <c r="S1058">
        <v>102.3175</v>
      </c>
      <c r="T1058">
        <v>245335</v>
      </c>
      <c r="U1058">
        <v>460000</v>
      </c>
      <c r="V1058">
        <v>0.5333</v>
      </c>
      <c r="W1058">
        <v>2351.13</v>
      </c>
      <c r="X1058">
        <v>251020.64</v>
      </c>
      <c r="Y1058">
        <v>253371.77</v>
      </c>
    </row>
    <row r="1059" spans="1:25" x14ac:dyDescent="0.25">
      <c r="A1059">
        <v>65</v>
      </c>
      <c r="B1059" t="s">
        <v>2242</v>
      </c>
      <c r="C1059" t="s">
        <v>32</v>
      </c>
      <c r="D1059" t="s">
        <v>832</v>
      </c>
      <c r="E1059">
        <v>88647</v>
      </c>
      <c r="F1059" t="s">
        <v>833</v>
      </c>
      <c r="G1059" t="s">
        <v>834</v>
      </c>
      <c r="H1059" t="s">
        <v>835</v>
      </c>
      <c r="I1059" t="s">
        <v>834</v>
      </c>
      <c r="L1059" t="b">
        <v>0</v>
      </c>
      <c r="M1059" t="s">
        <v>50</v>
      </c>
      <c r="N1059" t="s">
        <v>32</v>
      </c>
      <c r="P1059" t="s">
        <v>579</v>
      </c>
      <c r="Q1059">
        <v>1</v>
      </c>
      <c r="R1059">
        <v>3</v>
      </c>
      <c r="S1059">
        <v>8.0000020000000003</v>
      </c>
      <c r="T1059">
        <v>151372</v>
      </c>
      <c r="U1059">
        <v>151372</v>
      </c>
      <c r="V1059">
        <v>1</v>
      </c>
      <c r="W1059">
        <v>891.42</v>
      </c>
      <c r="X1059">
        <v>12109.76</v>
      </c>
      <c r="Y1059">
        <v>13001.18</v>
      </c>
    </row>
    <row r="1060" spans="1:25" x14ac:dyDescent="0.25">
      <c r="A1060">
        <v>65</v>
      </c>
      <c r="B1060" t="s">
        <v>2242</v>
      </c>
      <c r="C1060" t="s">
        <v>32</v>
      </c>
      <c r="D1060" t="s">
        <v>2255</v>
      </c>
      <c r="E1060">
        <v>160293</v>
      </c>
      <c r="F1060" t="s">
        <v>374</v>
      </c>
      <c r="G1060" t="s">
        <v>2256</v>
      </c>
      <c r="H1060" t="s">
        <v>372</v>
      </c>
      <c r="I1060" t="s">
        <v>373</v>
      </c>
      <c r="J1060" t="s">
        <v>370</v>
      </c>
      <c r="K1060" t="s">
        <v>370</v>
      </c>
      <c r="L1060" t="b">
        <v>1</v>
      </c>
      <c r="M1060" t="s">
        <v>81</v>
      </c>
      <c r="N1060" t="s">
        <v>32</v>
      </c>
      <c r="P1060" t="s">
        <v>579</v>
      </c>
      <c r="Q1060">
        <v>1</v>
      </c>
      <c r="R1060">
        <v>3</v>
      </c>
      <c r="S1060">
        <v>102.160719</v>
      </c>
      <c r="T1060">
        <v>370000</v>
      </c>
      <c r="U1060">
        <v>370000</v>
      </c>
      <c r="V1060">
        <v>1</v>
      </c>
      <c r="W1060">
        <v>14406.88</v>
      </c>
      <c r="X1060">
        <v>377994.66</v>
      </c>
      <c r="Y1060">
        <v>392401.54</v>
      </c>
    </row>
    <row r="1061" spans="1:25" x14ac:dyDescent="0.25">
      <c r="A1061">
        <v>65</v>
      </c>
      <c r="B1061" t="s">
        <v>2242</v>
      </c>
      <c r="C1061" t="s">
        <v>32</v>
      </c>
      <c r="D1061" t="s">
        <v>839</v>
      </c>
      <c r="E1061">
        <v>116576</v>
      </c>
      <c r="F1061" t="s">
        <v>840</v>
      </c>
      <c r="G1061" t="s">
        <v>841</v>
      </c>
      <c r="H1061" t="s">
        <v>378</v>
      </c>
      <c r="I1061" t="s">
        <v>842</v>
      </c>
      <c r="L1061" t="b">
        <v>1</v>
      </c>
      <c r="M1061" t="s">
        <v>61</v>
      </c>
      <c r="N1061" t="s">
        <v>32</v>
      </c>
      <c r="P1061" t="s">
        <v>579</v>
      </c>
      <c r="Q1061">
        <v>1</v>
      </c>
      <c r="R1061">
        <v>3</v>
      </c>
      <c r="S1061">
        <v>105.880011</v>
      </c>
      <c r="T1061">
        <v>90000</v>
      </c>
      <c r="U1061">
        <v>90000</v>
      </c>
      <c r="V1061">
        <v>1</v>
      </c>
      <c r="W1061">
        <v>1150</v>
      </c>
      <c r="X1061">
        <v>95292.01</v>
      </c>
      <c r="Y1061">
        <v>96442.01</v>
      </c>
    </row>
    <row r="1062" spans="1:25" x14ac:dyDescent="0.25">
      <c r="A1062">
        <v>65</v>
      </c>
      <c r="B1062" t="s">
        <v>2242</v>
      </c>
      <c r="C1062" t="s">
        <v>32</v>
      </c>
      <c r="D1062" t="s">
        <v>2257</v>
      </c>
      <c r="E1062">
        <v>193916</v>
      </c>
      <c r="F1062" t="s">
        <v>380</v>
      </c>
      <c r="G1062" t="s">
        <v>2258</v>
      </c>
      <c r="H1062" t="s">
        <v>378</v>
      </c>
      <c r="I1062" t="s">
        <v>379</v>
      </c>
      <c r="J1062" t="s">
        <v>376</v>
      </c>
      <c r="K1062" t="s">
        <v>376</v>
      </c>
      <c r="L1062" t="b">
        <v>1</v>
      </c>
      <c r="M1062" t="s">
        <v>61</v>
      </c>
      <c r="N1062" t="s">
        <v>32</v>
      </c>
      <c r="P1062" t="s">
        <v>579</v>
      </c>
      <c r="Q1062">
        <v>1</v>
      </c>
      <c r="R1062">
        <v>3</v>
      </c>
      <c r="S1062">
        <v>99.787499999999994</v>
      </c>
      <c r="T1062">
        <v>500000</v>
      </c>
      <c r="U1062">
        <v>500000</v>
      </c>
      <c r="V1062">
        <v>1</v>
      </c>
      <c r="W1062">
        <v>10329.86</v>
      </c>
      <c r="X1062">
        <v>498937.5</v>
      </c>
      <c r="Y1062">
        <v>509267.36</v>
      </c>
    </row>
    <row r="1063" spans="1:25" x14ac:dyDescent="0.25">
      <c r="A1063">
        <v>65</v>
      </c>
      <c r="B1063" t="s">
        <v>2242</v>
      </c>
      <c r="C1063" t="s">
        <v>32</v>
      </c>
      <c r="D1063" t="s">
        <v>843</v>
      </c>
      <c r="E1063">
        <v>492</v>
      </c>
      <c r="F1063" t="s">
        <v>844</v>
      </c>
      <c r="G1063" t="s">
        <v>845</v>
      </c>
      <c r="H1063" t="s">
        <v>846</v>
      </c>
      <c r="I1063" t="s">
        <v>847</v>
      </c>
      <c r="L1063" t="b">
        <v>1</v>
      </c>
      <c r="M1063" t="s">
        <v>848</v>
      </c>
      <c r="N1063" t="s">
        <v>32</v>
      </c>
      <c r="P1063" t="s">
        <v>579</v>
      </c>
      <c r="Q1063">
        <v>1</v>
      </c>
      <c r="R1063">
        <v>3</v>
      </c>
      <c r="S1063">
        <v>99.937000999999995</v>
      </c>
      <c r="T1063">
        <v>286623</v>
      </c>
      <c r="U1063">
        <v>530000</v>
      </c>
      <c r="V1063">
        <v>0.54079999999999995</v>
      </c>
      <c r="W1063">
        <v>1820.26</v>
      </c>
      <c r="X1063">
        <v>286442.43</v>
      </c>
      <c r="Y1063">
        <v>288262.69</v>
      </c>
    </row>
    <row r="1064" spans="1:25" x14ac:dyDescent="0.25">
      <c r="A1064">
        <v>65</v>
      </c>
      <c r="B1064" t="s">
        <v>2242</v>
      </c>
      <c r="C1064" t="s">
        <v>32</v>
      </c>
      <c r="D1064" t="s">
        <v>2259</v>
      </c>
      <c r="E1064">
        <v>223115</v>
      </c>
      <c r="F1064" t="s">
        <v>386</v>
      </c>
      <c r="G1064" t="s">
        <v>2260</v>
      </c>
      <c r="H1064" t="s">
        <v>384</v>
      </c>
      <c r="I1064" t="s">
        <v>385</v>
      </c>
      <c r="J1064" t="s">
        <v>382</v>
      </c>
      <c r="K1064" t="s">
        <v>382</v>
      </c>
      <c r="L1064" t="b">
        <v>1</v>
      </c>
      <c r="M1064" t="s">
        <v>81</v>
      </c>
      <c r="N1064" t="s">
        <v>32</v>
      </c>
      <c r="P1064" t="s">
        <v>579</v>
      </c>
      <c r="Q1064">
        <v>1</v>
      </c>
      <c r="R1064">
        <v>3</v>
      </c>
      <c r="S1064">
        <v>93.867999999999995</v>
      </c>
      <c r="T1064">
        <v>500000</v>
      </c>
      <c r="U1064">
        <v>500000</v>
      </c>
      <c r="V1064">
        <v>1</v>
      </c>
      <c r="W1064">
        <v>3416.67</v>
      </c>
      <c r="X1064">
        <v>469340</v>
      </c>
      <c r="Y1064">
        <v>472756.67</v>
      </c>
    </row>
    <row r="1065" spans="1:25" x14ac:dyDescent="0.25">
      <c r="A1065">
        <v>65</v>
      </c>
      <c r="B1065" t="s">
        <v>2242</v>
      </c>
      <c r="C1065" t="s">
        <v>32</v>
      </c>
      <c r="D1065" t="s">
        <v>2261</v>
      </c>
      <c r="E1065">
        <v>202699</v>
      </c>
      <c r="F1065" t="s">
        <v>391</v>
      </c>
      <c r="G1065" t="s">
        <v>2262</v>
      </c>
      <c r="H1065" t="s">
        <v>384</v>
      </c>
      <c r="I1065" t="s">
        <v>390</v>
      </c>
      <c r="J1065" t="s">
        <v>388</v>
      </c>
      <c r="K1065" t="s">
        <v>388</v>
      </c>
      <c r="L1065" t="b">
        <v>1</v>
      </c>
      <c r="M1065" t="s">
        <v>81</v>
      </c>
      <c r="N1065" t="s">
        <v>32</v>
      </c>
      <c r="P1065" t="s">
        <v>579</v>
      </c>
      <c r="Q1065">
        <v>1</v>
      </c>
      <c r="R1065">
        <v>3</v>
      </c>
      <c r="S1065">
        <v>93.649280000000005</v>
      </c>
      <c r="T1065">
        <v>200000</v>
      </c>
      <c r="U1065">
        <v>200000</v>
      </c>
      <c r="V1065">
        <v>1</v>
      </c>
      <c r="W1065">
        <v>158.33000000000001</v>
      </c>
      <c r="X1065">
        <v>187298.56</v>
      </c>
      <c r="Y1065">
        <v>187456.89</v>
      </c>
    </row>
    <row r="1066" spans="1:25" x14ac:dyDescent="0.25">
      <c r="A1066">
        <v>65</v>
      </c>
      <c r="B1066" t="s">
        <v>2242</v>
      </c>
      <c r="C1066" t="s">
        <v>32</v>
      </c>
      <c r="D1066" t="s">
        <v>2263</v>
      </c>
      <c r="E1066">
        <v>160667</v>
      </c>
      <c r="F1066" t="s">
        <v>858</v>
      </c>
      <c r="G1066" t="s">
        <v>2264</v>
      </c>
      <c r="H1066" t="s">
        <v>384</v>
      </c>
      <c r="I1066" t="s">
        <v>857</v>
      </c>
      <c r="J1066" t="s">
        <v>855</v>
      </c>
      <c r="K1066" t="s">
        <v>855</v>
      </c>
      <c r="L1066" t="b">
        <v>1</v>
      </c>
      <c r="M1066" t="s">
        <v>81</v>
      </c>
      <c r="N1066" t="s">
        <v>32</v>
      </c>
      <c r="P1066" t="s">
        <v>579</v>
      </c>
      <c r="Q1066">
        <v>1</v>
      </c>
      <c r="R1066">
        <v>3</v>
      </c>
      <c r="S1066">
        <v>96.686000000000007</v>
      </c>
      <c r="T1066">
        <v>590000</v>
      </c>
      <c r="U1066">
        <v>590000</v>
      </c>
      <c r="V1066">
        <v>1</v>
      </c>
      <c r="W1066">
        <v>26343.09</v>
      </c>
      <c r="X1066">
        <v>570447.4</v>
      </c>
      <c r="Y1066">
        <v>596790.49</v>
      </c>
    </row>
    <row r="1067" spans="1:25" x14ac:dyDescent="0.25">
      <c r="A1067">
        <v>65</v>
      </c>
      <c r="B1067" t="s">
        <v>2242</v>
      </c>
      <c r="C1067" t="s">
        <v>32</v>
      </c>
      <c r="D1067" t="s">
        <v>2265</v>
      </c>
      <c r="E1067">
        <v>204147</v>
      </c>
      <c r="F1067" t="s">
        <v>864</v>
      </c>
      <c r="G1067" t="s">
        <v>2266</v>
      </c>
      <c r="H1067" t="s">
        <v>862</v>
      </c>
      <c r="I1067" t="s">
        <v>863</v>
      </c>
      <c r="J1067" t="s">
        <v>860</v>
      </c>
      <c r="K1067" t="s">
        <v>860</v>
      </c>
      <c r="L1067" t="b">
        <v>1</v>
      </c>
      <c r="M1067" t="s">
        <v>31</v>
      </c>
      <c r="N1067" t="s">
        <v>32</v>
      </c>
      <c r="P1067" t="s">
        <v>579</v>
      </c>
      <c r="Q1067">
        <v>1</v>
      </c>
      <c r="R1067">
        <v>3</v>
      </c>
      <c r="S1067">
        <v>92.625</v>
      </c>
      <c r="T1067">
        <v>350000</v>
      </c>
      <c r="U1067">
        <v>350000</v>
      </c>
      <c r="V1067">
        <v>1</v>
      </c>
      <c r="W1067">
        <v>16801.22</v>
      </c>
      <c r="X1067">
        <v>324187.5</v>
      </c>
      <c r="Y1067">
        <v>340988.72</v>
      </c>
    </row>
    <row r="1068" spans="1:25" x14ac:dyDescent="0.25">
      <c r="A1068">
        <v>65</v>
      </c>
      <c r="B1068" t="s">
        <v>2242</v>
      </c>
      <c r="C1068" t="s">
        <v>32</v>
      </c>
      <c r="D1068" t="s">
        <v>865</v>
      </c>
      <c r="E1068">
        <v>34669</v>
      </c>
      <c r="F1068" t="s">
        <v>866</v>
      </c>
      <c r="G1068" t="s">
        <v>867</v>
      </c>
      <c r="H1068" t="s">
        <v>868</v>
      </c>
      <c r="I1068" t="s">
        <v>869</v>
      </c>
      <c r="L1068" t="b">
        <v>1</v>
      </c>
      <c r="M1068" t="s">
        <v>44</v>
      </c>
      <c r="N1068" t="s">
        <v>32</v>
      </c>
      <c r="P1068" t="s">
        <v>579</v>
      </c>
      <c r="Q1068">
        <v>1</v>
      </c>
      <c r="R1068">
        <v>3</v>
      </c>
      <c r="S1068">
        <v>65.661000000000001</v>
      </c>
      <c r="T1068">
        <v>400000</v>
      </c>
      <c r="U1068">
        <v>400000</v>
      </c>
      <c r="V1068">
        <v>1</v>
      </c>
      <c r="W1068">
        <v>0</v>
      </c>
      <c r="X1068">
        <v>262644</v>
      </c>
      <c r="Y1068">
        <v>262644</v>
      </c>
    </row>
    <row r="1069" spans="1:25" x14ac:dyDescent="0.25">
      <c r="A1069">
        <v>65</v>
      </c>
      <c r="B1069" t="s">
        <v>2242</v>
      </c>
      <c r="C1069" t="s">
        <v>32</v>
      </c>
      <c r="D1069" t="s">
        <v>870</v>
      </c>
      <c r="E1069">
        <v>1917</v>
      </c>
      <c r="F1069" t="s">
        <v>871</v>
      </c>
      <c r="G1069" t="s">
        <v>872</v>
      </c>
      <c r="H1069" t="s">
        <v>868</v>
      </c>
      <c r="I1069" t="s">
        <v>873</v>
      </c>
      <c r="L1069" t="b">
        <v>1</v>
      </c>
      <c r="M1069" t="s">
        <v>44</v>
      </c>
      <c r="N1069" t="s">
        <v>32</v>
      </c>
      <c r="P1069" t="s">
        <v>579</v>
      </c>
      <c r="Q1069">
        <v>1</v>
      </c>
      <c r="R1069">
        <v>3</v>
      </c>
      <c r="S1069">
        <v>66.396000000000001</v>
      </c>
      <c r="T1069">
        <v>520000</v>
      </c>
      <c r="U1069">
        <v>520000</v>
      </c>
      <c r="V1069">
        <v>1</v>
      </c>
      <c r="W1069">
        <v>0</v>
      </c>
      <c r="X1069">
        <v>345259.2</v>
      </c>
      <c r="Y1069">
        <v>345259.2</v>
      </c>
    </row>
    <row r="1070" spans="1:25" x14ac:dyDescent="0.25">
      <c r="A1070">
        <v>65</v>
      </c>
      <c r="B1070" t="s">
        <v>2242</v>
      </c>
      <c r="C1070" t="s">
        <v>32</v>
      </c>
      <c r="D1070" t="s">
        <v>884</v>
      </c>
      <c r="E1070">
        <v>130577</v>
      </c>
      <c r="F1070" t="s">
        <v>885</v>
      </c>
      <c r="G1070" t="s">
        <v>886</v>
      </c>
      <c r="H1070" t="s">
        <v>887</v>
      </c>
      <c r="I1070" t="s">
        <v>888</v>
      </c>
      <c r="L1070" t="b">
        <v>1</v>
      </c>
      <c r="M1070" t="s">
        <v>50</v>
      </c>
      <c r="N1070" t="s">
        <v>32</v>
      </c>
      <c r="P1070" t="s">
        <v>579</v>
      </c>
      <c r="Q1070">
        <v>1</v>
      </c>
      <c r="R1070">
        <v>3</v>
      </c>
      <c r="S1070">
        <v>104.7788</v>
      </c>
      <c r="T1070">
        <v>1370000</v>
      </c>
      <c r="U1070">
        <v>1370000</v>
      </c>
      <c r="V1070">
        <v>1</v>
      </c>
      <c r="W1070">
        <v>26321.13</v>
      </c>
      <c r="X1070">
        <v>1435469.56</v>
      </c>
      <c r="Y1070">
        <v>1461790.69</v>
      </c>
    </row>
    <row r="1071" spans="1:25" x14ac:dyDescent="0.25">
      <c r="A1071">
        <v>65</v>
      </c>
      <c r="B1071" t="s">
        <v>2242</v>
      </c>
      <c r="C1071" t="s">
        <v>32</v>
      </c>
      <c r="D1071" t="s">
        <v>2267</v>
      </c>
      <c r="E1071">
        <v>202364</v>
      </c>
      <c r="F1071" t="s">
        <v>894</v>
      </c>
      <c r="G1071" t="s">
        <v>2268</v>
      </c>
      <c r="H1071" t="s">
        <v>892</v>
      </c>
      <c r="I1071" t="s">
        <v>893</v>
      </c>
      <c r="J1071" t="s">
        <v>890</v>
      </c>
      <c r="K1071" t="s">
        <v>890</v>
      </c>
      <c r="L1071" t="b">
        <v>1</v>
      </c>
      <c r="M1071" t="s">
        <v>895</v>
      </c>
      <c r="N1071" t="s">
        <v>32</v>
      </c>
      <c r="P1071" t="s">
        <v>579</v>
      </c>
      <c r="Q1071">
        <v>1</v>
      </c>
      <c r="R1071">
        <v>3</v>
      </c>
      <c r="S1071">
        <v>100.5</v>
      </c>
      <c r="T1071">
        <v>250000</v>
      </c>
      <c r="U1071">
        <v>250000</v>
      </c>
      <c r="V1071">
        <v>1</v>
      </c>
      <c r="W1071">
        <v>4821.53</v>
      </c>
      <c r="X1071">
        <v>251250</v>
      </c>
      <c r="Y1071">
        <v>256071.53</v>
      </c>
    </row>
    <row r="1072" spans="1:25" x14ac:dyDescent="0.25">
      <c r="A1072">
        <v>65</v>
      </c>
      <c r="B1072" t="s">
        <v>2242</v>
      </c>
      <c r="C1072" t="s">
        <v>32</v>
      </c>
      <c r="D1072" t="s">
        <v>2269</v>
      </c>
      <c r="E1072">
        <v>215022</v>
      </c>
      <c r="F1072" t="s">
        <v>396</v>
      </c>
      <c r="G1072" t="s">
        <v>2270</v>
      </c>
      <c r="H1072" t="s">
        <v>300</v>
      </c>
      <c r="I1072" t="s">
        <v>395</v>
      </c>
      <c r="J1072" t="s">
        <v>393</v>
      </c>
      <c r="K1072" t="s">
        <v>393</v>
      </c>
      <c r="L1072" t="b">
        <v>1</v>
      </c>
      <c r="M1072" t="s">
        <v>44</v>
      </c>
      <c r="N1072" t="s">
        <v>32</v>
      </c>
      <c r="P1072" t="s">
        <v>579</v>
      </c>
      <c r="Q1072">
        <v>1</v>
      </c>
      <c r="R1072">
        <v>3</v>
      </c>
      <c r="S1072">
        <v>98.625</v>
      </c>
      <c r="T1072">
        <v>400000</v>
      </c>
      <c r="U1072">
        <v>400000</v>
      </c>
      <c r="V1072">
        <v>1</v>
      </c>
      <c r="W1072">
        <v>6250.53</v>
      </c>
      <c r="X1072">
        <v>394500</v>
      </c>
      <c r="Y1072">
        <v>400750.53</v>
      </c>
    </row>
    <row r="1073" spans="1:25" x14ac:dyDescent="0.25">
      <c r="A1073">
        <v>65</v>
      </c>
      <c r="B1073" t="s">
        <v>2242</v>
      </c>
      <c r="C1073" t="s">
        <v>32</v>
      </c>
      <c r="D1073" t="s">
        <v>2271</v>
      </c>
      <c r="E1073">
        <v>222124</v>
      </c>
      <c r="F1073" t="s">
        <v>418</v>
      </c>
      <c r="G1073" t="s">
        <v>2272</v>
      </c>
      <c r="H1073" t="s">
        <v>404</v>
      </c>
      <c r="I1073" t="s">
        <v>417</v>
      </c>
      <c r="J1073" t="s">
        <v>415</v>
      </c>
      <c r="K1073" t="s">
        <v>415</v>
      </c>
      <c r="L1073" t="b">
        <v>1</v>
      </c>
      <c r="M1073" t="s">
        <v>44</v>
      </c>
      <c r="N1073" t="s">
        <v>32</v>
      </c>
      <c r="P1073" t="s">
        <v>579</v>
      </c>
      <c r="Q1073">
        <v>1</v>
      </c>
      <c r="R1073">
        <v>3</v>
      </c>
      <c r="S1073">
        <v>99.974999999999994</v>
      </c>
      <c r="T1073">
        <v>600000</v>
      </c>
      <c r="U1073">
        <v>600000</v>
      </c>
      <c r="V1073">
        <v>1</v>
      </c>
      <c r="W1073">
        <v>4933.33</v>
      </c>
      <c r="X1073">
        <v>599850</v>
      </c>
      <c r="Y1073">
        <v>604783.32999999996</v>
      </c>
    </row>
    <row r="1074" spans="1:25" x14ac:dyDescent="0.25">
      <c r="A1074">
        <v>65</v>
      </c>
      <c r="B1074" t="s">
        <v>2242</v>
      </c>
      <c r="C1074" t="s">
        <v>32</v>
      </c>
      <c r="D1074" t="s">
        <v>896</v>
      </c>
      <c r="E1074">
        <v>31384</v>
      </c>
      <c r="F1074" t="s">
        <v>897</v>
      </c>
      <c r="G1074" t="s">
        <v>898</v>
      </c>
      <c r="H1074" t="s">
        <v>404</v>
      </c>
      <c r="I1074" t="s">
        <v>899</v>
      </c>
      <c r="J1074" t="s">
        <v>897</v>
      </c>
      <c r="K1074" t="s">
        <v>900</v>
      </c>
      <c r="L1074" t="b">
        <v>1</v>
      </c>
      <c r="M1074" t="s">
        <v>44</v>
      </c>
      <c r="N1074" t="s">
        <v>32</v>
      </c>
      <c r="P1074" t="s">
        <v>579</v>
      </c>
      <c r="Q1074">
        <v>1</v>
      </c>
      <c r="R1074">
        <v>3</v>
      </c>
      <c r="S1074">
        <v>103.4255</v>
      </c>
      <c r="T1074">
        <v>420000</v>
      </c>
      <c r="U1074">
        <v>420000</v>
      </c>
      <c r="V1074">
        <v>1</v>
      </c>
      <c r="W1074">
        <v>1661.04</v>
      </c>
      <c r="X1074">
        <v>434387.1</v>
      </c>
      <c r="Y1074">
        <v>436048.14</v>
      </c>
    </row>
    <row r="1075" spans="1:25" x14ac:dyDescent="0.25">
      <c r="A1075">
        <v>65</v>
      </c>
      <c r="B1075" t="s">
        <v>2242</v>
      </c>
      <c r="C1075" t="s">
        <v>32</v>
      </c>
      <c r="D1075" t="s">
        <v>2273</v>
      </c>
      <c r="E1075">
        <v>161092</v>
      </c>
      <c r="F1075" t="s">
        <v>432</v>
      </c>
      <c r="G1075" t="s">
        <v>2274</v>
      </c>
      <c r="H1075" t="s">
        <v>422</v>
      </c>
      <c r="I1075" t="s">
        <v>431</v>
      </c>
      <c r="J1075" t="s">
        <v>429</v>
      </c>
      <c r="K1075" t="s">
        <v>429</v>
      </c>
      <c r="L1075" t="b">
        <v>1</v>
      </c>
      <c r="M1075" t="s">
        <v>44</v>
      </c>
      <c r="N1075" t="s">
        <v>32</v>
      </c>
      <c r="P1075" t="s">
        <v>579</v>
      </c>
      <c r="Q1075">
        <v>1</v>
      </c>
      <c r="R1075">
        <v>3</v>
      </c>
      <c r="S1075">
        <v>102.5</v>
      </c>
      <c r="T1075">
        <v>230000</v>
      </c>
      <c r="U1075">
        <v>230000</v>
      </c>
      <c r="V1075">
        <v>1</v>
      </c>
      <c r="W1075">
        <v>8281.6</v>
      </c>
      <c r="X1075">
        <v>235750</v>
      </c>
      <c r="Y1075">
        <v>244031.6</v>
      </c>
    </row>
    <row r="1076" spans="1:25" x14ac:dyDescent="0.25">
      <c r="A1076">
        <v>65</v>
      </c>
      <c r="B1076" t="s">
        <v>2242</v>
      </c>
      <c r="C1076" t="s">
        <v>32</v>
      </c>
      <c r="D1076" t="s">
        <v>433</v>
      </c>
      <c r="E1076">
        <v>118335</v>
      </c>
      <c r="F1076" t="s">
        <v>434</v>
      </c>
      <c r="G1076" t="s">
        <v>435</v>
      </c>
      <c r="H1076" t="s">
        <v>422</v>
      </c>
      <c r="I1076" t="s">
        <v>436</v>
      </c>
      <c r="L1076" t="b">
        <v>1</v>
      </c>
      <c r="M1076" t="s">
        <v>44</v>
      </c>
      <c r="N1076" t="s">
        <v>32</v>
      </c>
      <c r="P1076" t="s">
        <v>579</v>
      </c>
      <c r="Q1076">
        <v>1</v>
      </c>
      <c r="R1076">
        <v>3</v>
      </c>
      <c r="S1076">
        <v>105.1735</v>
      </c>
      <c r="T1076">
        <v>610000</v>
      </c>
      <c r="U1076">
        <v>610000</v>
      </c>
      <c r="V1076">
        <v>1</v>
      </c>
      <c r="W1076">
        <v>3166.49</v>
      </c>
      <c r="X1076">
        <v>641558.35</v>
      </c>
      <c r="Y1076">
        <v>644724.84</v>
      </c>
    </row>
    <row r="1077" spans="1:25" x14ac:dyDescent="0.25">
      <c r="A1077">
        <v>65</v>
      </c>
      <c r="B1077" t="s">
        <v>2242</v>
      </c>
      <c r="C1077" t="s">
        <v>32</v>
      </c>
      <c r="D1077" t="s">
        <v>2275</v>
      </c>
      <c r="E1077">
        <v>132865</v>
      </c>
      <c r="F1077" t="s">
        <v>2276</v>
      </c>
      <c r="G1077" t="s">
        <v>2277</v>
      </c>
      <c r="H1077" t="s">
        <v>422</v>
      </c>
      <c r="I1077" t="s">
        <v>2278</v>
      </c>
      <c r="L1077" t="b">
        <v>1</v>
      </c>
      <c r="M1077" t="s">
        <v>44</v>
      </c>
      <c r="N1077" t="s">
        <v>32</v>
      </c>
      <c r="P1077" t="s">
        <v>579</v>
      </c>
      <c r="Q1077">
        <v>1</v>
      </c>
      <c r="R1077">
        <v>3</v>
      </c>
      <c r="S1077">
        <v>107.2418</v>
      </c>
      <c r="T1077">
        <v>320000</v>
      </c>
      <c r="U1077">
        <v>320000</v>
      </c>
      <c r="V1077">
        <v>1</v>
      </c>
      <c r="W1077">
        <v>2403.56</v>
      </c>
      <c r="X1077">
        <v>343173.76</v>
      </c>
      <c r="Y1077">
        <v>345577.32</v>
      </c>
    </row>
    <row r="1078" spans="1:25" x14ac:dyDescent="0.25">
      <c r="A1078">
        <v>65</v>
      </c>
      <c r="B1078" t="s">
        <v>2242</v>
      </c>
      <c r="C1078" t="s">
        <v>32</v>
      </c>
      <c r="D1078" t="s">
        <v>437</v>
      </c>
      <c r="E1078">
        <v>96458</v>
      </c>
      <c r="F1078" t="s">
        <v>438</v>
      </c>
      <c r="G1078" t="s">
        <v>439</v>
      </c>
      <c r="H1078" t="s">
        <v>422</v>
      </c>
      <c r="I1078" t="s">
        <v>440</v>
      </c>
      <c r="L1078" t="b">
        <v>1</v>
      </c>
      <c r="M1078" t="s">
        <v>44</v>
      </c>
      <c r="N1078" t="s">
        <v>32</v>
      </c>
      <c r="P1078" t="s">
        <v>579</v>
      </c>
      <c r="Q1078">
        <v>1</v>
      </c>
      <c r="R1078">
        <v>3</v>
      </c>
      <c r="S1078">
        <v>107.2418</v>
      </c>
      <c r="T1078">
        <v>340000</v>
      </c>
      <c r="U1078">
        <v>340000</v>
      </c>
      <c r="V1078">
        <v>1</v>
      </c>
      <c r="W1078">
        <v>2553.7800000000002</v>
      </c>
      <c r="X1078">
        <v>364622.12</v>
      </c>
      <c r="Y1078">
        <v>367175.9</v>
      </c>
    </row>
    <row r="1079" spans="1:25" x14ac:dyDescent="0.25">
      <c r="A1079">
        <v>65</v>
      </c>
      <c r="B1079" t="s">
        <v>2242</v>
      </c>
      <c r="C1079" t="s">
        <v>32</v>
      </c>
      <c r="D1079" t="s">
        <v>901</v>
      </c>
      <c r="E1079">
        <v>146583</v>
      </c>
      <c r="F1079" t="s">
        <v>902</v>
      </c>
      <c r="G1079" t="s">
        <v>903</v>
      </c>
      <c r="H1079" t="s">
        <v>444</v>
      </c>
      <c r="I1079" t="s">
        <v>904</v>
      </c>
      <c r="J1079" t="s">
        <v>902</v>
      </c>
      <c r="K1079" t="s">
        <v>905</v>
      </c>
      <c r="L1079" t="b">
        <v>1</v>
      </c>
      <c r="M1079" t="s">
        <v>50</v>
      </c>
      <c r="N1079" t="s">
        <v>32</v>
      </c>
      <c r="P1079" t="s">
        <v>579</v>
      </c>
      <c r="Q1079">
        <v>1</v>
      </c>
      <c r="R1079">
        <v>3</v>
      </c>
      <c r="S1079">
        <v>104.42</v>
      </c>
      <c r="T1079">
        <v>500000</v>
      </c>
      <c r="U1079">
        <v>500000</v>
      </c>
      <c r="V1079">
        <v>1</v>
      </c>
      <c r="W1079">
        <v>14479.17</v>
      </c>
      <c r="X1079">
        <v>522100</v>
      </c>
      <c r="Y1079">
        <v>536579.17000000004</v>
      </c>
    </row>
    <row r="1080" spans="1:25" x14ac:dyDescent="0.25">
      <c r="A1080">
        <v>65</v>
      </c>
      <c r="B1080" t="s">
        <v>2242</v>
      </c>
      <c r="C1080" t="s">
        <v>32</v>
      </c>
      <c r="D1080" t="s">
        <v>908</v>
      </c>
      <c r="E1080">
        <v>135501</v>
      </c>
      <c r="F1080" t="s">
        <v>909</v>
      </c>
      <c r="G1080" t="s">
        <v>910</v>
      </c>
      <c r="H1080" t="s">
        <v>911</v>
      </c>
      <c r="I1080" t="s">
        <v>910</v>
      </c>
      <c r="L1080" t="b">
        <v>0</v>
      </c>
      <c r="M1080" t="s">
        <v>81</v>
      </c>
      <c r="N1080" t="s">
        <v>32</v>
      </c>
      <c r="P1080" t="s">
        <v>579</v>
      </c>
      <c r="Q1080">
        <v>1</v>
      </c>
      <c r="R1080">
        <v>3</v>
      </c>
      <c r="S1080">
        <v>105.77849999999999</v>
      </c>
      <c r="T1080">
        <v>2290000</v>
      </c>
      <c r="U1080">
        <v>2290000</v>
      </c>
      <c r="V1080">
        <v>1</v>
      </c>
      <c r="W1080">
        <v>20299.900000000001</v>
      </c>
      <c r="X1080">
        <v>2422327.65</v>
      </c>
      <c r="Y1080">
        <v>2442627.5499999998</v>
      </c>
    </row>
    <row r="1081" spans="1:25" x14ac:dyDescent="0.25">
      <c r="A1081">
        <v>65</v>
      </c>
      <c r="B1081" t="s">
        <v>2242</v>
      </c>
      <c r="C1081" t="s">
        <v>32</v>
      </c>
      <c r="D1081" t="s">
        <v>2279</v>
      </c>
      <c r="E1081">
        <v>187609</v>
      </c>
      <c r="F1081" t="s">
        <v>451</v>
      </c>
      <c r="G1081" t="s">
        <v>2280</v>
      </c>
      <c r="H1081" t="s">
        <v>449</v>
      </c>
      <c r="I1081" t="s">
        <v>450</v>
      </c>
      <c r="J1081" t="s">
        <v>447</v>
      </c>
      <c r="K1081" t="s">
        <v>447</v>
      </c>
      <c r="L1081" t="b">
        <v>1</v>
      </c>
      <c r="M1081" t="s">
        <v>452</v>
      </c>
      <c r="N1081" t="s">
        <v>32</v>
      </c>
      <c r="P1081" t="s">
        <v>579</v>
      </c>
      <c r="Q1081">
        <v>1</v>
      </c>
      <c r="R1081">
        <v>3</v>
      </c>
      <c r="S1081">
        <v>103.92201</v>
      </c>
      <c r="T1081">
        <v>700000</v>
      </c>
      <c r="U1081">
        <v>700000</v>
      </c>
      <c r="V1081">
        <v>1</v>
      </c>
      <c r="W1081">
        <v>19395.830000000002</v>
      </c>
      <c r="X1081">
        <v>727454.07</v>
      </c>
      <c r="Y1081">
        <v>746849.89999999991</v>
      </c>
    </row>
    <row r="1082" spans="1:25" x14ac:dyDescent="0.25">
      <c r="A1082">
        <v>65</v>
      </c>
      <c r="B1082" t="s">
        <v>2242</v>
      </c>
      <c r="C1082" t="s">
        <v>32</v>
      </c>
      <c r="D1082" t="s">
        <v>2281</v>
      </c>
      <c r="E1082">
        <v>203110</v>
      </c>
      <c r="F1082" t="s">
        <v>922</v>
      </c>
      <c r="G1082" t="s">
        <v>2282</v>
      </c>
      <c r="H1082" t="s">
        <v>920</v>
      </c>
      <c r="I1082" t="s">
        <v>921</v>
      </c>
      <c r="J1082" t="s">
        <v>918</v>
      </c>
      <c r="K1082" t="s">
        <v>918</v>
      </c>
      <c r="L1082" t="b">
        <v>1</v>
      </c>
      <c r="M1082" t="s">
        <v>112</v>
      </c>
      <c r="N1082" t="s">
        <v>32</v>
      </c>
      <c r="P1082" t="s">
        <v>579</v>
      </c>
      <c r="Q1082">
        <v>1</v>
      </c>
      <c r="R1082">
        <v>3</v>
      </c>
      <c r="S1082">
        <v>103.676</v>
      </c>
      <c r="T1082">
        <v>550000</v>
      </c>
      <c r="U1082">
        <v>550000</v>
      </c>
      <c r="V1082">
        <v>1</v>
      </c>
      <c r="W1082">
        <v>366.67</v>
      </c>
      <c r="X1082">
        <v>570218</v>
      </c>
      <c r="Y1082">
        <v>570584.67000000004</v>
      </c>
    </row>
    <row r="1083" spans="1:25" x14ac:dyDescent="0.25">
      <c r="A1083">
        <v>65</v>
      </c>
      <c r="B1083" t="s">
        <v>2242</v>
      </c>
      <c r="C1083" t="s">
        <v>32</v>
      </c>
      <c r="D1083" t="s">
        <v>2283</v>
      </c>
      <c r="E1083">
        <v>175399</v>
      </c>
      <c r="F1083" t="s">
        <v>927</v>
      </c>
      <c r="G1083" t="s">
        <v>2284</v>
      </c>
      <c r="H1083" t="s">
        <v>920</v>
      </c>
      <c r="I1083" t="s">
        <v>926</v>
      </c>
      <c r="J1083" t="s">
        <v>924</v>
      </c>
      <c r="K1083" t="s">
        <v>924</v>
      </c>
      <c r="L1083" t="b">
        <v>1</v>
      </c>
      <c r="M1083" t="s">
        <v>112</v>
      </c>
      <c r="N1083" t="s">
        <v>32</v>
      </c>
      <c r="P1083" t="s">
        <v>579</v>
      </c>
      <c r="Q1083">
        <v>1</v>
      </c>
      <c r="R1083">
        <v>3</v>
      </c>
      <c r="S1083">
        <v>103</v>
      </c>
      <c r="T1083">
        <v>700000</v>
      </c>
      <c r="U1083">
        <v>700000</v>
      </c>
      <c r="V1083">
        <v>1</v>
      </c>
      <c r="W1083">
        <v>5911.11</v>
      </c>
      <c r="X1083">
        <v>721000</v>
      </c>
      <c r="Y1083">
        <v>726911.11</v>
      </c>
    </row>
    <row r="1084" spans="1:25" x14ac:dyDescent="0.25">
      <c r="A1084">
        <v>65</v>
      </c>
      <c r="B1084" t="s">
        <v>2242</v>
      </c>
      <c r="C1084" t="s">
        <v>32</v>
      </c>
      <c r="D1084" t="s">
        <v>2285</v>
      </c>
      <c r="E1084">
        <v>216346</v>
      </c>
      <c r="F1084" t="s">
        <v>469</v>
      </c>
      <c r="G1084" t="s">
        <v>2286</v>
      </c>
      <c r="H1084" t="s">
        <v>463</v>
      </c>
      <c r="I1084" t="s">
        <v>468</v>
      </c>
      <c r="J1084" t="s">
        <v>466</v>
      </c>
      <c r="K1084" t="s">
        <v>466</v>
      </c>
      <c r="L1084" t="b">
        <v>1</v>
      </c>
      <c r="M1084" t="s">
        <v>44</v>
      </c>
      <c r="N1084" t="s">
        <v>32</v>
      </c>
      <c r="P1084" t="s">
        <v>579</v>
      </c>
      <c r="Q1084">
        <v>1</v>
      </c>
      <c r="R1084">
        <v>3</v>
      </c>
      <c r="S1084">
        <v>98.363</v>
      </c>
      <c r="T1084">
        <v>250000</v>
      </c>
      <c r="U1084">
        <v>250000</v>
      </c>
      <c r="V1084">
        <v>1</v>
      </c>
      <c r="W1084">
        <v>3208.33</v>
      </c>
      <c r="X1084">
        <v>245907.5</v>
      </c>
      <c r="Y1084">
        <v>249115.83</v>
      </c>
    </row>
    <row r="1085" spans="1:25" x14ac:dyDescent="0.25">
      <c r="A1085">
        <v>65</v>
      </c>
      <c r="B1085" t="s">
        <v>2242</v>
      </c>
      <c r="C1085" t="s">
        <v>32</v>
      </c>
      <c r="D1085" t="s">
        <v>928</v>
      </c>
      <c r="E1085">
        <v>219587</v>
      </c>
      <c r="F1085" t="s">
        <v>929</v>
      </c>
      <c r="G1085" t="s">
        <v>930</v>
      </c>
      <c r="H1085" t="s">
        <v>931</v>
      </c>
      <c r="I1085" t="s">
        <v>932</v>
      </c>
      <c r="J1085" t="s">
        <v>929</v>
      </c>
      <c r="K1085" t="s">
        <v>933</v>
      </c>
      <c r="L1085" t="b">
        <v>1</v>
      </c>
      <c r="M1085" t="s">
        <v>44</v>
      </c>
      <c r="N1085" t="s">
        <v>32</v>
      </c>
      <c r="P1085" t="s">
        <v>579</v>
      </c>
      <c r="Q1085">
        <v>1</v>
      </c>
      <c r="R1085">
        <v>3</v>
      </c>
      <c r="S1085">
        <v>97.920002999999994</v>
      </c>
      <c r="T1085">
        <v>400000</v>
      </c>
      <c r="U1085">
        <v>400000</v>
      </c>
      <c r="V1085">
        <v>1</v>
      </c>
      <c r="W1085">
        <v>4958.34</v>
      </c>
      <c r="X1085">
        <v>391680.02</v>
      </c>
      <c r="Y1085">
        <v>396638.36</v>
      </c>
    </row>
    <row r="1086" spans="1:25" x14ac:dyDescent="0.25">
      <c r="A1086">
        <v>65</v>
      </c>
      <c r="B1086" t="s">
        <v>2242</v>
      </c>
      <c r="C1086" t="s">
        <v>32</v>
      </c>
      <c r="D1086" t="s">
        <v>934</v>
      </c>
      <c r="E1086">
        <v>219586</v>
      </c>
      <c r="F1086" t="s">
        <v>935</v>
      </c>
      <c r="G1086" t="s">
        <v>936</v>
      </c>
      <c r="H1086" t="s">
        <v>931</v>
      </c>
      <c r="I1086" t="s">
        <v>937</v>
      </c>
      <c r="J1086" t="s">
        <v>935</v>
      </c>
      <c r="K1086" t="s">
        <v>938</v>
      </c>
      <c r="L1086" t="b">
        <v>1</v>
      </c>
      <c r="M1086" t="s">
        <v>44</v>
      </c>
      <c r="N1086" t="s">
        <v>32</v>
      </c>
      <c r="P1086" t="s">
        <v>579</v>
      </c>
      <c r="Q1086">
        <v>1</v>
      </c>
      <c r="R1086">
        <v>3</v>
      </c>
      <c r="S1086">
        <v>98.024844999999999</v>
      </c>
      <c r="T1086">
        <v>400000</v>
      </c>
      <c r="U1086">
        <v>400000</v>
      </c>
      <c r="V1086">
        <v>1</v>
      </c>
      <c r="W1086">
        <v>5100</v>
      </c>
      <c r="X1086">
        <v>392099.38</v>
      </c>
      <c r="Y1086">
        <v>397199.38</v>
      </c>
    </row>
    <row r="1087" spans="1:25" x14ac:dyDescent="0.25">
      <c r="A1087">
        <v>65</v>
      </c>
      <c r="B1087" t="s">
        <v>2242</v>
      </c>
      <c r="C1087" t="s">
        <v>32</v>
      </c>
      <c r="D1087" t="s">
        <v>475</v>
      </c>
      <c r="E1087">
        <v>53985</v>
      </c>
      <c r="F1087" t="s">
        <v>476</v>
      </c>
      <c r="G1087" t="s">
        <v>477</v>
      </c>
      <c r="H1087" t="s">
        <v>478</v>
      </c>
      <c r="I1087" t="s">
        <v>479</v>
      </c>
      <c r="L1087" t="b">
        <v>1</v>
      </c>
      <c r="M1087" t="s">
        <v>31</v>
      </c>
      <c r="N1087" t="s">
        <v>32</v>
      </c>
      <c r="P1087" t="s">
        <v>579</v>
      </c>
      <c r="Q1087">
        <v>1</v>
      </c>
      <c r="R1087">
        <v>3</v>
      </c>
      <c r="S1087">
        <v>54.125</v>
      </c>
      <c r="T1087">
        <v>1700000</v>
      </c>
      <c r="U1087">
        <v>1700000</v>
      </c>
      <c r="V1087">
        <v>1</v>
      </c>
      <c r="W1087">
        <v>0</v>
      </c>
      <c r="X1087">
        <v>920125</v>
      </c>
      <c r="Y1087">
        <v>920125</v>
      </c>
    </row>
    <row r="1088" spans="1:25" x14ac:dyDescent="0.25">
      <c r="A1088">
        <v>65</v>
      </c>
      <c r="B1088" t="s">
        <v>2242</v>
      </c>
      <c r="C1088" t="s">
        <v>32</v>
      </c>
      <c r="D1088" t="s">
        <v>2287</v>
      </c>
      <c r="E1088">
        <v>149416</v>
      </c>
      <c r="F1088" t="s">
        <v>952</v>
      </c>
      <c r="G1088" t="s">
        <v>2288</v>
      </c>
      <c r="H1088" t="s">
        <v>478</v>
      </c>
      <c r="I1088" t="s">
        <v>951</v>
      </c>
      <c r="J1088" t="s">
        <v>949</v>
      </c>
      <c r="K1088" t="s">
        <v>949</v>
      </c>
      <c r="L1088" t="b">
        <v>1</v>
      </c>
      <c r="M1088" t="s">
        <v>31</v>
      </c>
      <c r="N1088" t="s">
        <v>32</v>
      </c>
      <c r="P1088" t="s">
        <v>579</v>
      </c>
      <c r="Q1088">
        <v>1</v>
      </c>
      <c r="R1088">
        <v>3</v>
      </c>
      <c r="S1088">
        <v>54.314</v>
      </c>
      <c r="T1088">
        <v>590000</v>
      </c>
      <c r="U1088">
        <v>590000</v>
      </c>
      <c r="V1088">
        <v>1</v>
      </c>
      <c r="W1088">
        <v>0</v>
      </c>
      <c r="X1088">
        <v>320452.59999999998</v>
      </c>
      <c r="Y1088">
        <v>320452.59999999998</v>
      </c>
    </row>
    <row r="1089" spans="1:25" x14ac:dyDescent="0.25">
      <c r="A1089">
        <v>65</v>
      </c>
      <c r="B1089" t="s">
        <v>2242</v>
      </c>
      <c r="C1089" t="s">
        <v>32</v>
      </c>
      <c r="D1089" t="s">
        <v>953</v>
      </c>
      <c r="E1089">
        <v>3575</v>
      </c>
      <c r="F1089" t="s">
        <v>954</v>
      </c>
      <c r="G1089" t="s">
        <v>955</v>
      </c>
      <c r="H1089" t="s">
        <v>478</v>
      </c>
      <c r="I1089" t="s">
        <v>956</v>
      </c>
      <c r="L1089" t="b">
        <v>1</v>
      </c>
      <c r="M1089" t="s">
        <v>31</v>
      </c>
      <c r="N1089" t="s">
        <v>32</v>
      </c>
      <c r="P1089" t="s">
        <v>579</v>
      </c>
      <c r="Q1089">
        <v>1</v>
      </c>
      <c r="R1089">
        <v>3</v>
      </c>
      <c r="S1089">
        <v>29.5</v>
      </c>
      <c r="T1089">
        <v>1160000</v>
      </c>
      <c r="U1089">
        <v>1160000</v>
      </c>
      <c r="V1089">
        <v>1</v>
      </c>
      <c r="W1089">
        <v>0</v>
      </c>
      <c r="X1089">
        <v>342200</v>
      </c>
      <c r="Y1089">
        <v>342200</v>
      </c>
    </row>
    <row r="1090" spans="1:25" x14ac:dyDescent="0.25">
      <c r="A1090">
        <v>65</v>
      </c>
      <c r="B1090" t="s">
        <v>2242</v>
      </c>
      <c r="C1090" t="s">
        <v>32</v>
      </c>
      <c r="D1090" t="s">
        <v>2289</v>
      </c>
      <c r="E1090">
        <v>160597</v>
      </c>
      <c r="F1090" t="s">
        <v>485</v>
      </c>
      <c r="G1090" t="s">
        <v>2290</v>
      </c>
      <c r="H1090" t="s">
        <v>483</v>
      </c>
      <c r="I1090" t="s">
        <v>484</v>
      </c>
      <c r="J1090" t="s">
        <v>481</v>
      </c>
      <c r="K1090" t="s">
        <v>481</v>
      </c>
      <c r="L1090" t="b">
        <v>1</v>
      </c>
      <c r="M1090" t="s">
        <v>61</v>
      </c>
      <c r="N1090" t="s">
        <v>32</v>
      </c>
      <c r="P1090" t="s">
        <v>579</v>
      </c>
      <c r="Q1090">
        <v>1</v>
      </c>
      <c r="R1090">
        <v>3</v>
      </c>
      <c r="S1090">
        <v>102.45</v>
      </c>
      <c r="T1090">
        <v>490000</v>
      </c>
      <c r="U1090">
        <v>490000</v>
      </c>
      <c r="V1090">
        <v>1</v>
      </c>
      <c r="W1090">
        <v>16382.33</v>
      </c>
      <c r="X1090">
        <v>502005.00000000012</v>
      </c>
      <c r="Y1090">
        <v>518387.33000000007</v>
      </c>
    </row>
    <row r="1091" spans="1:25" x14ac:dyDescent="0.25">
      <c r="A1091">
        <v>65</v>
      </c>
      <c r="B1091" t="s">
        <v>2242</v>
      </c>
      <c r="C1091" t="s">
        <v>32</v>
      </c>
      <c r="D1091" t="s">
        <v>2291</v>
      </c>
      <c r="E1091">
        <v>177953</v>
      </c>
      <c r="F1091" t="s">
        <v>967</v>
      </c>
      <c r="G1091" t="s">
        <v>2292</v>
      </c>
      <c r="H1091" t="s">
        <v>965</v>
      </c>
      <c r="I1091" t="s">
        <v>966</v>
      </c>
      <c r="J1091" t="s">
        <v>963</v>
      </c>
      <c r="K1091" t="s">
        <v>963</v>
      </c>
      <c r="L1091" t="b">
        <v>1</v>
      </c>
      <c r="M1091" t="s">
        <v>968</v>
      </c>
      <c r="N1091" t="s">
        <v>32</v>
      </c>
      <c r="P1091" t="s">
        <v>579</v>
      </c>
      <c r="Q1091">
        <v>1</v>
      </c>
      <c r="R1091">
        <v>3</v>
      </c>
      <c r="S1091">
        <v>107.49</v>
      </c>
      <c r="T1091">
        <v>150000</v>
      </c>
      <c r="U1091">
        <v>150000</v>
      </c>
      <c r="V1091">
        <v>1</v>
      </c>
      <c r="W1091">
        <v>252.29</v>
      </c>
      <c r="X1091">
        <v>161235</v>
      </c>
      <c r="Y1091">
        <v>161487.29</v>
      </c>
    </row>
    <row r="1092" spans="1:25" x14ac:dyDescent="0.25">
      <c r="A1092">
        <v>65</v>
      </c>
      <c r="B1092" t="s">
        <v>2242</v>
      </c>
      <c r="C1092" t="s">
        <v>32</v>
      </c>
      <c r="D1092" t="s">
        <v>2293</v>
      </c>
      <c r="E1092">
        <v>174400</v>
      </c>
      <c r="F1092" t="s">
        <v>973</v>
      </c>
      <c r="G1092" t="s">
        <v>2294</v>
      </c>
      <c r="H1092" t="s">
        <v>210</v>
      </c>
      <c r="I1092" t="s">
        <v>972</v>
      </c>
      <c r="J1092" t="s">
        <v>970</v>
      </c>
      <c r="K1092" t="s">
        <v>970</v>
      </c>
      <c r="L1092" t="b">
        <v>1</v>
      </c>
      <c r="M1092" t="s">
        <v>44</v>
      </c>
      <c r="N1092" t="s">
        <v>32</v>
      </c>
      <c r="P1092" t="s">
        <v>579</v>
      </c>
      <c r="Q1092">
        <v>1</v>
      </c>
      <c r="R1092">
        <v>3</v>
      </c>
      <c r="S1092">
        <v>103.325</v>
      </c>
      <c r="T1092">
        <v>350000</v>
      </c>
      <c r="U1092">
        <v>350000</v>
      </c>
      <c r="V1092">
        <v>1</v>
      </c>
      <c r="W1092">
        <v>9870</v>
      </c>
      <c r="X1092">
        <v>361637.5</v>
      </c>
      <c r="Y1092">
        <v>371507.5</v>
      </c>
    </row>
    <row r="1093" spans="1:25" x14ac:dyDescent="0.25">
      <c r="A1093">
        <v>65</v>
      </c>
      <c r="B1093" t="s">
        <v>2242</v>
      </c>
      <c r="C1093" t="s">
        <v>32</v>
      </c>
      <c r="D1093" t="s">
        <v>2295</v>
      </c>
      <c r="E1093">
        <v>196179</v>
      </c>
      <c r="F1093" t="s">
        <v>983</v>
      </c>
      <c r="G1093" t="s">
        <v>2296</v>
      </c>
      <c r="H1093" t="s">
        <v>494</v>
      </c>
      <c r="I1093" t="s">
        <v>982</v>
      </c>
      <c r="J1093" t="s">
        <v>980</v>
      </c>
      <c r="K1093" t="s">
        <v>980</v>
      </c>
      <c r="L1093" t="b">
        <v>1</v>
      </c>
      <c r="M1093" t="s">
        <v>112</v>
      </c>
      <c r="N1093" t="s">
        <v>32</v>
      </c>
      <c r="P1093" t="s">
        <v>579</v>
      </c>
      <c r="Q1093">
        <v>1</v>
      </c>
      <c r="R1093">
        <v>3</v>
      </c>
      <c r="S1093">
        <v>102.25</v>
      </c>
      <c r="T1093">
        <v>500000</v>
      </c>
      <c r="U1093">
        <v>500000</v>
      </c>
      <c r="V1093">
        <v>1</v>
      </c>
      <c r="W1093">
        <v>10390.629999999999</v>
      </c>
      <c r="X1093">
        <v>511250</v>
      </c>
      <c r="Y1093">
        <v>521640.63</v>
      </c>
    </row>
    <row r="1094" spans="1:25" x14ac:dyDescent="0.25">
      <c r="A1094">
        <v>65</v>
      </c>
      <c r="B1094" t="s">
        <v>2242</v>
      </c>
      <c r="C1094" t="s">
        <v>32</v>
      </c>
      <c r="D1094" t="s">
        <v>2297</v>
      </c>
      <c r="E1094">
        <v>187070</v>
      </c>
      <c r="F1094" t="s">
        <v>997</v>
      </c>
      <c r="G1094" t="s">
        <v>2298</v>
      </c>
      <c r="H1094" t="s">
        <v>218</v>
      </c>
      <c r="I1094" t="s">
        <v>996</v>
      </c>
      <c r="J1094" t="s">
        <v>994</v>
      </c>
      <c r="K1094" t="s">
        <v>994</v>
      </c>
      <c r="L1094" t="b">
        <v>1</v>
      </c>
      <c r="M1094" t="s">
        <v>50</v>
      </c>
      <c r="N1094" t="s">
        <v>32</v>
      </c>
      <c r="P1094" t="s">
        <v>579</v>
      </c>
      <c r="Q1094">
        <v>1</v>
      </c>
      <c r="R1094">
        <v>3</v>
      </c>
      <c r="S1094">
        <v>97.513000000000005</v>
      </c>
      <c r="T1094">
        <v>250000</v>
      </c>
      <c r="U1094">
        <v>250000</v>
      </c>
      <c r="V1094">
        <v>1</v>
      </c>
      <c r="W1094">
        <v>2419.44</v>
      </c>
      <c r="X1094">
        <v>243782.5</v>
      </c>
      <c r="Y1094">
        <v>246201.94</v>
      </c>
    </row>
    <row r="1095" spans="1:25" x14ac:dyDescent="0.25">
      <c r="A1095">
        <v>65</v>
      </c>
      <c r="B1095" t="s">
        <v>2242</v>
      </c>
      <c r="C1095" t="s">
        <v>32</v>
      </c>
      <c r="D1095" t="s">
        <v>2299</v>
      </c>
      <c r="E1095">
        <v>157994</v>
      </c>
      <c r="F1095" t="s">
        <v>1007</v>
      </c>
      <c r="G1095" t="s">
        <v>1006</v>
      </c>
      <c r="H1095" t="s">
        <v>502</v>
      </c>
      <c r="I1095" t="s">
        <v>1006</v>
      </c>
      <c r="J1095" t="s">
        <v>1004</v>
      </c>
      <c r="K1095" t="s">
        <v>1004</v>
      </c>
      <c r="L1095" t="b">
        <v>0</v>
      </c>
      <c r="M1095" t="s">
        <v>31</v>
      </c>
      <c r="N1095" t="s">
        <v>32</v>
      </c>
      <c r="P1095" t="s">
        <v>579</v>
      </c>
      <c r="Q1095">
        <v>1</v>
      </c>
      <c r="R1095">
        <v>3</v>
      </c>
      <c r="S1095">
        <v>124.95099999999999</v>
      </c>
      <c r="T1095">
        <v>2661066</v>
      </c>
      <c r="U1095">
        <v>2661066</v>
      </c>
      <c r="V1095">
        <v>1</v>
      </c>
      <c r="W1095">
        <v>42111.37</v>
      </c>
      <c r="X1095">
        <v>3325028.57</v>
      </c>
      <c r="Y1095">
        <v>3367139.94</v>
      </c>
    </row>
    <row r="1096" spans="1:25" x14ac:dyDescent="0.25">
      <c r="A1096">
        <v>65</v>
      </c>
      <c r="B1096" t="s">
        <v>2242</v>
      </c>
      <c r="C1096" t="s">
        <v>32</v>
      </c>
      <c r="D1096" t="s">
        <v>2300</v>
      </c>
      <c r="E1096">
        <v>226888</v>
      </c>
      <c r="F1096" t="s">
        <v>504</v>
      </c>
      <c r="G1096" t="s">
        <v>2301</v>
      </c>
      <c r="H1096" t="s">
        <v>502</v>
      </c>
      <c r="I1096" t="s">
        <v>503</v>
      </c>
      <c r="J1096" t="s">
        <v>500</v>
      </c>
      <c r="K1096" t="s">
        <v>500</v>
      </c>
      <c r="L1096" t="b">
        <v>1</v>
      </c>
      <c r="M1096" t="s">
        <v>31</v>
      </c>
      <c r="N1096" t="s">
        <v>32</v>
      </c>
      <c r="P1096" t="s">
        <v>579</v>
      </c>
      <c r="Q1096">
        <v>1</v>
      </c>
      <c r="R1096">
        <v>3</v>
      </c>
      <c r="S1096">
        <v>100.75</v>
      </c>
      <c r="T1096">
        <v>1400000</v>
      </c>
      <c r="U1096">
        <v>1400000</v>
      </c>
      <c r="V1096">
        <v>1</v>
      </c>
      <c r="W1096">
        <v>0</v>
      </c>
      <c r="X1096">
        <v>1410500</v>
      </c>
      <c r="Y1096">
        <v>1410500</v>
      </c>
    </row>
    <row r="1097" spans="1:25" x14ac:dyDescent="0.25">
      <c r="A1097">
        <v>65</v>
      </c>
      <c r="B1097" t="s">
        <v>2242</v>
      </c>
      <c r="C1097" t="s">
        <v>32</v>
      </c>
      <c r="D1097" t="s">
        <v>2302</v>
      </c>
      <c r="E1097">
        <v>151818</v>
      </c>
      <c r="F1097" t="s">
        <v>509</v>
      </c>
      <c r="G1097" t="s">
        <v>2303</v>
      </c>
      <c r="H1097" t="s">
        <v>502</v>
      </c>
      <c r="I1097" t="s">
        <v>508</v>
      </c>
      <c r="J1097" t="s">
        <v>506</v>
      </c>
      <c r="K1097" t="s">
        <v>506</v>
      </c>
      <c r="L1097" t="b">
        <v>1</v>
      </c>
      <c r="M1097" t="s">
        <v>31</v>
      </c>
      <c r="N1097" t="s">
        <v>32</v>
      </c>
      <c r="P1097" t="s">
        <v>579</v>
      </c>
      <c r="Q1097">
        <v>1</v>
      </c>
      <c r="R1097">
        <v>3</v>
      </c>
      <c r="S1097">
        <v>105.6</v>
      </c>
      <c r="T1097">
        <v>1370000</v>
      </c>
      <c r="U1097">
        <v>1370000</v>
      </c>
      <c r="V1097">
        <v>1</v>
      </c>
      <c r="W1097">
        <v>29968.75</v>
      </c>
      <c r="X1097">
        <v>1446720</v>
      </c>
      <c r="Y1097">
        <v>1476688.75</v>
      </c>
    </row>
    <row r="1098" spans="1:25" x14ac:dyDescent="0.25">
      <c r="A1098">
        <v>65</v>
      </c>
      <c r="B1098" t="s">
        <v>2242</v>
      </c>
      <c r="C1098" t="s">
        <v>32</v>
      </c>
      <c r="D1098" t="s">
        <v>510</v>
      </c>
      <c r="E1098">
        <v>758</v>
      </c>
      <c r="F1098" t="s">
        <v>511</v>
      </c>
      <c r="G1098" t="s">
        <v>512</v>
      </c>
      <c r="H1098" t="s">
        <v>149</v>
      </c>
      <c r="I1098" t="s">
        <v>513</v>
      </c>
      <c r="L1098" t="b">
        <v>1</v>
      </c>
      <c r="M1098" t="s">
        <v>81</v>
      </c>
      <c r="N1098" t="s">
        <v>32</v>
      </c>
      <c r="P1098" t="s">
        <v>579</v>
      </c>
      <c r="Q1098">
        <v>1</v>
      </c>
      <c r="R1098">
        <v>3</v>
      </c>
      <c r="S1098">
        <v>96.630000999999993</v>
      </c>
      <c r="T1098">
        <v>483200.1</v>
      </c>
      <c r="U1098">
        <v>690000</v>
      </c>
      <c r="V1098">
        <v>0.70030000000000003</v>
      </c>
      <c r="W1098">
        <v>1449.6</v>
      </c>
      <c r="X1098">
        <v>466916.26000000013</v>
      </c>
      <c r="Y1098">
        <v>468365.86</v>
      </c>
    </row>
    <row r="1099" spans="1:25" x14ac:dyDescent="0.25">
      <c r="A1099">
        <v>65</v>
      </c>
      <c r="B1099" t="s">
        <v>2242</v>
      </c>
      <c r="C1099" t="s">
        <v>32</v>
      </c>
      <c r="D1099" t="s">
        <v>1008</v>
      </c>
      <c r="E1099">
        <v>31968</v>
      </c>
      <c r="F1099" t="s">
        <v>1009</v>
      </c>
      <c r="G1099" t="s">
        <v>1010</v>
      </c>
      <c r="H1099" t="s">
        <v>517</v>
      </c>
      <c r="I1099" t="s">
        <v>1011</v>
      </c>
      <c r="L1099" t="b">
        <v>1</v>
      </c>
      <c r="M1099" t="s">
        <v>31</v>
      </c>
      <c r="N1099" t="s">
        <v>32</v>
      </c>
      <c r="P1099" t="s">
        <v>579</v>
      </c>
      <c r="Q1099">
        <v>1</v>
      </c>
      <c r="R1099">
        <v>3</v>
      </c>
      <c r="S1099">
        <v>61.83719</v>
      </c>
      <c r="T1099">
        <v>700000</v>
      </c>
      <c r="U1099">
        <v>700000</v>
      </c>
      <c r="V1099">
        <v>1</v>
      </c>
      <c r="W1099">
        <v>4586.46</v>
      </c>
      <c r="X1099">
        <v>432860.34</v>
      </c>
      <c r="Y1099">
        <v>437446.8</v>
      </c>
    </row>
    <row r="1100" spans="1:25" x14ac:dyDescent="0.25">
      <c r="A1100">
        <v>65</v>
      </c>
      <c r="B1100" t="s">
        <v>2242</v>
      </c>
      <c r="C1100" t="s">
        <v>32</v>
      </c>
      <c r="D1100" t="s">
        <v>1012</v>
      </c>
      <c r="E1100">
        <v>36293</v>
      </c>
      <c r="F1100" t="s">
        <v>1013</v>
      </c>
      <c r="G1100" t="s">
        <v>1014</v>
      </c>
      <c r="H1100" t="s">
        <v>517</v>
      </c>
      <c r="I1100" t="s">
        <v>1015</v>
      </c>
      <c r="L1100" t="b">
        <v>1</v>
      </c>
      <c r="M1100" t="s">
        <v>31</v>
      </c>
      <c r="N1100" t="s">
        <v>32</v>
      </c>
      <c r="P1100" t="s">
        <v>579</v>
      </c>
      <c r="Q1100">
        <v>1</v>
      </c>
      <c r="R1100">
        <v>3</v>
      </c>
      <c r="S1100">
        <v>61.8155</v>
      </c>
      <c r="T1100">
        <v>470000</v>
      </c>
      <c r="U1100">
        <v>470000</v>
      </c>
      <c r="V1100">
        <v>1</v>
      </c>
      <c r="W1100">
        <v>8667.25</v>
      </c>
      <c r="X1100">
        <v>290532.84999999998</v>
      </c>
      <c r="Y1100">
        <v>299200.09999999998</v>
      </c>
    </row>
    <row r="1101" spans="1:25" x14ac:dyDescent="0.25">
      <c r="A1101">
        <v>65</v>
      </c>
      <c r="B1101" t="s">
        <v>2242</v>
      </c>
      <c r="C1101" t="s">
        <v>32</v>
      </c>
      <c r="D1101" t="s">
        <v>1016</v>
      </c>
      <c r="E1101">
        <v>4244</v>
      </c>
      <c r="F1101" t="s">
        <v>1017</v>
      </c>
      <c r="G1101" t="s">
        <v>1018</v>
      </c>
      <c r="H1101" t="s">
        <v>517</v>
      </c>
      <c r="I1101" t="s">
        <v>1019</v>
      </c>
      <c r="L1101" t="b">
        <v>1</v>
      </c>
      <c r="M1101" t="s">
        <v>31</v>
      </c>
      <c r="N1101" t="s">
        <v>32</v>
      </c>
      <c r="P1101" t="s">
        <v>579</v>
      </c>
      <c r="Q1101">
        <v>1</v>
      </c>
      <c r="R1101">
        <v>3</v>
      </c>
      <c r="S1101">
        <v>83.910499999999999</v>
      </c>
      <c r="T1101">
        <v>3243000</v>
      </c>
      <c r="U1101">
        <v>3243000</v>
      </c>
      <c r="V1101">
        <v>1</v>
      </c>
      <c r="W1101">
        <v>1824.18</v>
      </c>
      <c r="X1101">
        <v>2721217.53</v>
      </c>
      <c r="Y1101">
        <v>2723041.71</v>
      </c>
    </row>
    <row r="1102" spans="1:25" x14ac:dyDescent="0.25">
      <c r="A1102">
        <v>65</v>
      </c>
      <c r="B1102" t="s">
        <v>2242</v>
      </c>
      <c r="C1102" t="s">
        <v>32</v>
      </c>
      <c r="D1102" t="s">
        <v>2304</v>
      </c>
      <c r="E1102">
        <v>132058</v>
      </c>
      <c r="F1102" t="s">
        <v>522</v>
      </c>
      <c r="G1102" t="s">
        <v>2305</v>
      </c>
      <c r="H1102" t="s">
        <v>517</v>
      </c>
      <c r="I1102" t="s">
        <v>521</v>
      </c>
      <c r="J1102" t="s">
        <v>519</v>
      </c>
      <c r="K1102" t="s">
        <v>519</v>
      </c>
      <c r="L1102" t="b">
        <v>1</v>
      </c>
      <c r="M1102" t="s">
        <v>31</v>
      </c>
      <c r="N1102" t="s">
        <v>32</v>
      </c>
      <c r="P1102" t="s">
        <v>579</v>
      </c>
      <c r="Q1102">
        <v>1</v>
      </c>
      <c r="R1102">
        <v>3</v>
      </c>
      <c r="S1102">
        <v>70.6815</v>
      </c>
      <c r="T1102">
        <v>500000</v>
      </c>
      <c r="U1102">
        <v>500000</v>
      </c>
      <c r="V1102">
        <v>1</v>
      </c>
      <c r="W1102">
        <v>6902.7800000000007</v>
      </c>
      <c r="X1102">
        <v>353407.5</v>
      </c>
      <c r="Y1102">
        <v>360310.28</v>
      </c>
    </row>
    <row r="1103" spans="1:25" x14ac:dyDescent="0.25">
      <c r="A1103">
        <v>65</v>
      </c>
      <c r="B1103" t="s">
        <v>2242</v>
      </c>
      <c r="C1103" t="s">
        <v>32</v>
      </c>
      <c r="D1103" t="s">
        <v>1020</v>
      </c>
      <c r="E1103">
        <v>31570</v>
      </c>
      <c r="F1103" t="s">
        <v>1021</v>
      </c>
      <c r="G1103" t="s">
        <v>1022</v>
      </c>
      <c r="H1103" t="s">
        <v>526</v>
      </c>
      <c r="I1103" t="s">
        <v>1023</v>
      </c>
      <c r="L1103" t="b">
        <v>1</v>
      </c>
      <c r="M1103" t="s">
        <v>81</v>
      </c>
      <c r="N1103" t="s">
        <v>32</v>
      </c>
      <c r="P1103" t="s">
        <v>579</v>
      </c>
      <c r="Q1103">
        <v>1</v>
      </c>
      <c r="R1103">
        <v>3</v>
      </c>
      <c r="S1103">
        <v>93.282471000000001</v>
      </c>
      <c r="T1103">
        <v>340000</v>
      </c>
      <c r="U1103">
        <v>340000</v>
      </c>
      <c r="V1103">
        <v>1</v>
      </c>
      <c r="W1103">
        <v>6217.75</v>
      </c>
      <c r="X1103">
        <v>317160.40000000002</v>
      </c>
      <c r="Y1103">
        <v>323378.15000000002</v>
      </c>
    </row>
    <row r="1104" spans="1:25" x14ac:dyDescent="0.25">
      <c r="A1104">
        <v>65</v>
      </c>
      <c r="B1104" t="s">
        <v>2242</v>
      </c>
      <c r="C1104" t="s">
        <v>32</v>
      </c>
      <c r="D1104" t="s">
        <v>2306</v>
      </c>
      <c r="E1104">
        <v>179278</v>
      </c>
      <c r="F1104" t="s">
        <v>1029</v>
      </c>
      <c r="G1104" t="s">
        <v>2307</v>
      </c>
      <c r="H1104" t="s">
        <v>1027</v>
      </c>
      <c r="I1104" t="s">
        <v>1028</v>
      </c>
      <c r="J1104" t="s">
        <v>1025</v>
      </c>
      <c r="K1104" t="s">
        <v>1025</v>
      </c>
      <c r="L1104" t="b">
        <v>1</v>
      </c>
      <c r="M1104" t="s">
        <v>1030</v>
      </c>
      <c r="N1104" t="s">
        <v>32</v>
      </c>
      <c r="P1104" t="s">
        <v>579</v>
      </c>
      <c r="Q1104">
        <v>1</v>
      </c>
      <c r="R1104">
        <v>3</v>
      </c>
      <c r="S1104">
        <v>103.3317</v>
      </c>
      <c r="T1104">
        <v>250000</v>
      </c>
      <c r="U1104">
        <v>250000</v>
      </c>
      <c r="V1104">
        <v>1</v>
      </c>
      <c r="W1104">
        <v>10781.25</v>
      </c>
      <c r="X1104">
        <v>258329.25</v>
      </c>
      <c r="Y1104">
        <v>269110.5</v>
      </c>
    </row>
    <row r="1105" spans="1:25" x14ac:dyDescent="0.25">
      <c r="A1105">
        <v>65</v>
      </c>
      <c r="B1105" t="s">
        <v>2242</v>
      </c>
      <c r="C1105" t="s">
        <v>32</v>
      </c>
      <c r="D1105" t="s">
        <v>1037</v>
      </c>
      <c r="E1105">
        <v>4304</v>
      </c>
      <c r="F1105" t="s">
        <v>1036</v>
      </c>
      <c r="G1105" t="s">
        <v>1038</v>
      </c>
      <c r="H1105" t="s">
        <v>1034</v>
      </c>
      <c r="I1105" t="s">
        <v>1035</v>
      </c>
      <c r="J1105" t="s">
        <v>1032</v>
      </c>
      <c r="K1105" t="s">
        <v>1032</v>
      </c>
      <c r="L1105" t="b">
        <v>1</v>
      </c>
      <c r="M1105" t="s">
        <v>44</v>
      </c>
      <c r="N1105" t="s">
        <v>32</v>
      </c>
      <c r="P1105" t="s">
        <v>579</v>
      </c>
      <c r="Q1105">
        <v>1</v>
      </c>
      <c r="R1105">
        <v>3</v>
      </c>
      <c r="S1105">
        <v>0.251</v>
      </c>
      <c r="T1105">
        <v>1150000</v>
      </c>
      <c r="U1105">
        <v>1150000</v>
      </c>
      <c r="V1105">
        <v>1</v>
      </c>
      <c r="W1105">
        <v>0</v>
      </c>
      <c r="X1105">
        <v>2886.5</v>
      </c>
      <c r="Y1105">
        <v>2886.5</v>
      </c>
    </row>
    <row r="1106" spans="1:25" x14ac:dyDescent="0.25">
      <c r="A1106">
        <v>65</v>
      </c>
      <c r="B1106" t="s">
        <v>2242</v>
      </c>
      <c r="C1106" t="s">
        <v>32</v>
      </c>
      <c r="D1106" t="s">
        <v>528</v>
      </c>
      <c r="E1106">
        <v>35708</v>
      </c>
      <c r="F1106" t="s">
        <v>529</v>
      </c>
      <c r="G1106" t="s">
        <v>530</v>
      </c>
      <c r="H1106" t="s">
        <v>531</v>
      </c>
      <c r="I1106" t="s">
        <v>530</v>
      </c>
      <c r="L1106" t="b">
        <v>0</v>
      </c>
      <c r="M1106" t="s">
        <v>81</v>
      </c>
      <c r="N1106" t="s">
        <v>32</v>
      </c>
      <c r="P1106" t="s">
        <v>579</v>
      </c>
      <c r="Q1106">
        <v>1</v>
      </c>
      <c r="R1106">
        <v>3</v>
      </c>
      <c r="S1106">
        <v>91.244900000000001</v>
      </c>
      <c r="T1106">
        <v>790000</v>
      </c>
      <c r="U1106">
        <v>790000</v>
      </c>
      <c r="V1106">
        <v>1</v>
      </c>
      <c r="W1106">
        <v>9032.8799999999992</v>
      </c>
      <c r="X1106">
        <v>720834.71</v>
      </c>
      <c r="Y1106">
        <v>729867.59</v>
      </c>
    </row>
    <row r="1107" spans="1:25" x14ac:dyDescent="0.25">
      <c r="A1107">
        <v>65</v>
      </c>
      <c r="B1107" t="s">
        <v>2242</v>
      </c>
      <c r="C1107" t="s">
        <v>32</v>
      </c>
      <c r="D1107" t="s">
        <v>1039</v>
      </c>
      <c r="E1107">
        <v>30502</v>
      </c>
      <c r="F1107" t="s">
        <v>1040</v>
      </c>
      <c r="G1107" t="s">
        <v>1041</v>
      </c>
      <c r="H1107" t="s">
        <v>531</v>
      </c>
      <c r="I1107" t="s">
        <v>1041</v>
      </c>
      <c r="L1107" t="b">
        <v>0</v>
      </c>
      <c r="M1107" t="s">
        <v>81</v>
      </c>
      <c r="N1107" t="s">
        <v>32</v>
      </c>
      <c r="P1107" t="s">
        <v>579</v>
      </c>
      <c r="Q1107">
        <v>1</v>
      </c>
      <c r="R1107">
        <v>3</v>
      </c>
      <c r="S1107">
        <v>79.492226000000002</v>
      </c>
      <c r="T1107">
        <v>1440000</v>
      </c>
      <c r="U1107">
        <v>1440000</v>
      </c>
      <c r="V1107">
        <v>1</v>
      </c>
      <c r="W1107">
        <v>14805</v>
      </c>
      <c r="X1107">
        <v>1144688.05</v>
      </c>
      <c r="Y1107">
        <v>1159493.05</v>
      </c>
    </row>
    <row r="1108" spans="1:25" x14ac:dyDescent="0.25">
      <c r="A1108">
        <v>65</v>
      </c>
      <c r="B1108" t="s">
        <v>2242</v>
      </c>
      <c r="C1108" t="s">
        <v>32</v>
      </c>
      <c r="D1108" t="s">
        <v>1042</v>
      </c>
      <c r="E1108">
        <v>35709</v>
      </c>
      <c r="F1108" t="s">
        <v>1043</v>
      </c>
      <c r="G1108" t="s">
        <v>1044</v>
      </c>
      <c r="H1108" t="s">
        <v>531</v>
      </c>
      <c r="I1108" t="s">
        <v>1044</v>
      </c>
      <c r="L1108" t="b">
        <v>0</v>
      </c>
      <c r="M1108" t="s">
        <v>81</v>
      </c>
      <c r="N1108" t="s">
        <v>32</v>
      </c>
      <c r="P1108" t="s">
        <v>579</v>
      </c>
      <c r="Q1108">
        <v>1</v>
      </c>
      <c r="R1108">
        <v>3</v>
      </c>
      <c r="S1108">
        <v>77.224520999999996</v>
      </c>
      <c r="T1108">
        <v>430000</v>
      </c>
      <c r="U1108">
        <v>430000</v>
      </c>
      <c r="V1108">
        <v>1</v>
      </c>
      <c r="W1108">
        <v>6245.4500000000007</v>
      </c>
      <c r="X1108">
        <v>332065.44</v>
      </c>
      <c r="Y1108">
        <v>338310.89</v>
      </c>
    </row>
    <row r="1109" spans="1:25" x14ac:dyDescent="0.25">
      <c r="A1109">
        <v>65</v>
      </c>
      <c r="B1109" t="s">
        <v>2242</v>
      </c>
      <c r="C1109" t="s">
        <v>32</v>
      </c>
      <c r="D1109" t="s">
        <v>1045</v>
      </c>
      <c r="E1109">
        <v>2754</v>
      </c>
      <c r="F1109" t="s">
        <v>1046</v>
      </c>
      <c r="G1109" t="s">
        <v>1047</v>
      </c>
      <c r="H1109" t="s">
        <v>531</v>
      </c>
      <c r="I1109" t="s">
        <v>1047</v>
      </c>
      <c r="L1109" t="b">
        <v>0</v>
      </c>
      <c r="M1109" t="s">
        <v>81</v>
      </c>
      <c r="N1109" t="s">
        <v>32</v>
      </c>
      <c r="P1109" t="s">
        <v>579</v>
      </c>
      <c r="Q1109">
        <v>1</v>
      </c>
      <c r="R1109">
        <v>3</v>
      </c>
      <c r="S1109">
        <v>101.4118</v>
      </c>
      <c r="T1109">
        <v>430000</v>
      </c>
      <c r="U1109">
        <v>430000</v>
      </c>
      <c r="V1109">
        <v>1</v>
      </c>
      <c r="W1109">
        <v>7554.8700000000008</v>
      </c>
      <c r="X1109">
        <v>436070.74</v>
      </c>
      <c r="Y1109">
        <v>443625.61</v>
      </c>
    </row>
    <row r="1110" spans="1:25" x14ac:dyDescent="0.25">
      <c r="A1110">
        <v>65</v>
      </c>
      <c r="B1110" t="s">
        <v>2242</v>
      </c>
      <c r="C1110" t="s">
        <v>32</v>
      </c>
      <c r="D1110" t="s">
        <v>1048</v>
      </c>
      <c r="E1110">
        <v>30501</v>
      </c>
      <c r="F1110" t="s">
        <v>1049</v>
      </c>
      <c r="G1110" t="s">
        <v>1050</v>
      </c>
      <c r="H1110" t="s">
        <v>531</v>
      </c>
      <c r="I1110" t="s">
        <v>1050</v>
      </c>
      <c r="L1110" t="b">
        <v>0</v>
      </c>
      <c r="M1110" t="s">
        <v>81</v>
      </c>
      <c r="N1110" t="s">
        <v>32</v>
      </c>
      <c r="P1110" t="s">
        <v>579</v>
      </c>
      <c r="Q1110">
        <v>1</v>
      </c>
      <c r="R1110">
        <v>3</v>
      </c>
      <c r="S1110">
        <v>96.238879999999995</v>
      </c>
      <c r="T1110">
        <v>250000</v>
      </c>
      <c r="U1110">
        <v>250000</v>
      </c>
      <c r="V1110">
        <v>1</v>
      </c>
      <c r="W1110">
        <v>6811.63</v>
      </c>
      <c r="X1110">
        <v>240597.2</v>
      </c>
      <c r="Y1110">
        <v>247408.83</v>
      </c>
    </row>
    <row r="1111" spans="1:25" x14ac:dyDescent="0.25">
      <c r="A1111">
        <v>65</v>
      </c>
      <c r="B1111" t="s">
        <v>2242</v>
      </c>
      <c r="C1111" t="s">
        <v>32</v>
      </c>
      <c r="D1111" t="s">
        <v>532</v>
      </c>
      <c r="E1111">
        <v>149965</v>
      </c>
      <c r="F1111" t="s">
        <v>533</v>
      </c>
      <c r="G1111" t="s">
        <v>534</v>
      </c>
      <c r="H1111" t="s">
        <v>531</v>
      </c>
      <c r="I1111" t="s">
        <v>534</v>
      </c>
      <c r="L1111" t="b">
        <v>0</v>
      </c>
      <c r="M1111" t="s">
        <v>81</v>
      </c>
      <c r="N1111" t="s">
        <v>32</v>
      </c>
      <c r="P1111" t="s">
        <v>579</v>
      </c>
      <c r="Q1111">
        <v>1</v>
      </c>
      <c r="R1111">
        <v>3</v>
      </c>
      <c r="S1111">
        <v>103.3185</v>
      </c>
      <c r="T1111">
        <v>690000</v>
      </c>
      <c r="U1111">
        <v>690000</v>
      </c>
      <c r="V1111">
        <v>1</v>
      </c>
      <c r="W1111">
        <v>26737.5</v>
      </c>
      <c r="X1111">
        <v>712897.65</v>
      </c>
      <c r="Y1111">
        <v>739635.15</v>
      </c>
    </row>
    <row r="1112" spans="1:25" x14ac:dyDescent="0.25">
      <c r="A1112">
        <v>65</v>
      </c>
      <c r="B1112" t="s">
        <v>2242</v>
      </c>
      <c r="C1112" t="s">
        <v>32</v>
      </c>
      <c r="D1112" t="s">
        <v>1051</v>
      </c>
      <c r="E1112">
        <v>120782</v>
      </c>
      <c r="F1112" t="s">
        <v>1052</v>
      </c>
      <c r="G1112" t="s">
        <v>1053</v>
      </c>
      <c r="H1112" t="s">
        <v>531</v>
      </c>
      <c r="I1112" t="s">
        <v>1053</v>
      </c>
      <c r="L1112" t="b">
        <v>0</v>
      </c>
      <c r="M1112" t="s">
        <v>81</v>
      </c>
      <c r="N1112" t="s">
        <v>32</v>
      </c>
      <c r="P1112" t="s">
        <v>579</v>
      </c>
      <c r="Q1112">
        <v>1</v>
      </c>
      <c r="R1112">
        <v>3</v>
      </c>
      <c r="S1112">
        <v>105.729692</v>
      </c>
      <c r="T1112">
        <v>730000</v>
      </c>
      <c r="U1112">
        <v>730000</v>
      </c>
      <c r="V1112">
        <v>1</v>
      </c>
      <c r="W1112">
        <v>2037.92</v>
      </c>
      <c r="X1112">
        <v>771826.75</v>
      </c>
      <c r="Y1112">
        <v>773864.67</v>
      </c>
    </row>
    <row r="1113" spans="1:25" x14ac:dyDescent="0.25">
      <c r="A1113">
        <v>65</v>
      </c>
      <c r="B1113" t="s">
        <v>2242</v>
      </c>
      <c r="C1113" t="s">
        <v>32</v>
      </c>
      <c r="D1113" t="s">
        <v>535</v>
      </c>
      <c r="E1113">
        <v>53259</v>
      </c>
      <c r="F1113" t="s">
        <v>536</v>
      </c>
      <c r="G1113" t="s">
        <v>537</v>
      </c>
      <c r="H1113" t="s">
        <v>531</v>
      </c>
      <c r="I1113" t="s">
        <v>537</v>
      </c>
      <c r="L1113" t="b">
        <v>0</v>
      </c>
      <c r="M1113" t="s">
        <v>81</v>
      </c>
      <c r="N1113" t="s">
        <v>32</v>
      </c>
      <c r="P1113" t="s">
        <v>579</v>
      </c>
      <c r="Q1113">
        <v>1</v>
      </c>
      <c r="R1113">
        <v>3</v>
      </c>
      <c r="S1113">
        <v>108.062</v>
      </c>
      <c r="T1113">
        <v>1180000</v>
      </c>
      <c r="U1113">
        <v>1180000</v>
      </c>
      <c r="V1113">
        <v>1</v>
      </c>
      <c r="W1113">
        <v>5236.25</v>
      </c>
      <c r="X1113">
        <v>1275131.6000000001</v>
      </c>
      <c r="Y1113">
        <v>1280367.8500000001</v>
      </c>
    </row>
    <row r="1114" spans="1:25" x14ac:dyDescent="0.25">
      <c r="A1114">
        <v>65</v>
      </c>
      <c r="B1114" t="s">
        <v>2242</v>
      </c>
      <c r="C1114" t="s">
        <v>32</v>
      </c>
      <c r="D1114" t="s">
        <v>2308</v>
      </c>
      <c r="E1114">
        <v>187870</v>
      </c>
      <c r="F1114" t="s">
        <v>1059</v>
      </c>
      <c r="G1114" t="s">
        <v>2309</v>
      </c>
      <c r="H1114" t="s">
        <v>1057</v>
      </c>
      <c r="I1114" t="s">
        <v>1058</v>
      </c>
      <c r="J1114" t="s">
        <v>1055</v>
      </c>
      <c r="K1114" t="s">
        <v>1055</v>
      </c>
      <c r="L1114" t="b">
        <v>1</v>
      </c>
      <c r="M1114" t="s">
        <v>895</v>
      </c>
      <c r="N1114" t="s">
        <v>32</v>
      </c>
      <c r="P1114" t="s">
        <v>579</v>
      </c>
      <c r="Q1114">
        <v>1</v>
      </c>
      <c r="R1114">
        <v>3</v>
      </c>
      <c r="S1114">
        <v>98.591616000000002</v>
      </c>
      <c r="T1114">
        <v>250000</v>
      </c>
      <c r="U1114">
        <v>250000</v>
      </c>
      <c r="V1114">
        <v>1</v>
      </c>
      <c r="W1114">
        <v>5556.25</v>
      </c>
      <c r="X1114">
        <v>246479.04</v>
      </c>
      <c r="Y1114">
        <v>252035.29</v>
      </c>
    </row>
    <row r="1115" spans="1:25" x14ac:dyDescent="0.25">
      <c r="A1115">
        <v>65</v>
      </c>
      <c r="B1115" t="s">
        <v>2242</v>
      </c>
      <c r="C1115" t="s">
        <v>32</v>
      </c>
      <c r="D1115" t="s">
        <v>1060</v>
      </c>
      <c r="E1115">
        <v>221753</v>
      </c>
      <c r="F1115" t="s">
        <v>1061</v>
      </c>
      <c r="G1115" t="s">
        <v>1062</v>
      </c>
      <c r="H1115" t="s">
        <v>1063</v>
      </c>
      <c r="I1115" t="s">
        <v>1062</v>
      </c>
      <c r="L1115" t="b">
        <v>0</v>
      </c>
      <c r="M1115" t="s">
        <v>31</v>
      </c>
      <c r="N1115" t="s">
        <v>32</v>
      </c>
      <c r="P1115" t="s">
        <v>579</v>
      </c>
      <c r="Q1115">
        <v>1</v>
      </c>
      <c r="R1115">
        <v>3</v>
      </c>
      <c r="S1115">
        <v>99.596552000000003</v>
      </c>
      <c r="T1115">
        <v>900000</v>
      </c>
      <c r="U1115">
        <v>900000</v>
      </c>
      <c r="V1115">
        <v>1</v>
      </c>
      <c r="W1115">
        <v>8440.6299999999992</v>
      </c>
      <c r="X1115">
        <v>896368.97</v>
      </c>
      <c r="Y1115">
        <v>904809.6</v>
      </c>
    </row>
    <row r="1116" spans="1:25" x14ac:dyDescent="0.25">
      <c r="A1116">
        <v>65</v>
      </c>
      <c r="B1116" t="s">
        <v>2242</v>
      </c>
      <c r="C1116" t="s">
        <v>32</v>
      </c>
      <c r="D1116" t="s">
        <v>2310</v>
      </c>
      <c r="E1116">
        <v>187872</v>
      </c>
      <c r="F1116" t="s">
        <v>1082</v>
      </c>
      <c r="G1116" t="s">
        <v>2311</v>
      </c>
      <c r="H1116" t="s">
        <v>1080</v>
      </c>
      <c r="I1116" t="s">
        <v>1081</v>
      </c>
      <c r="J1116" t="s">
        <v>1078</v>
      </c>
      <c r="K1116" t="s">
        <v>1078</v>
      </c>
      <c r="L1116" t="b">
        <v>1</v>
      </c>
      <c r="M1116" t="s">
        <v>44</v>
      </c>
      <c r="N1116" t="s">
        <v>32</v>
      </c>
      <c r="P1116" t="s">
        <v>579</v>
      </c>
      <c r="Q1116">
        <v>1</v>
      </c>
      <c r="R1116">
        <v>3</v>
      </c>
      <c r="S1116">
        <v>96.125000999999997</v>
      </c>
      <c r="T1116">
        <v>194290</v>
      </c>
      <c r="U1116">
        <v>200000</v>
      </c>
      <c r="V1116">
        <v>0.97150000000000003</v>
      </c>
      <c r="W1116">
        <v>1204.8699999999999</v>
      </c>
      <c r="X1116">
        <v>186761.26</v>
      </c>
      <c r="Y1116">
        <v>187966.13</v>
      </c>
    </row>
    <row r="1117" spans="1:25" x14ac:dyDescent="0.25">
      <c r="A1117">
        <v>65</v>
      </c>
      <c r="B1117" t="s">
        <v>2242</v>
      </c>
      <c r="C1117" t="s">
        <v>32</v>
      </c>
      <c r="D1117" t="s">
        <v>2312</v>
      </c>
      <c r="E1117">
        <v>132060</v>
      </c>
      <c r="F1117" t="s">
        <v>1088</v>
      </c>
      <c r="G1117" t="s">
        <v>2313</v>
      </c>
      <c r="H1117" t="s">
        <v>1086</v>
      </c>
      <c r="I1117" t="s">
        <v>1087</v>
      </c>
      <c r="J1117" t="s">
        <v>1084</v>
      </c>
      <c r="K1117" t="s">
        <v>1084</v>
      </c>
      <c r="L1117" t="b">
        <v>1</v>
      </c>
      <c r="M1117" t="s">
        <v>81</v>
      </c>
      <c r="N1117" t="s">
        <v>32</v>
      </c>
      <c r="P1117" t="s">
        <v>579</v>
      </c>
      <c r="Q1117">
        <v>1</v>
      </c>
      <c r="R1117">
        <v>3</v>
      </c>
      <c r="S1117">
        <v>99.8125</v>
      </c>
      <c r="T1117">
        <v>460000</v>
      </c>
      <c r="U1117">
        <v>460000</v>
      </c>
      <c r="V1117">
        <v>1</v>
      </c>
      <c r="W1117">
        <v>3924.38</v>
      </c>
      <c r="X1117">
        <v>459137.5</v>
      </c>
      <c r="Y1117">
        <v>463061.88</v>
      </c>
    </row>
    <row r="1118" spans="1:25" x14ac:dyDescent="0.25">
      <c r="A1118">
        <v>65</v>
      </c>
      <c r="B1118" t="s">
        <v>2242</v>
      </c>
      <c r="C1118" t="s">
        <v>32</v>
      </c>
      <c r="D1118" t="s">
        <v>2314</v>
      </c>
      <c r="E1118">
        <v>147063</v>
      </c>
      <c r="F1118" t="s">
        <v>543</v>
      </c>
      <c r="G1118" t="s">
        <v>2315</v>
      </c>
      <c r="H1118" t="s">
        <v>541</v>
      </c>
      <c r="I1118" t="s">
        <v>542</v>
      </c>
      <c r="J1118" t="s">
        <v>539</v>
      </c>
      <c r="K1118" t="s">
        <v>539</v>
      </c>
      <c r="L1118" t="b">
        <v>1</v>
      </c>
      <c r="M1118" t="s">
        <v>44</v>
      </c>
      <c r="N1118" t="s">
        <v>32</v>
      </c>
      <c r="P1118" t="s">
        <v>579</v>
      </c>
      <c r="Q1118">
        <v>1</v>
      </c>
      <c r="R1118">
        <v>3</v>
      </c>
      <c r="S1118">
        <v>99.444999999999993</v>
      </c>
      <c r="T1118">
        <v>894062</v>
      </c>
      <c r="U1118">
        <v>910000</v>
      </c>
      <c r="V1118">
        <v>0.98250000000000004</v>
      </c>
      <c r="W1118">
        <v>180.0499999999993</v>
      </c>
      <c r="X1118">
        <v>889099.95999999985</v>
      </c>
      <c r="Y1118">
        <v>889280.00999999989</v>
      </c>
    </row>
    <row r="1119" spans="1:25" x14ac:dyDescent="0.25">
      <c r="A1119">
        <v>65</v>
      </c>
      <c r="B1119" t="s">
        <v>2242</v>
      </c>
      <c r="C1119" t="s">
        <v>32</v>
      </c>
      <c r="D1119" t="s">
        <v>544</v>
      </c>
      <c r="E1119">
        <v>32196</v>
      </c>
      <c r="F1119" t="s">
        <v>545</v>
      </c>
      <c r="G1119" t="s">
        <v>546</v>
      </c>
      <c r="H1119" t="s">
        <v>547</v>
      </c>
      <c r="I1119" t="s">
        <v>548</v>
      </c>
      <c r="L1119" t="b">
        <v>1</v>
      </c>
      <c r="M1119" t="s">
        <v>44</v>
      </c>
      <c r="N1119" t="s">
        <v>32</v>
      </c>
      <c r="P1119" t="s">
        <v>579</v>
      </c>
      <c r="Q1119">
        <v>1</v>
      </c>
      <c r="R1119">
        <v>3</v>
      </c>
      <c r="S1119">
        <v>90.641070999999997</v>
      </c>
      <c r="T1119">
        <v>280000</v>
      </c>
      <c r="U1119">
        <v>280000</v>
      </c>
      <c r="V1119">
        <v>1</v>
      </c>
      <c r="W1119">
        <v>306.25</v>
      </c>
      <c r="X1119">
        <v>253795</v>
      </c>
      <c r="Y1119">
        <v>254101.25</v>
      </c>
    </row>
    <row r="1120" spans="1:25" x14ac:dyDescent="0.25">
      <c r="A1120">
        <v>65</v>
      </c>
      <c r="B1120" t="s">
        <v>2242</v>
      </c>
      <c r="C1120" t="s">
        <v>32</v>
      </c>
      <c r="D1120" t="s">
        <v>2316</v>
      </c>
      <c r="E1120">
        <v>218887</v>
      </c>
      <c r="F1120" t="s">
        <v>553</v>
      </c>
      <c r="G1120" t="s">
        <v>2317</v>
      </c>
      <c r="H1120" t="s">
        <v>547</v>
      </c>
      <c r="I1120" t="s">
        <v>552</v>
      </c>
      <c r="J1120" t="s">
        <v>550</v>
      </c>
      <c r="K1120" t="s">
        <v>550</v>
      </c>
      <c r="L1120" t="b">
        <v>1</v>
      </c>
      <c r="M1120" t="s">
        <v>44</v>
      </c>
      <c r="N1120" t="s">
        <v>32</v>
      </c>
      <c r="P1120" t="s">
        <v>579</v>
      </c>
      <c r="Q1120">
        <v>1</v>
      </c>
      <c r="R1120">
        <v>3</v>
      </c>
      <c r="S1120">
        <v>98.25</v>
      </c>
      <c r="T1120">
        <v>300000</v>
      </c>
      <c r="U1120">
        <v>300000</v>
      </c>
      <c r="V1120">
        <v>1</v>
      </c>
      <c r="W1120">
        <v>3740.63</v>
      </c>
      <c r="X1120">
        <v>294750</v>
      </c>
      <c r="Y1120">
        <v>298490.63</v>
      </c>
    </row>
    <row r="1121" spans="1:25" x14ac:dyDescent="0.25">
      <c r="A1121">
        <v>65</v>
      </c>
      <c r="B1121" t="s">
        <v>2242</v>
      </c>
      <c r="C1121" t="s">
        <v>32</v>
      </c>
      <c r="D1121" t="s">
        <v>1119</v>
      </c>
      <c r="E1121">
        <v>129278</v>
      </c>
      <c r="F1121" t="s">
        <v>1120</v>
      </c>
      <c r="G1121" t="s">
        <v>1121</v>
      </c>
      <c r="H1121" t="s">
        <v>1122</v>
      </c>
      <c r="I1121" t="s">
        <v>1121</v>
      </c>
      <c r="L1121" t="b">
        <v>0</v>
      </c>
      <c r="M1121" t="s">
        <v>31</v>
      </c>
      <c r="N1121" t="s">
        <v>32</v>
      </c>
      <c r="P1121" t="s">
        <v>579</v>
      </c>
      <c r="Q1121">
        <v>1</v>
      </c>
      <c r="R1121">
        <v>3</v>
      </c>
      <c r="S1121">
        <v>77.751350000000002</v>
      </c>
      <c r="T1121">
        <v>100000</v>
      </c>
      <c r="U1121">
        <v>100000</v>
      </c>
      <c r="V1121">
        <v>1</v>
      </c>
      <c r="W1121">
        <v>177.78</v>
      </c>
      <c r="X1121">
        <v>77751.360000000001</v>
      </c>
      <c r="Y1121">
        <v>77929.14</v>
      </c>
    </row>
    <row r="1122" spans="1:25" x14ac:dyDescent="0.25">
      <c r="A1122">
        <v>65</v>
      </c>
      <c r="B1122" t="s">
        <v>2242</v>
      </c>
      <c r="C1122" t="s">
        <v>32</v>
      </c>
      <c r="D1122" t="s">
        <v>1101</v>
      </c>
      <c r="E1122">
        <v>95961</v>
      </c>
      <c r="F1122" t="s">
        <v>1102</v>
      </c>
      <c r="G1122" t="s">
        <v>1103</v>
      </c>
      <c r="H1122" t="s">
        <v>557</v>
      </c>
      <c r="I1122" t="s">
        <v>1104</v>
      </c>
      <c r="L1122" t="b">
        <v>1</v>
      </c>
      <c r="M1122" t="s">
        <v>31</v>
      </c>
      <c r="N1122" t="s">
        <v>32</v>
      </c>
      <c r="P1122" t="s">
        <v>579</v>
      </c>
      <c r="Q1122">
        <v>1</v>
      </c>
      <c r="R1122">
        <v>3</v>
      </c>
      <c r="S1122">
        <v>97.349990000000005</v>
      </c>
      <c r="T1122">
        <v>25095</v>
      </c>
      <c r="U1122">
        <v>25095</v>
      </c>
      <c r="V1122">
        <v>1</v>
      </c>
      <c r="W1122">
        <v>18.82</v>
      </c>
      <c r="X1122">
        <v>24429.98</v>
      </c>
      <c r="Y1122">
        <v>24448.799999999999</v>
      </c>
    </row>
    <row r="1123" spans="1:25" x14ac:dyDescent="0.25">
      <c r="A1123">
        <v>65</v>
      </c>
      <c r="B1123" t="s">
        <v>2242</v>
      </c>
      <c r="C1123" t="s">
        <v>32</v>
      </c>
      <c r="D1123" t="s">
        <v>554</v>
      </c>
      <c r="E1123">
        <v>95963</v>
      </c>
      <c r="F1123" t="s">
        <v>555</v>
      </c>
      <c r="G1123" t="s">
        <v>556</v>
      </c>
      <c r="H1123" t="s">
        <v>557</v>
      </c>
      <c r="I1123" t="s">
        <v>558</v>
      </c>
      <c r="L1123" t="b">
        <v>1</v>
      </c>
      <c r="M1123" t="s">
        <v>31</v>
      </c>
      <c r="N1123" t="s">
        <v>32</v>
      </c>
      <c r="P1123" t="s">
        <v>579</v>
      </c>
      <c r="Q1123">
        <v>1</v>
      </c>
      <c r="R1123">
        <v>3</v>
      </c>
      <c r="S1123">
        <v>99.350961999999996</v>
      </c>
      <c r="T1123">
        <v>3000000</v>
      </c>
      <c r="U1123">
        <v>3000000</v>
      </c>
      <c r="V1123">
        <v>1</v>
      </c>
      <c r="W1123">
        <v>28750</v>
      </c>
      <c r="X1123">
        <v>2980528.86</v>
      </c>
      <c r="Y1123">
        <v>3009278.86</v>
      </c>
    </row>
    <row r="1124" spans="1:25" x14ac:dyDescent="0.25">
      <c r="A1124">
        <v>65</v>
      </c>
      <c r="B1124" t="s">
        <v>2242</v>
      </c>
      <c r="C1124" t="s">
        <v>32</v>
      </c>
      <c r="D1124" t="s">
        <v>2318</v>
      </c>
      <c r="E1124">
        <v>149071</v>
      </c>
      <c r="F1124" t="s">
        <v>1128</v>
      </c>
      <c r="G1124" t="s">
        <v>2319</v>
      </c>
      <c r="H1124" t="s">
        <v>1126</v>
      </c>
      <c r="I1124" t="s">
        <v>1127</v>
      </c>
      <c r="J1124" t="s">
        <v>1124</v>
      </c>
      <c r="K1124" t="s">
        <v>1124</v>
      </c>
      <c r="L1124" t="b">
        <v>1</v>
      </c>
      <c r="M1124" t="s">
        <v>112</v>
      </c>
      <c r="N1124" t="s">
        <v>32</v>
      </c>
      <c r="P1124" t="s">
        <v>579</v>
      </c>
      <c r="Q1124">
        <v>1</v>
      </c>
      <c r="R1124">
        <v>3</v>
      </c>
      <c r="S1124">
        <v>102.235</v>
      </c>
      <c r="T1124">
        <v>460000</v>
      </c>
      <c r="U1124">
        <v>460000</v>
      </c>
      <c r="V1124">
        <v>1</v>
      </c>
      <c r="W1124">
        <v>10992.08</v>
      </c>
      <c r="X1124">
        <v>470281.00000000012</v>
      </c>
      <c r="Y1124">
        <v>481273.08000000007</v>
      </c>
    </row>
    <row r="1125" spans="1:25" x14ac:dyDescent="0.25">
      <c r="A1125">
        <v>65</v>
      </c>
      <c r="B1125" t="s">
        <v>2242</v>
      </c>
      <c r="C1125" t="s">
        <v>32</v>
      </c>
      <c r="D1125" t="s">
        <v>1129</v>
      </c>
      <c r="E1125">
        <v>164872</v>
      </c>
      <c r="F1125" t="s">
        <v>1130</v>
      </c>
      <c r="G1125" t="s">
        <v>1131</v>
      </c>
      <c r="H1125" t="s">
        <v>1132</v>
      </c>
      <c r="I1125" t="s">
        <v>1131</v>
      </c>
      <c r="L1125" t="b">
        <v>0</v>
      </c>
      <c r="M1125" t="s">
        <v>112</v>
      </c>
      <c r="N1125" t="s">
        <v>32</v>
      </c>
      <c r="P1125" t="s">
        <v>579</v>
      </c>
      <c r="Q1125">
        <v>1</v>
      </c>
      <c r="R1125">
        <v>3</v>
      </c>
      <c r="S1125">
        <v>0</v>
      </c>
      <c r="T1125">
        <v>126491</v>
      </c>
      <c r="U1125">
        <v>126491</v>
      </c>
      <c r="V1125">
        <v>1</v>
      </c>
      <c r="W1125">
        <v>7147.61</v>
      </c>
      <c r="X1125">
        <v>0</v>
      </c>
      <c r="Y1125">
        <v>7147.61</v>
      </c>
    </row>
    <row r="1126" spans="1:25" x14ac:dyDescent="0.25">
      <c r="A1126">
        <v>65</v>
      </c>
      <c r="B1126" t="s">
        <v>2242</v>
      </c>
      <c r="C1126" t="s">
        <v>32</v>
      </c>
      <c r="D1126" t="s">
        <v>1133</v>
      </c>
      <c r="E1126">
        <v>198726</v>
      </c>
      <c r="F1126" t="s">
        <v>1134</v>
      </c>
      <c r="G1126" t="s">
        <v>1135</v>
      </c>
      <c r="H1126" t="s">
        <v>1132</v>
      </c>
      <c r="I1126" t="s">
        <v>1135</v>
      </c>
      <c r="L1126" t="b">
        <v>0</v>
      </c>
      <c r="M1126" t="s">
        <v>112</v>
      </c>
      <c r="N1126" t="s">
        <v>32</v>
      </c>
      <c r="P1126" t="s">
        <v>579</v>
      </c>
      <c r="Q1126">
        <v>1</v>
      </c>
      <c r="R1126">
        <v>3</v>
      </c>
      <c r="S1126">
        <v>100</v>
      </c>
      <c r="T1126">
        <v>123509</v>
      </c>
      <c r="U1126">
        <v>123509</v>
      </c>
      <c r="V1126">
        <v>1</v>
      </c>
      <c r="W1126">
        <v>2311.5100000000002</v>
      </c>
      <c r="X1126">
        <v>123509</v>
      </c>
      <c r="Y1126">
        <v>125820.51</v>
      </c>
    </row>
    <row r="1127" spans="1:25" x14ac:dyDescent="0.25">
      <c r="A1127">
        <v>65</v>
      </c>
      <c r="B1127" t="s">
        <v>2242</v>
      </c>
      <c r="C1127" t="s">
        <v>32</v>
      </c>
      <c r="D1127" t="s">
        <v>1136</v>
      </c>
      <c r="E1127">
        <v>201206</v>
      </c>
      <c r="F1127" t="s">
        <v>1137</v>
      </c>
      <c r="G1127" t="s">
        <v>1138</v>
      </c>
      <c r="H1127" t="s">
        <v>1132</v>
      </c>
      <c r="I1127" t="s">
        <v>1138</v>
      </c>
      <c r="L1127" t="b">
        <v>0</v>
      </c>
      <c r="M1127" t="s">
        <v>112</v>
      </c>
      <c r="N1127" t="s">
        <v>32</v>
      </c>
      <c r="P1127" t="s">
        <v>579</v>
      </c>
      <c r="Q1127">
        <v>1</v>
      </c>
      <c r="R1127">
        <v>3</v>
      </c>
      <c r="S1127">
        <v>17</v>
      </c>
      <c r="T1127">
        <v>119298</v>
      </c>
      <c r="U1127">
        <v>119298</v>
      </c>
      <c r="V1127">
        <v>1</v>
      </c>
      <c r="W1127">
        <v>2232.6999999999998</v>
      </c>
      <c r="X1127">
        <v>20280.66</v>
      </c>
      <c r="Y1127">
        <v>22513.360000000001</v>
      </c>
    </row>
    <row r="1128" spans="1:25" x14ac:dyDescent="0.25">
      <c r="A1128">
        <v>65</v>
      </c>
      <c r="B1128" t="s">
        <v>2242</v>
      </c>
      <c r="C1128" t="s">
        <v>32</v>
      </c>
      <c r="D1128" t="s">
        <v>1139</v>
      </c>
      <c r="E1128">
        <v>160676</v>
      </c>
      <c r="F1128" t="s">
        <v>1140</v>
      </c>
      <c r="G1128" t="s">
        <v>1141</v>
      </c>
      <c r="H1128" t="s">
        <v>1142</v>
      </c>
      <c r="I1128" t="s">
        <v>1143</v>
      </c>
      <c r="L1128" t="b">
        <v>1</v>
      </c>
      <c r="M1128" t="s">
        <v>81</v>
      </c>
      <c r="N1128" t="s">
        <v>32</v>
      </c>
      <c r="P1128" t="s">
        <v>579</v>
      </c>
      <c r="Q1128">
        <v>1</v>
      </c>
      <c r="R1128">
        <v>3</v>
      </c>
      <c r="S1128">
        <v>100.97094800000001</v>
      </c>
      <c r="T1128">
        <v>600000</v>
      </c>
      <c r="U1128">
        <v>600000</v>
      </c>
      <c r="V1128">
        <v>1</v>
      </c>
      <c r="W1128">
        <v>145.83000000000169</v>
      </c>
      <c r="X1128">
        <v>605825.69000000006</v>
      </c>
      <c r="Y1128">
        <v>605971.52</v>
      </c>
    </row>
    <row r="1129" spans="1:25" x14ac:dyDescent="0.25">
      <c r="A1129">
        <v>65</v>
      </c>
      <c r="B1129" t="s">
        <v>2242</v>
      </c>
      <c r="C1129" t="s">
        <v>32</v>
      </c>
      <c r="D1129" t="s">
        <v>1144</v>
      </c>
      <c r="E1129">
        <v>32078</v>
      </c>
      <c r="F1129" t="s">
        <v>1145</v>
      </c>
      <c r="G1129" t="s">
        <v>1146</v>
      </c>
      <c r="H1129" t="s">
        <v>245</v>
      </c>
      <c r="I1129" t="s">
        <v>1147</v>
      </c>
      <c r="L1129" t="b">
        <v>1</v>
      </c>
      <c r="M1129" t="s">
        <v>44</v>
      </c>
      <c r="N1129" t="s">
        <v>32</v>
      </c>
      <c r="P1129" t="s">
        <v>579</v>
      </c>
      <c r="Q1129">
        <v>1</v>
      </c>
      <c r="R1129">
        <v>3</v>
      </c>
      <c r="S1129">
        <v>87.000001999999995</v>
      </c>
      <c r="T1129">
        <v>308436</v>
      </c>
      <c r="U1129">
        <v>350000</v>
      </c>
      <c r="V1129">
        <v>0.88119999999999998</v>
      </c>
      <c r="W1129">
        <v>246.75</v>
      </c>
      <c r="X1129">
        <v>268339.33</v>
      </c>
      <c r="Y1129">
        <v>268586.08</v>
      </c>
    </row>
    <row r="1130" spans="1:25" x14ac:dyDescent="0.25">
      <c r="A1130">
        <v>65</v>
      </c>
      <c r="B1130" t="s">
        <v>2242</v>
      </c>
      <c r="C1130" t="s">
        <v>32</v>
      </c>
      <c r="D1130" t="s">
        <v>2320</v>
      </c>
      <c r="E1130">
        <v>189330</v>
      </c>
      <c r="F1130" t="s">
        <v>1153</v>
      </c>
      <c r="G1130" t="s">
        <v>2321</v>
      </c>
      <c r="H1130" t="s">
        <v>1151</v>
      </c>
      <c r="I1130" t="s">
        <v>1152</v>
      </c>
      <c r="J1130" t="s">
        <v>1149</v>
      </c>
      <c r="K1130" t="s">
        <v>1149</v>
      </c>
      <c r="L1130" t="b">
        <v>1</v>
      </c>
      <c r="M1130" t="s">
        <v>112</v>
      </c>
      <c r="N1130" t="s">
        <v>32</v>
      </c>
      <c r="P1130" t="s">
        <v>579</v>
      </c>
      <c r="Q1130">
        <v>1</v>
      </c>
      <c r="R1130">
        <v>3</v>
      </c>
      <c r="S1130">
        <v>102.1271</v>
      </c>
      <c r="T1130">
        <v>200000</v>
      </c>
      <c r="U1130">
        <v>200000</v>
      </c>
      <c r="V1130">
        <v>1</v>
      </c>
      <c r="W1130">
        <v>4958.33</v>
      </c>
      <c r="X1130">
        <v>204254.2</v>
      </c>
      <c r="Y1130">
        <v>209212.53</v>
      </c>
    </row>
    <row r="1131" spans="1:25" x14ac:dyDescent="0.25">
      <c r="A1131">
        <v>65</v>
      </c>
      <c r="B1131" t="s">
        <v>2242</v>
      </c>
      <c r="C1131" t="s">
        <v>32</v>
      </c>
      <c r="D1131" t="s">
        <v>2322</v>
      </c>
      <c r="E1131">
        <v>196180</v>
      </c>
      <c r="F1131" t="s">
        <v>1164</v>
      </c>
      <c r="G1131" t="s">
        <v>2323</v>
      </c>
      <c r="H1131" t="s">
        <v>1162</v>
      </c>
      <c r="I1131" t="s">
        <v>1163</v>
      </c>
      <c r="J1131" t="s">
        <v>1160</v>
      </c>
      <c r="K1131" t="s">
        <v>1160</v>
      </c>
      <c r="L1131" t="b">
        <v>1</v>
      </c>
      <c r="M1131" t="s">
        <v>112</v>
      </c>
      <c r="N1131" t="s">
        <v>32</v>
      </c>
      <c r="P1131" t="s">
        <v>579</v>
      </c>
      <c r="Q1131">
        <v>1</v>
      </c>
      <c r="R1131">
        <v>3</v>
      </c>
      <c r="S1131">
        <v>102.4</v>
      </c>
      <c r="T1131">
        <v>750000</v>
      </c>
      <c r="U1131">
        <v>750000</v>
      </c>
      <c r="V1131">
        <v>1</v>
      </c>
      <c r="W1131">
        <v>9526.0400000000009</v>
      </c>
      <c r="X1131">
        <v>768000</v>
      </c>
      <c r="Y1131">
        <v>777526.04</v>
      </c>
    </row>
    <row r="1132" spans="1:25" x14ac:dyDescent="0.25">
      <c r="A1132">
        <v>65</v>
      </c>
      <c r="B1132" t="s">
        <v>2242</v>
      </c>
      <c r="C1132" t="s">
        <v>32</v>
      </c>
      <c r="D1132" t="s">
        <v>2324</v>
      </c>
      <c r="E1132">
        <v>173180</v>
      </c>
      <c r="F1132" t="s">
        <v>2325</v>
      </c>
      <c r="G1132" t="s">
        <v>2326</v>
      </c>
      <c r="H1132" t="s">
        <v>1168</v>
      </c>
      <c r="I1132" t="s">
        <v>2327</v>
      </c>
      <c r="L1132" t="b">
        <v>1</v>
      </c>
      <c r="M1132" t="s">
        <v>31</v>
      </c>
      <c r="N1132" t="s">
        <v>32</v>
      </c>
      <c r="P1132" t="s">
        <v>579</v>
      </c>
      <c r="Q1132">
        <v>1</v>
      </c>
      <c r="R1132">
        <v>3</v>
      </c>
      <c r="S1132">
        <v>96.625</v>
      </c>
      <c r="T1132">
        <v>1983000</v>
      </c>
      <c r="U1132">
        <v>1983000</v>
      </c>
      <c r="V1132">
        <v>1</v>
      </c>
      <c r="W1132">
        <v>36423.85</v>
      </c>
      <c r="X1132">
        <v>1916073.75</v>
      </c>
      <c r="Y1132">
        <v>1952497.6</v>
      </c>
    </row>
    <row r="1133" spans="1:25" x14ac:dyDescent="0.25">
      <c r="A1133">
        <v>65</v>
      </c>
      <c r="B1133" t="s">
        <v>2242</v>
      </c>
      <c r="C1133" t="s">
        <v>32</v>
      </c>
      <c r="D1133" t="s">
        <v>1170</v>
      </c>
      <c r="E1133">
        <v>174456</v>
      </c>
      <c r="F1133" t="s">
        <v>1171</v>
      </c>
      <c r="G1133" t="s">
        <v>1172</v>
      </c>
      <c r="H1133" t="s">
        <v>1168</v>
      </c>
      <c r="I1133" t="s">
        <v>1172</v>
      </c>
      <c r="L1133" t="b">
        <v>0</v>
      </c>
      <c r="M1133" t="s">
        <v>31</v>
      </c>
      <c r="N1133" t="s">
        <v>32</v>
      </c>
      <c r="P1133" t="s">
        <v>579</v>
      </c>
      <c r="Q1133">
        <v>1</v>
      </c>
      <c r="R1133">
        <v>3</v>
      </c>
      <c r="S1133">
        <v>70.999999000000003</v>
      </c>
      <c r="T1133">
        <v>777239</v>
      </c>
      <c r="U1133">
        <v>800000</v>
      </c>
      <c r="V1133">
        <v>0.97150000000000003</v>
      </c>
      <c r="W1133">
        <v>12306.29</v>
      </c>
      <c r="X1133">
        <v>551839.68000000005</v>
      </c>
      <c r="Y1133">
        <v>564145.97000000009</v>
      </c>
    </row>
    <row r="1134" spans="1:25" x14ac:dyDescent="0.25">
      <c r="A1134">
        <v>65</v>
      </c>
      <c r="B1134" t="s">
        <v>2242</v>
      </c>
      <c r="C1134" t="s">
        <v>32</v>
      </c>
      <c r="D1134" t="s">
        <v>1173</v>
      </c>
      <c r="E1134">
        <v>846</v>
      </c>
      <c r="F1134" t="s">
        <v>1174</v>
      </c>
      <c r="G1134" t="s">
        <v>1175</v>
      </c>
      <c r="H1134" t="s">
        <v>1176</v>
      </c>
      <c r="I1134" t="s">
        <v>1175</v>
      </c>
      <c r="L1134" t="b">
        <v>0</v>
      </c>
      <c r="M1134" t="s">
        <v>31</v>
      </c>
      <c r="N1134" t="s">
        <v>32</v>
      </c>
      <c r="P1134" t="s">
        <v>579</v>
      </c>
      <c r="Q1134">
        <v>1</v>
      </c>
      <c r="R1134">
        <v>3</v>
      </c>
      <c r="S1134">
        <v>91.032229000000001</v>
      </c>
      <c r="T1134">
        <v>21052</v>
      </c>
      <c r="U1134">
        <v>160000</v>
      </c>
      <c r="V1134">
        <v>0.13159999999999999</v>
      </c>
      <c r="W1134">
        <v>46.78</v>
      </c>
      <c r="X1134">
        <v>19164.100000000009</v>
      </c>
      <c r="Y1134">
        <v>19210.88</v>
      </c>
    </row>
    <row r="1135" spans="1:25" x14ac:dyDescent="0.25">
      <c r="A1135">
        <v>65</v>
      </c>
      <c r="B1135" t="s">
        <v>2242</v>
      </c>
      <c r="C1135" t="s">
        <v>32</v>
      </c>
      <c r="D1135" t="s">
        <v>1177</v>
      </c>
      <c r="E1135">
        <v>847</v>
      </c>
      <c r="F1135" t="s">
        <v>1178</v>
      </c>
      <c r="G1135" t="s">
        <v>1179</v>
      </c>
      <c r="H1135" t="s">
        <v>1180</v>
      </c>
      <c r="I1135" t="s">
        <v>1181</v>
      </c>
      <c r="L1135" t="b">
        <v>1</v>
      </c>
      <c r="M1135" t="s">
        <v>31</v>
      </c>
      <c r="N1135" t="s">
        <v>32</v>
      </c>
      <c r="P1135" t="s">
        <v>579</v>
      </c>
      <c r="Q1135">
        <v>1</v>
      </c>
      <c r="R1135">
        <v>3</v>
      </c>
      <c r="S1135">
        <v>79.400000000000006</v>
      </c>
      <c r="T1135">
        <v>141000</v>
      </c>
      <c r="U1135">
        <v>141000</v>
      </c>
      <c r="V1135">
        <v>1</v>
      </c>
      <c r="W1135">
        <v>6697.5</v>
      </c>
      <c r="X1135">
        <v>111954</v>
      </c>
      <c r="Y1135">
        <v>118651.5</v>
      </c>
    </row>
    <row r="1136" spans="1:25" x14ac:dyDescent="0.25">
      <c r="A1136">
        <v>65</v>
      </c>
      <c r="B1136" t="s">
        <v>2242</v>
      </c>
      <c r="C1136" t="s">
        <v>32</v>
      </c>
      <c r="D1136" t="s">
        <v>1182</v>
      </c>
      <c r="E1136">
        <v>848</v>
      </c>
      <c r="F1136" t="s">
        <v>1183</v>
      </c>
      <c r="G1136" t="s">
        <v>1184</v>
      </c>
      <c r="H1136" t="s">
        <v>1180</v>
      </c>
      <c r="I1136" t="s">
        <v>1185</v>
      </c>
      <c r="L1136" t="b">
        <v>1</v>
      </c>
      <c r="M1136" t="s">
        <v>31</v>
      </c>
      <c r="N1136" t="s">
        <v>32</v>
      </c>
      <c r="P1136" t="s">
        <v>579</v>
      </c>
      <c r="Q1136">
        <v>1</v>
      </c>
      <c r="R1136">
        <v>3</v>
      </c>
      <c r="S1136">
        <v>63.99</v>
      </c>
      <c r="T1136">
        <v>520000</v>
      </c>
      <c r="U1136">
        <v>520000</v>
      </c>
      <c r="V1136">
        <v>1</v>
      </c>
      <c r="W1136">
        <v>11844.44</v>
      </c>
      <c r="X1136">
        <v>332748</v>
      </c>
      <c r="Y1136">
        <v>344592.44</v>
      </c>
    </row>
    <row r="1137" spans="1:25" x14ac:dyDescent="0.25">
      <c r="A1137">
        <v>65</v>
      </c>
      <c r="B1137" t="s">
        <v>2242</v>
      </c>
      <c r="C1137" t="s">
        <v>32</v>
      </c>
      <c r="D1137" t="s">
        <v>2328</v>
      </c>
      <c r="E1137">
        <v>169929</v>
      </c>
      <c r="F1137" t="s">
        <v>1196</v>
      </c>
      <c r="G1137" t="s">
        <v>2329</v>
      </c>
      <c r="H1137" t="s">
        <v>1194</v>
      </c>
      <c r="I1137" t="s">
        <v>1195</v>
      </c>
      <c r="J1137" t="s">
        <v>1192</v>
      </c>
      <c r="K1137" t="s">
        <v>1192</v>
      </c>
      <c r="L1137" t="b">
        <v>1</v>
      </c>
      <c r="M1137" t="s">
        <v>61</v>
      </c>
      <c r="N1137" t="s">
        <v>32</v>
      </c>
      <c r="P1137" t="s">
        <v>579</v>
      </c>
      <c r="Q1137">
        <v>1</v>
      </c>
      <c r="R1137">
        <v>3</v>
      </c>
      <c r="S1137">
        <v>107.51</v>
      </c>
      <c r="T1137">
        <v>300000</v>
      </c>
      <c r="U1137">
        <v>300000</v>
      </c>
      <c r="V1137">
        <v>1</v>
      </c>
      <c r="W1137">
        <v>5554.17</v>
      </c>
      <c r="X1137">
        <v>322530</v>
      </c>
      <c r="Y1137">
        <v>328084.17</v>
      </c>
    </row>
    <row r="1138" spans="1:25" x14ac:dyDescent="0.25">
      <c r="A1138">
        <v>65</v>
      </c>
      <c r="B1138" t="s">
        <v>2242</v>
      </c>
      <c r="C1138" t="s">
        <v>32</v>
      </c>
      <c r="D1138" t="s">
        <v>2330</v>
      </c>
      <c r="E1138">
        <v>166884</v>
      </c>
      <c r="F1138" t="s">
        <v>1215</v>
      </c>
      <c r="G1138" t="s">
        <v>2331</v>
      </c>
      <c r="H1138" t="s">
        <v>1213</v>
      </c>
      <c r="I1138" t="s">
        <v>1214</v>
      </c>
      <c r="J1138" t="s">
        <v>1211</v>
      </c>
      <c r="K1138" t="s">
        <v>1211</v>
      </c>
      <c r="L1138" t="b">
        <v>1</v>
      </c>
      <c r="M1138" t="s">
        <v>112</v>
      </c>
      <c r="N1138" t="s">
        <v>32</v>
      </c>
      <c r="P1138" t="s">
        <v>579</v>
      </c>
      <c r="Q1138">
        <v>1</v>
      </c>
      <c r="R1138">
        <v>3</v>
      </c>
      <c r="S1138">
        <v>103.68</v>
      </c>
      <c r="T1138">
        <v>500000</v>
      </c>
      <c r="U1138">
        <v>500000</v>
      </c>
      <c r="V1138">
        <v>1</v>
      </c>
      <c r="W1138">
        <v>13444.44</v>
      </c>
      <c r="X1138">
        <v>518400</v>
      </c>
      <c r="Y1138">
        <v>531844.43999999994</v>
      </c>
    </row>
    <row r="1139" spans="1:25" x14ac:dyDescent="0.25">
      <c r="A1139">
        <v>65</v>
      </c>
      <c r="B1139" t="s">
        <v>2242</v>
      </c>
      <c r="C1139" t="s">
        <v>32</v>
      </c>
      <c r="D1139" t="s">
        <v>2332</v>
      </c>
      <c r="E1139">
        <v>213782</v>
      </c>
      <c r="F1139" t="s">
        <v>1229</v>
      </c>
      <c r="G1139" t="s">
        <v>2333</v>
      </c>
      <c r="H1139" t="s">
        <v>1227</v>
      </c>
      <c r="I1139" t="s">
        <v>1228</v>
      </c>
      <c r="J1139" t="s">
        <v>1225</v>
      </c>
      <c r="K1139" t="s">
        <v>1225</v>
      </c>
      <c r="L1139" t="b">
        <v>1</v>
      </c>
      <c r="M1139" t="s">
        <v>31</v>
      </c>
      <c r="N1139" t="s">
        <v>32</v>
      </c>
      <c r="P1139" t="s">
        <v>579</v>
      </c>
      <c r="Q1139">
        <v>1</v>
      </c>
      <c r="R1139">
        <v>3</v>
      </c>
      <c r="S1139">
        <v>96.125</v>
      </c>
      <c r="T1139">
        <v>750000</v>
      </c>
      <c r="U1139">
        <v>750000</v>
      </c>
      <c r="V1139">
        <v>1</v>
      </c>
      <c r="W1139">
        <v>16333.33</v>
      </c>
      <c r="X1139">
        <v>720937.5</v>
      </c>
      <c r="Y1139">
        <v>737270.83</v>
      </c>
    </row>
    <row r="1140" spans="1:25" x14ac:dyDescent="0.25">
      <c r="A1140">
        <v>65</v>
      </c>
      <c r="B1140" t="s">
        <v>2242</v>
      </c>
      <c r="C1140" t="s">
        <v>32</v>
      </c>
      <c r="D1140" t="s">
        <v>1110</v>
      </c>
      <c r="E1140">
        <v>86445</v>
      </c>
      <c r="F1140" t="s">
        <v>1111</v>
      </c>
      <c r="G1140" t="s">
        <v>1112</v>
      </c>
      <c r="H1140" t="s">
        <v>43</v>
      </c>
      <c r="I1140" t="s">
        <v>1112</v>
      </c>
      <c r="L1140" t="b">
        <v>0</v>
      </c>
      <c r="M1140" t="s">
        <v>44</v>
      </c>
      <c r="N1140" t="s">
        <v>32</v>
      </c>
      <c r="P1140" t="s">
        <v>579</v>
      </c>
      <c r="Q1140">
        <v>1</v>
      </c>
      <c r="R1140">
        <v>3</v>
      </c>
      <c r="S1140">
        <v>98</v>
      </c>
      <c r="T1140">
        <v>621178</v>
      </c>
      <c r="U1140">
        <v>621178</v>
      </c>
      <c r="V1140">
        <v>1</v>
      </c>
      <c r="W1140">
        <v>2760.8</v>
      </c>
      <c r="X1140">
        <v>608754.43999999994</v>
      </c>
      <c r="Y1140">
        <v>611515.24</v>
      </c>
    </row>
    <row r="1141" spans="1:25" x14ac:dyDescent="0.25">
      <c r="A1141">
        <v>65</v>
      </c>
      <c r="B1141" t="s">
        <v>2242</v>
      </c>
      <c r="C1141" t="s">
        <v>32</v>
      </c>
      <c r="D1141" t="s">
        <v>1113</v>
      </c>
      <c r="E1141">
        <v>884</v>
      </c>
      <c r="F1141" t="s">
        <v>1114</v>
      </c>
      <c r="G1141" t="s">
        <v>1115</v>
      </c>
      <c r="H1141" t="s">
        <v>43</v>
      </c>
      <c r="I1141" t="s">
        <v>1115</v>
      </c>
      <c r="L1141" t="b">
        <v>0</v>
      </c>
      <c r="M1141" t="s">
        <v>44</v>
      </c>
      <c r="N1141" t="s">
        <v>32</v>
      </c>
      <c r="P1141" t="s">
        <v>579</v>
      </c>
      <c r="Q1141">
        <v>1</v>
      </c>
      <c r="R1141">
        <v>3</v>
      </c>
      <c r="S1141">
        <v>69</v>
      </c>
      <c r="T1141">
        <v>2164268</v>
      </c>
      <c r="U1141">
        <v>2164268</v>
      </c>
      <c r="V1141">
        <v>1</v>
      </c>
      <c r="W1141">
        <v>7056.11</v>
      </c>
      <c r="X1141">
        <v>1493344.92</v>
      </c>
      <c r="Y1141">
        <v>1500401.03</v>
      </c>
    </row>
    <row r="1142" spans="1:25" x14ac:dyDescent="0.25">
      <c r="A1142">
        <v>65</v>
      </c>
      <c r="B1142" t="s">
        <v>2242</v>
      </c>
      <c r="C1142" t="s">
        <v>32</v>
      </c>
      <c r="D1142" t="s">
        <v>1230</v>
      </c>
      <c r="E1142">
        <v>159426</v>
      </c>
      <c r="F1142" t="s">
        <v>1231</v>
      </c>
      <c r="G1142" t="s">
        <v>1232</v>
      </c>
      <c r="H1142" t="s">
        <v>1233</v>
      </c>
      <c r="I1142" t="s">
        <v>1232</v>
      </c>
      <c r="L1142" t="b">
        <v>0</v>
      </c>
      <c r="M1142" t="s">
        <v>31</v>
      </c>
      <c r="N1142" t="s">
        <v>32</v>
      </c>
      <c r="P1142" t="s">
        <v>579</v>
      </c>
      <c r="Q1142">
        <v>1</v>
      </c>
      <c r="R1142">
        <v>3</v>
      </c>
      <c r="S1142">
        <v>27</v>
      </c>
      <c r="T1142">
        <v>143217</v>
      </c>
      <c r="U1142">
        <v>143217</v>
      </c>
      <c r="V1142">
        <v>1</v>
      </c>
      <c r="W1142">
        <v>377.61</v>
      </c>
      <c r="X1142">
        <v>38668.589999999997</v>
      </c>
      <c r="Y1142">
        <v>39046.199999999997</v>
      </c>
    </row>
    <row r="1143" spans="1:25" x14ac:dyDescent="0.25">
      <c r="A1143">
        <v>65</v>
      </c>
      <c r="B1143" t="s">
        <v>2242</v>
      </c>
      <c r="C1143" t="s">
        <v>32</v>
      </c>
      <c r="D1143" t="s">
        <v>1234</v>
      </c>
      <c r="E1143">
        <v>159174</v>
      </c>
      <c r="F1143" t="s">
        <v>1235</v>
      </c>
      <c r="G1143" t="s">
        <v>1236</v>
      </c>
      <c r="H1143" t="s">
        <v>1233</v>
      </c>
      <c r="I1143" t="s">
        <v>1236</v>
      </c>
      <c r="L1143" t="b">
        <v>0</v>
      </c>
      <c r="M1143" t="s">
        <v>31</v>
      </c>
      <c r="N1143" t="s">
        <v>32</v>
      </c>
      <c r="P1143" t="s">
        <v>579</v>
      </c>
      <c r="Q1143">
        <v>1</v>
      </c>
      <c r="R1143">
        <v>3</v>
      </c>
      <c r="S1143">
        <v>72.750000999999997</v>
      </c>
      <c r="T1143">
        <v>331695</v>
      </c>
      <c r="U1143">
        <v>331695</v>
      </c>
      <c r="V1143">
        <v>1</v>
      </c>
      <c r="W1143">
        <v>1629.18</v>
      </c>
      <c r="X1143">
        <v>241308.12</v>
      </c>
      <c r="Y1143">
        <v>242937.3</v>
      </c>
    </row>
    <row r="1144" spans="1:25" x14ac:dyDescent="0.25">
      <c r="A1144">
        <v>65</v>
      </c>
      <c r="B1144" t="s">
        <v>2242</v>
      </c>
      <c r="C1144" t="s">
        <v>32</v>
      </c>
      <c r="D1144" t="s">
        <v>2334</v>
      </c>
      <c r="E1144">
        <v>148824</v>
      </c>
      <c r="F1144" t="s">
        <v>55</v>
      </c>
      <c r="G1144" t="s">
        <v>2335</v>
      </c>
      <c r="H1144" t="s">
        <v>48</v>
      </c>
      <c r="I1144" t="s">
        <v>54</v>
      </c>
      <c r="J1144" t="s">
        <v>52</v>
      </c>
      <c r="K1144" t="s">
        <v>52</v>
      </c>
      <c r="L1144" t="b">
        <v>1</v>
      </c>
      <c r="M1144" t="s">
        <v>50</v>
      </c>
      <c r="N1144" t="s">
        <v>32</v>
      </c>
      <c r="P1144" t="s">
        <v>579</v>
      </c>
      <c r="Q1144">
        <v>1</v>
      </c>
      <c r="R1144">
        <v>3</v>
      </c>
      <c r="S1144">
        <v>103.24</v>
      </c>
      <c r="T1144">
        <v>1940000</v>
      </c>
      <c r="U1144">
        <v>1940000</v>
      </c>
      <c r="V1144">
        <v>1</v>
      </c>
      <c r="W1144">
        <v>44983.75</v>
      </c>
      <c r="X1144">
        <v>2002856</v>
      </c>
      <c r="Y1144">
        <v>2047839.75</v>
      </c>
    </row>
    <row r="1145" spans="1:25" x14ac:dyDescent="0.25">
      <c r="A1145">
        <v>65</v>
      </c>
      <c r="B1145" t="s">
        <v>2242</v>
      </c>
      <c r="C1145" t="s">
        <v>32</v>
      </c>
      <c r="D1145" t="s">
        <v>1116</v>
      </c>
      <c r="E1145">
        <v>1628</v>
      </c>
      <c r="F1145" t="s">
        <v>1117</v>
      </c>
      <c r="G1145" t="s">
        <v>1118</v>
      </c>
      <c r="H1145" t="s">
        <v>43</v>
      </c>
      <c r="I1145" t="s">
        <v>1118</v>
      </c>
      <c r="L1145" t="b">
        <v>0</v>
      </c>
      <c r="M1145" t="s">
        <v>44</v>
      </c>
      <c r="N1145" t="s">
        <v>32</v>
      </c>
      <c r="P1145" t="s">
        <v>579</v>
      </c>
      <c r="Q1145">
        <v>1</v>
      </c>
      <c r="R1145">
        <v>3</v>
      </c>
      <c r="S1145">
        <v>63.08</v>
      </c>
      <c r="T1145">
        <v>1211573</v>
      </c>
      <c r="U1145">
        <v>1211573</v>
      </c>
      <c r="V1145">
        <v>1</v>
      </c>
      <c r="W1145">
        <v>3769.34</v>
      </c>
      <c r="X1145">
        <v>764260.25</v>
      </c>
      <c r="Y1145">
        <v>768029.59</v>
      </c>
    </row>
    <row r="1146" spans="1:25" x14ac:dyDescent="0.25">
      <c r="A1146">
        <v>65</v>
      </c>
      <c r="B1146" t="s">
        <v>2242</v>
      </c>
      <c r="C1146" t="s">
        <v>32</v>
      </c>
      <c r="D1146" t="s">
        <v>1250</v>
      </c>
      <c r="E1146">
        <v>166141</v>
      </c>
      <c r="F1146" t="s">
        <v>1251</v>
      </c>
      <c r="G1146" t="s">
        <v>1252</v>
      </c>
      <c r="H1146" t="s">
        <v>1253</v>
      </c>
      <c r="I1146" t="s">
        <v>1252</v>
      </c>
      <c r="L1146" t="b">
        <v>0</v>
      </c>
      <c r="M1146" t="s">
        <v>31</v>
      </c>
      <c r="N1146" t="s">
        <v>32</v>
      </c>
      <c r="P1146" t="s">
        <v>579</v>
      </c>
      <c r="Q1146">
        <v>1</v>
      </c>
      <c r="R1146">
        <v>3</v>
      </c>
      <c r="S1146">
        <v>95.990859999999998</v>
      </c>
      <c r="T1146">
        <v>400000</v>
      </c>
      <c r="U1146">
        <v>400000</v>
      </c>
      <c r="V1146">
        <v>1</v>
      </c>
      <c r="W1146">
        <v>5133.33</v>
      </c>
      <c r="X1146">
        <v>383963.44</v>
      </c>
      <c r="Y1146">
        <v>389096.77</v>
      </c>
    </row>
    <row r="1147" spans="1:25" x14ac:dyDescent="0.25">
      <c r="A1147">
        <v>65</v>
      </c>
      <c r="B1147" t="s">
        <v>2242</v>
      </c>
      <c r="C1147" t="s">
        <v>32</v>
      </c>
      <c r="D1147" t="s">
        <v>2336</v>
      </c>
      <c r="E1147">
        <v>177900</v>
      </c>
      <c r="F1147" t="s">
        <v>1259</v>
      </c>
      <c r="G1147" t="s">
        <v>2337</v>
      </c>
      <c r="H1147" t="s">
        <v>1257</v>
      </c>
      <c r="I1147" t="s">
        <v>1258</v>
      </c>
      <c r="J1147" t="s">
        <v>1255</v>
      </c>
      <c r="K1147" t="s">
        <v>1255</v>
      </c>
      <c r="L1147" t="b">
        <v>1</v>
      </c>
      <c r="M1147" t="s">
        <v>1030</v>
      </c>
      <c r="N1147" t="s">
        <v>32</v>
      </c>
      <c r="P1147" t="s">
        <v>579</v>
      </c>
      <c r="Q1147">
        <v>1</v>
      </c>
      <c r="R1147">
        <v>3</v>
      </c>
      <c r="S1147">
        <v>98.688500000000005</v>
      </c>
      <c r="T1147">
        <v>1000000</v>
      </c>
      <c r="U1147">
        <v>1000000</v>
      </c>
      <c r="V1147">
        <v>1</v>
      </c>
      <c r="W1147">
        <v>8433.33</v>
      </c>
      <c r="X1147">
        <v>986885</v>
      </c>
      <c r="Y1147">
        <v>995318.33</v>
      </c>
    </row>
    <row r="1148" spans="1:25" x14ac:dyDescent="0.25">
      <c r="A1148">
        <v>65</v>
      </c>
      <c r="B1148" t="s">
        <v>2242</v>
      </c>
      <c r="C1148" t="s">
        <v>32</v>
      </c>
      <c r="D1148" t="s">
        <v>2338</v>
      </c>
      <c r="E1148">
        <v>221417</v>
      </c>
      <c r="F1148" t="s">
        <v>1265</v>
      </c>
      <c r="G1148" t="s">
        <v>2339</v>
      </c>
      <c r="H1148" t="s">
        <v>1263</v>
      </c>
      <c r="I1148" t="s">
        <v>1264</v>
      </c>
      <c r="J1148" t="s">
        <v>1261</v>
      </c>
      <c r="K1148" t="s">
        <v>1261</v>
      </c>
      <c r="L1148" t="b">
        <v>1</v>
      </c>
      <c r="M1148" t="s">
        <v>112</v>
      </c>
      <c r="N1148" t="s">
        <v>32</v>
      </c>
      <c r="P1148" t="s">
        <v>579</v>
      </c>
      <c r="Q1148">
        <v>1</v>
      </c>
      <c r="R1148">
        <v>3</v>
      </c>
      <c r="S1148">
        <v>97.905000000000001</v>
      </c>
      <c r="T1148">
        <v>900000</v>
      </c>
      <c r="U1148">
        <v>900000</v>
      </c>
      <c r="V1148">
        <v>1</v>
      </c>
      <c r="W1148">
        <v>10968.75</v>
      </c>
      <c r="X1148">
        <v>881145</v>
      </c>
      <c r="Y1148">
        <v>892113.75</v>
      </c>
    </row>
    <row r="1149" spans="1:25" x14ac:dyDescent="0.25">
      <c r="A1149">
        <v>65</v>
      </c>
      <c r="B1149" t="s">
        <v>2242</v>
      </c>
      <c r="C1149" t="s">
        <v>32</v>
      </c>
      <c r="D1149" t="s">
        <v>2340</v>
      </c>
      <c r="E1149">
        <v>157136</v>
      </c>
      <c r="F1149" t="s">
        <v>1270</v>
      </c>
      <c r="G1149" t="s">
        <v>2341</v>
      </c>
      <c r="H1149" t="s">
        <v>1263</v>
      </c>
      <c r="I1149" t="s">
        <v>1269</v>
      </c>
      <c r="J1149" t="s">
        <v>1267</v>
      </c>
      <c r="K1149" t="s">
        <v>1267</v>
      </c>
      <c r="L1149" t="b">
        <v>1</v>
      </c>
      <c r="M1149" t="s">
        <v>112</v>
      </c>
      <c r="N1149" t="s">
        <v>32</v>
      </c>
      <c r="P1149" t="s">
        <v>579</v>
      </c>
      <c r="Q1149">
        <v>1</v>
      </c>
      <c r="R1149">
        <v>3</v>
      </c>
      <c r="S1149">
        <v>102.35</v>
      </c>
      <c r="T1149">
        <v>606000</v>
      </c>
      <c r="U1149">
        <v>606000</v>
      </c>
      <c r="V1149">
        <v>1</v>
      </c>
      <c r="W1149">
        <v>9191</v>
      </c>
      <c r="X1149">
        <v>620241</v>
      </c>
      <c r="Y1149">
        <v>629432</v>
      </c>
    </row>
    <row r="1150" spans="1:25" x14ac:dyDescent="0.25">
      <c r="A1150">
        <v>65</v>
      </c>
      <c r="B1150" t="s">
        <v>2242</v>
      </c>
      <c r="C1150" t="s">
        <v>32</v>
      </c>
      <c r="D1150" t="s">
        <v>1266</v>
      </c>
      <c r="E1150">
        <v>158667</v>
      </c>
      <c r="F1150" t="s">
        <v>1267</v>
      </c>
      <c r="G1150" t="s">
        <v>1268</v>
      </c>
      <c r="H1150" t="s">
        <v>1263</v>
      </c>
      <c r="I1150" t="s">
        <v>1269</v>
      </c>
      <c r="J1150" t="s">
        <v>1267</v>
      </c>
      <c r="K1150" t="s">
        <v>1270</v>
      </c>
      <c r="L1150" t="b">
        <v>1</v>
      </c>
      <c r="M1150" t="s">
        <v>112</v>
      </c>
      <c r="N1150" t="s">
        <v>32</v>
      </c>
      <c r="P1150" t="s">
        <v>579</v>
      </c>
      <c r="Q1150">
        <v>1</v>
      </c>
      <c r="R1150">
        <v>3</v>
      </c>
      <c r="S1150">
        <v>102.35</v>
      </c>
      <c r="T1150">
        <v>200000</v>
      </c>
      <c r="U1150">
        <v>200000</v>
      </c>
      <c r="V1150">
        <v>1</v>
      </c>
      <c r="W1150">
        <v>3033.33</v>
      </c>
      <c r="X1150">
        <v>204700</v>
      </c>
      <c r="Y1150">
        <v>207733.33</v>
      </c>
    </row>
    <row r="1151" spans="1:25" x14ac:dyDescent="0.25">
      <c r="A1151">
        <v>65</v>
      </c>
      <c r="B1151" t="s">
        <v>2242</v>
      </c>
      <c r="C1151" t="s">
        <v>32</v>
      </c>
      <c r="D1151" t="s">
        <v>2342</v>
      </c>
      <c r="E1151">
        <v>213323</v>
      </c>
      <c r="F1151" t="s">
        <v>67</v>
      </c>
      <c r="G1151" t="s">
        <v>2343</v>
      </c>
      <c r="H1151" t="s">
        <v>65</v>
      </c>
      <c r="I1151" t="s">
        <v>66</v>
      </c>
      <c r="J1151" t="s">
        <v>63</v>
      </c>
      <c r="K1151" t="s">
        <v>63</v>
      </c>
      <c r="L1151" t="b">
        <v>1</v>
      </c>
      <c r="M1151" t="s">
        <v>50</v>
      </c>
      <c r="N1151" t="s">
        <v>32</v>
      </c>
      <c r="P1151" t="s">
        <v>579</v>
      </c>
      <c r="Q1151">
        <v>1</v>
      </c>
      <c r="R1151">
        <v>3</v>
      </c>
      <c r="S1151">
        <v>99.037999999999997</v>
      </c>
      <c r="T1151">
        <v>270000</v>
      </c>
      <c r="U1151">
        <v>270000</v>
      </c>
      <c r="V1151">
        <v>1</v>
      </c>
      <c r="W1151">
        <v>6022.13</v>
      </c>
      <c r="X1151">
        <v>267402.59999999998</v>
      </c>
      <c r="Y1151">
        <v>273424.73</v>
      </c>
    </row>
    <row r="1152" spans="1:25" x14ac:dyDescent="0.25">
      <c r="A1152">
        <v>65</v>
      </c>
      <c r="B1152" t="s">
        <v>2242</v>
      </c>
      <c r="C1152" t="s">
        <v>32</v>
      </c>
      <c r="D1152" t="s">
        <v>559</v>
      </c>
      <c r="E1152">
        <v>1545</v>
      </c>
      <c r="F1152" t="s">
        <v>560</v>
      </c>
      <c r="G1152" t="s">
        <v>561</v>
      </c>
      <c r="H1152" t="s">
        <v>562</v>
      </c>
      <c r="I1152" t="s">
        <v>563</v>
      </c>
      <c r="J1152" t="s">
        <v>560</v>
      </c>
      <c r="K1152" t="s">
        <v>564</v>
      </c>
      <c r="L1152" t="b">
        <v>1</v>
      </c>
      <c r="M1152" t="s">
        <v>31</v>
      </c>
      <c r="N1152" t="s">
        <v>32</v>
      </c>
      <c r="P1152" t="s">
        <v>579</v>
      </c>
      <c r="Q1152">
        <v>1</v>
      </c>
      <c r="R1152">
        <v>3</v>
      </c>
      <c r="S1152">
        <v>101.28989900000001</v>
      </c>
      <c r="T1152">
        <v>860289</v>
      </c>
      <c r="U1152">
        <v>1280000</v>
      </c>
      <c r="V1152">
        <v>0.67210000000000003</v>
      </c>
      <c r="W1152">
        <v>9675.380000000001</v>
      </c>
      <c r="X1152">
        <v>871385.8600000001</v>
      </c>
      <c r="Y1152">
        <v>881061.24000000011</v>
      </c>
    </row>
    <row r="1153" spans="1:25" x14ac:dyDescent="0.25">
      <c r="A1153">
        <v>65</v>
      </c>
      <c r="B1153" t="s">
        <v>2242</v>
      </c>
      <c r="C1153" t="s">
        <v>32</v>
      </c>
      <c r="D1153" t="s">
        <v>2344</v>
      </c>
      <c r="E1153">
        <v>145206</v>
      </c>
      <c r="F1153" t="s">
        <v>1293</v>
      </c>
      <c r="G1153" t="s">
        <v>2345</v>
      </c>
      <c r="H1153" t="s">
        <v>1291</v>
      </c>
      <c r="I1153" t="s">
        <v>1292</v>
      </c>
      <c r="J1153" t="s">
        <v>1289</v>
      </c>
      <c r="K1153" t="s">
        <v>1289</v>
      </c>
      <c r="L1153" t="b">
        <v>1</v>
      </c>
      <c r="M1153" t="s">
        <v>31</v>
      </c>
      <c r="N1153" t="s">
        <v>32</v>
      </c>
      <c r="P1153" t="s">
        <v>579</v>
      </c>
      <c r="Q1153">
        <v>1</v>
      </c>
      <c r="R1153">
        <v>3</v>
      </c>
      <c r="S1153">
        <v>48.625</v>
      </c>
      <c r="T1153">
        <v>657592</v>
      </c>
      <c r="U1153">
        <v>657592</v>
      </c>
      <c r="V1153">
        <v>1</v>
      </c>
      <c r="W1153">
        <v>0</v>
      </c>
      <c r="X1153">
        <v>319754.13</v>
      </c>
      <c r="Y1153">
        <v>319754.13</v>
      </c>
    </row>
    <row r="1154" spans="1:25" x14ac:dyDescent="0.25">
      <c r="A1154">
        <v>65</v>
      </c>
      <c r="B1154" t="s">
        <v>2242</v>
      </c>
      <c r="C1154" t="s">
        <v>32</v>
      </c>
      <c r="D1154" t="s">
        <v>570</v>
      </c>
      <c r="E1154">
        <v>944</v>
      </c>
      <c r="F1154" t="s">
        <v>571</v>
      </c>
      <c r="G1154" t="s">
        <v>572</v>
      </c>
      <c r="H1154" t="s">
        <v>159</v>
      </c>
      <c r="I1154" t="s">
        <v>573</v>
      </c>
      <c r="L1154" t="b">
        <v>1</v>
      </c>
      <c r="M1154" t="s">
        <v>81</v>
      </c>
      <c r="N1154" t="s">
        <v>32</v>
      </c>
      <c r="P1154" t="s">
        <v>579</v>
      </c>
      <c r="Q1154">
        <v>1</v>
      </c>
      <c r="R1154">
        <v>3</v>
      </c>
      <c r="S1154">
        <v>101.3</v>
      </c>
      <c r="T1154">
        <v>1020787</v>
      </c>
      <c r="U1154">
        <v>1370000</v>
      </c>
      <c r="V1154">
        <v>0.74509999999999998</v>
      </c>
      <c r="W1154">
        <v>3742.89</v>
      </c>
      <c r="X1154">
        <v>1034057.23</v>
      </c>
      <c r="Y1154">
        <v>1037800.12</v>
      </c>
    </row>
    <row r="1155" spans="1:25" x14ac:dyDescent="0.25">
      <c r="A1155">
        <v>65</v>
      </c>
      <c r="B1155" t="s">
        <v>2242</v>
      </c>
      <c r="C1155" t="s">
        <v>32</v>
      </c>
      <c r="D1155" t="s">
        <v>1329</v>
      </c>
      <c r="E1155">
        <v>134542</v>
      </c>
      <c r="F1155" t="s">
        <v>1330</v>
      </c>
      <c r="G1155" t="s">
        <v>1331</v>
      </c>
      <c r="H1155" t="s">
        <v>1328</v>
      </c>
      <c r="I1155" t="s">
        <v>1331</v>
      </c>
      <c r="L1155" t="b">
        <v>0</v>
      </c>
      <c r="M1155" t="s">
        <v>31</v>
      </c>
      <c r="N1155" t="s">
        <v>32</v>
      </c>
      <c r="P1155" t="s">
        <v>579</v>
      </c>
      <c r="Q1155">
        <v>1</v>
      </c>
      <c r="R1155">
        <v>3</v>
      </c>
      <c r="S1155">
        <v>103.733795</v>
      </c>
      <c r="T1155">
        <v>400000</v>
      </c>
      <c r="U1155">
        <v>400000</v>
      </c>
      <c r="V1155">
        <v>1</v>
      </c>
      <c r="W1155">
        <v>3377.78</v>
      </c>
      <c r="X1155">
        <v>414935.18</v>
      </c>
      <c r="Y1155">
        <v>418312.96000000002</v>
      </c>
    </row>
    <row r="1156" spans="1:25" x14ac:dyDescent="0.25">
      <c r="A1156">
        <v>65</v>
      </c>
      <c r="B1156" t="s">
        <v>2242</v>
      </c>
      <c r="C1156" t="s">
        <v>32</v>
      </c>
      <c r="D1156" t="s">
        <v>2346</v>
      </c>
      <c r="E1156">
        <v>155594</v>
      </c>
      <c r="F1156" t="s">
        <v>1337</v>
      </c>
      <c r="G1156" t="s">
        <v>2347</v>
      </c>
      <c r="H1156" t="s">
        <v>1335</v>
      </c>
      <c r="I1156" t="s">
        <v>1336</v>
      </c>
      <c r="J1156" t="s">
        <v>1333</v>
      </c>
      <c r="K1156" t="s">
        <v>1333</v>
      </c>
      <c r="L1156" t="b">
        <v>1</v>
      </c>
      <c r="M1156" t="s">
        <v>112</v>
      </c>
      <c r="N1156" t="s">
        <v>32</v>
      </c>
      <c r="P1156" t="s">
        <v>579</v>
      </c>
      <c r="Q1156">
        <v>1</v>
      </c>
      <c r="R1156">
        <v>3</v>
      </c>
      <c r="S1156">
        <v>104.45099999999999</v>
      </c>
      <c r="T1156">
        <v>910000</v>
      </c>
      <c r="U1156">
        <v>910000</v>
      </c>
      <c r="V1156">
        <v>1</v>
      </c>
      <c r="W1156">
        <v>8957.81</v>
      </c>
      <c r="X1156">
        <v>950504.1</v>
      </c>
      <c r="Y1156">
        <v>959461.91</v>
      </c>
    </row>
    <row r="1157" spans="1:25" x14ac:dyDescent="0.25">
      <c r="A1157">
        <v>65</v>
      </c>
      <c r="B1157" t="s">
        <v>2242</v>
      </c>
      <c r="C1157" t="s">
        <v>32</v>
      </c>
      <c r="D1157" t="s">
        <v>1342</v>
      </c>
      <c r="E1157">
        <v>130578</v>
      </c>
      <c r="F1157" t="s">
        <v>1343</v>
      </c>
      <c r="G1157" t="s">
        <v>1344</v>
      </c>
      <c r="H1157" t="s">
        <v>1345</v>
      </c>
      <c r="I1157" t="s">
        <v>1346</v>
      </c>
      <c r="L1157" t="b">
        <v>1</v>
      </c>
      <c r="M1157" t="s">
        <v>112</v>
      </c>
      <c r="N1157" t="s">
        <v>32</v>
      </c>
      <c r="P1157" t="s">
        <v>579</v>
      </c>
      <c r="Q1157">
        <v>1</v>
      </c>
      <c r="R1157">
        <v>3</v>
      </c>
      <c r="S1157">
        <v>107.97499999999999</v>
      </c>
      <c r="T1157">
        <v>350000</v>
      </c>
      <c r="U1157">
        <v>350000</v>
      </c>
      <c r="V1157">
        <v>1</v>
      </c>
      <c r="W1157">
        <v>7520.14</v>
      </c>
      <c r="X1157">
        <v>377912.5</v>
      </c>
      <c r="Y1157">
        <v>385432.64</v>
      </c>
    </row>
    <row r="1158" spans="1:25" x14ac:dyDescent="0.25">
      <c r="A1158">
        <v>65</v>
      </c>
      <c r="B1158" t="s">
        <v>2242</v>
      </c>
      <c r="C1158" t="s">
        <v>32</v>
      </c>
      <c r="D1158" t="s">
        <v>2348</v>
      </c>
      <c r="E1158">
        <v>226994</v>
      </c>
      <c r="F1158" t="s">
        <v>1351</v>
      </c>
      <c r="G1158" t="s">
        <v>2349</v>
      </c>
      <c r="H1158" t="s">
        <v>577</v>
      </c>
      <c r="I1158" t="s">
        <v>1350</v>
      </c>
      <c r="J1158" t="s">
        <v>1348</v>
      </c>
      <c r="K1158" t="s">
        <v>1348</v>
      </c>
      <c r="L1158" t="b">
        <v>1</v>
      </c>
      <c r="M1158" t="s">
        <v>112</v>
      </c>
      <c r="N1158" t="s">
        <v>32</v>
      </c>
      <c r="P1158" t="s">
        <v>579</v>
      </c>
      <c r="Q1158">
        <v>1</v>
      </c>
      <c r="R1158">
        <v>3</v>
      </c>
      <c r="S1158">
        <v>98.83</v>
      </c>
      <c r="T1158">
        <v>750000</v>
      </c>
      <c r="U1158">
        <v>750000</v>
      </c>
      <c r="V1158">
        <v>1</v>
      </c>
      <c r="W1158">
        <v>531.25</v>
      </c>
      <c r="X1158">
        <v>741225</v>
      </c>
      <c r="Y1158">
        <v>741756.25</v>
      </c>
    </row>
    <row r="1159" spans="1:25" x14ac:dyDescent="0.25">
      <c r="A1159">
        <v>65</v>
      </c>
      <c r="B1159" t="s">
        <v>2242</v>
      </c>
      <c r="C1159" t="s">
        <v>32</v>
      </c>
      <c r="D1159" t="s">
        <v>1358</v>
      </c>
      <c r="E1159">
        <v>2382</v>
      </c>
      <c r="F1159" t="s">
        <v>1357</v>
      </c>
      <c r="G1159" t="s">
        <v>1359</v>
      </c>
      <c r="H1159" t="s">
        <v>1355</v>
      </c>
      <c r="I1159" t="s">
        <v>1356</v>
      </c>
      <c r="J1159" t="s">
        <v>1353</v>
      </c>
      <c r="K1159" t="s">
        <v>1353</v>
      </c>
      <c r="L1159" t="b">
        <v>1</v>
      </c>
      <c r="M1159" t="s">
        <v>61</v>
      </c>
      <c r="N1159" t="s">
        <v>32</v>
      </c>
      <c r="P1159" t="s">
        <v>579</v>
      </c>
      <c r="Q1159">
        <v>1</v>
      </c>
      <c r="R1159">
        <v>3</v>
      </c>
      <c r="S1159">
        <v>97.495329999999996</v>
      </c>
      <c r="T1159">
        <v>440088</v>
      </c>
      <c r="U1159">
        <v>660000</v>
      </c>
      <c r="V1159">
        <v>0.66679999999999995</v>
      </c>
      <c r="W1159">
        <v>8476.2800000000007</v>
      </c>
      <c r="X1159">
        <v>429065.25000000012</v>
      </c>
      <c r="Y1159">
        <v>437541.53000000009</v>
      </c>
    </row>
    <row r="1160" spans="1:25" x14ac:dyDescent="0.25">
      <c r="A1160">
        <v>65</v>
      </c>
      <c r="B1160" t="s">
        <v>2242</v>
      </c>
      <c r="C1160" t="s">
        <v>32</v>
      </c>
      <c r="D1160" t="s">
        <v>1363</v>
      </c>
      <c r="E1160">
        <v>146334</v>
      </c>
      <c r="F1160" t="s">
        <v>1364</v>
      </c>
      <c r="G1160" t="s">
        <v>1365</v>
      </c>
      <c r="H1160" t="s">
        <v>356</v>
      </c>
      <c r="I1160" t="s">
        <v>1365</v>
      </c>
      <c r="L1160" t="b">
        <v>0</v>
      </c>
      <c r="M1160" t="s">
        <v>31</v>
      </c>
      <c r="N1160" t="s">
        <v>32</v>
      </c>
      <c r="P1160" t="s">
        <v>579</v>
      </c>
      <c r="Q1160">
        <v>1</v>
      </c>
      <c r="R1160">
        <v>3</v>
      </c>
      <c r="S1160">
        <v>98.462500000000006</v>
      </c>
      <c r="T1160">
        <v>530000</v>
      </c>
      <c r="U1160">
        <v>530000</v>
      </c>
      <c r="V1160">
        <v>1</v>
      </c>
      <c r="W1160">
        <v>1590</v>
      </c>
      <c r="X1160">
        <v>521851.25</v>
      </c>
      <c r="Y1160">
        <v>523441.25</v>
      </c>
    </row>
    <row r="1161" spans="1:25" x14ac:dyDescent="0.25">
      <c r="A1161">
        <v>65</v>
      </c>
      <c r="B1161" t="s">
        <v>2242</v>
      </c>
      <c r="C1161" t="s">
        <v>32</v>
      </c>
      <c r="D1161" t="s">
        <v>1366</v>
      </c>
      <c r="E1161">
        <v>972</v>
      </c>
      <c r="F1161" t="s">
        <v>1367</v>
      </c>
      <c r="G1161" t="s">
        <v>1368</v>
      </c>
      <c r="H1161" t="s">
        <v>356</v>
      </c>
      <c r="I1161" t="s">
        <v>1368</v>
      </c>
      <c r="L1161" t="b">
        <v>0</v>
      </c>
      <c r="M1161" t="s">
        <v>31</v>
      </c>
      <c r="N1161" t="s">
        <v>32</v>
      </c>
      <c r="P1161" t="s">
        <v>579</v>
      </c>
      <c r="Q1161">
        <v>1</v>
      </c>
      <c r="R1161">
        <v>3</v>
      </c>
      <c r="S1161">
        <v>100.64700000000001</v>
      </c>
      <c r="T1161">
        <v>90000</v>
      </c>
      <c r="U1161">
        <v>90000</v>
      </c>
      <c r="V1161">
        <v>1</v>
      </c>
      <c r="W1161">
        <v>189.06</v>
      </c>
      <c r="X1161">
        <v>90582.3</v>
      </c>
      <c r="Y1161">
        <v>90771.36</v>
      </c>
    </row>
    <row r="1162" spans="1:25" x14ac:dyDescent="0.25">
      <c r="A1162">
        <v>65</v>
      </c>
      <c r="B1162" t="s">
        <v>2242</v>
      </c>
      <c r="C1162" t="s">
        <v>32</v>
      </c>
      <c r="D1162" t="s">
        <v>1369</v>
      </c>
      <c r="E1162">
        <v>2371</v>
      </c>
      <c r="F1162" t="s">
        <v>1370</v>
      </c>
      <c r="G1162" t="s">
        <v>1371</v>
      </c>
      <c r="H1162" t="s">
        <v>356</v>
      </c>
      <c r="I1162" t="s">
        <v>1371</v>
      </c>
      <c r="L1162" t="b">
        <v>0</v>
      </c>
      <c r="M1162" t="s">
        <v>31</v>
      </c>
      <c r="N1162" t="s">
        <v>32</v>
      </c>
      <c r="P1162" t="s">
        <v>579</v>
      </c>
      <c r="Q1162">
        <v>1</v>
      </c>
      <c r="R1162">
        <v>3</v>
      </c>
      <c r="S1162">
        <v>98.167485999999997</v>
      </c>
      <c r="T1162">
        <v>70000</v>
      </c>
      <c r="U1162">
        <v>70000</v>
      </c>
      <c r="V1162">
        <v>1</v>
      </c>
      <c r="W1162">
        <v>52.5</v>
      </c>
      <c r="X1162">
        <v>68717.240000000005</v>
      </c>
      <c r="Y1162">
        <v>68769.740000000005</v>
      </c>
    </row>
    <row r="1163" spans="1:25" x14ac:dyDescent="0.25">
      <c r="A1163">
        <v>65</v>
      </c>
      <c r="B1163" t="s">
        <v>2242</v>
      </c>
      <c r="C1163" t="s">
        <v>32</v>
      </c>
      <c r="D1163" t="s">
        <v>1372</v>
      </c>
      <c r="E1163">
        <v>2925</v>
      </c>
      <c r="F1163" t="s">
        <v>1373</v>
      </c>
      <c r="G1163" t="s">
        <v>1374</v>
      </c>
      <c r="H1163" t="s">
        <v>356</v>
      </c>
      <c r="I1163" t="s">
        <v>1374</v>
      </c>
      <c r="L1163" t="b">
        <v>0</v>
      </c>
      <c r="M1163" t="s">
        <v>31</v>
      </c>
      <c r="N1163" t="s">
        <v>32</v>
      </c>
      <c r="P1163" t="s">
        <v>579</v>
      </c>
      <c r="Q1163">
        <v>1</v>
      </c>
      <c r="R1163">
        <v>3</v>
      </c>
      <c r="S1163">
        <v>94.796000000000006</v>
      </c>
      <c r="T1163">
        <v>170000</v>
      </c>
      <c r="U1163">
        <v>170000</v>
      </c>
      <c r="V1163">
        <v>1</v>
      </c>
      <c r="W1163">
        <v>1848.75</v>
      </c>
      <c r="X1163">
        <v>161153.20000000001</v>
      </c>
      <c r="Y1163">
        <v>163001.95000000001</v>
      </c>
    </row>
    <row r="1164" spans="1:25" x14ac:dyDescent="0.25">
      <c r="A1164">
        <v>65</v>
      </c>
      <c r="B1164" t="s">
        <v>2242</v>
      </c>
      <c r="C1164" t="s">
        <v>32</v>
      </c>
      <c r="D1164" t="s">
        <v>1375</v>
      </c>
      <c r="E1164">
        <v>971</v>
      </c>
      <c r="F1164" t="s">
        <v>1376</v>
      </c>
      <c r="G1164" t="s">
        <v>1377</v>
      </c>
      <c r="H1164" t="s">
        <v>356</v>
      </c>
      <c r="I1164" t="s">
        <v>1377</v>
      </c>
      <c r="L1164" t="b">
        <v>0</v>
      </c>
      <c r="M1164" t="s">
        <v>31</v>
      </c>
      <c r="N1164" t="s">
        <v>32</v>
      </c>
      <c r="P1164" t="s">
        <v>579</v>
      </c>
      <c r="Q1164">
        <v>1</v>
      </c>
      <c r="R1164">
        <v>3</v>
      </c>
      <c r="S1164">
        <v>90.416118999999995</v>
      </c>
      <c r="T1164">
        <v>270000</v>
      </c>
      <c r="U1164">
        <v>270000</v>
      </c>
      <c r="V1164">
        <v>1</v>
      </c>
      <c r="W1164">
        <v>2877</v>
      </c>
      <c r="X1164">
        <v>244123.51999999999</v>
      </c>
      <c r="Y1164">
        <v>247000.52</v>
      </c>
    </row>
    <row r="1165" spans="1:25" x14ac:dyDescent="0.25">
      <c r="A1165">
        <v>65</v>
      </c>
      <c r="B1165" t="s">
        <v>2242</v>
      </c>
      <c r="C1165" t="s">
        <v>32</v>
      </c>
      <c r="D1165" t="s">
        <v>1378</v>
      </c>
      <c r="E1165">
        <v>973</v>
      </c>
      <c r="F1165" t="s">
        <v>1379</v>
      </c>
      <c r="G1165" t="s">
        <v>1380</v>
      </c>
      <c r="H1165" t="s">
        <v>356</v>
      </c>
      <c r="I1165" t="s">
        <v>1380</v>
      </c>
      <c r="L1165" t="b">
        <v>0</v>
      </c>
      <c r="M1165" t="s">
        <v>31</v>
      </c>
      <c r="N1165" t="s">
        <v>32</v>
      </c>
      <c r="P1165" t="s">
        <v>579</v>
      </c>
      <c r="Q1165">
        <v>1</v>
      </c>
      <c r="R1165">
        <v>3</v>
      </c>
      <c r="S1165">
        <v>95.81</v>
      </c>
      <c r="T1165">
        <v>260000</v>
      </c>
      <c r="U1165">
        <v>260000</v>
      </c>
      <c r="V1165">
        <v>1</v>
      </c>
      <c r="W1165">
        <v>6578</v>
      </c>
      <c r="X1165">
        <v>249106</v>
      </c>
      <c r="Y1165">
        <v>255684</v>
      </c>
    </row>
    <row r="1166" spans="1:25" x14ac:dyDescent="0.25">
      <c r="A1166">
        <v>65</v>
      </c>
      <c r="B1166" t="s">
        <v>2242</v>
      </c>
      <c r="C1166" t="s">
        <v>32</v>
      </c>
      <c r="D1166" t="s">
        <v>1381</v>
      </c>
      <c r="E1166">
        <v>974</v>
      </c>
      <c r="F1166" t="s">
        <v>1382</v>
      </c>
      <c r="G1166" t="s">
        <v>1383</v>
      </c>
      <c r="H1166" t="s">
        <v>356</v>
      </c>
      <c r="I1166" t="s">
        <v>1383</v>
      </c>
      <c r="L1166" t="b">
        <v>0</v>
      </c>
      <c r="M1166" t="s">
        <v>31</v>
      </c>
      <c r="N1166" t="s">
        <v>32</v>
      </c>
      <c r="P1166" t="s">
        <v>579</v>
      </c>
      <c r="Q1166">
        <v>1</v>
      </c>
      <c r="R1166">
        <v>3</v>
      </c>
      <c r="S1166">
        <v>100.76300000000001</v>
      </c>
      <c r="T1166">
        <v>160000</v>
      </c>
      <c r="U1166">
        <v>160000</v>
      </c>
      <c r="V1166">
        <v>1</v>
      </c>
      <c r="W1166">
        <v>4317.78</v>
      </c>
      <c r="X1166">
        <v>161220.79999999999</v>
      </c>
      <c r="Y1166">
        <v>165538.57999999999</v>
      </c>
    </row>
    <row r="1167" spans="1:25" x14ac:dyDescent="0.25">
      <c r="A1167">
        <v>65</v>
      </c>
      <c r="B1167" t="s">
        <v>2242</v>
      </c>
      <c r="C1167" t="s">
        <v>32</v>
      </c>
      <c r="D1167" t="s">
        <v>2350</v>
      </c>
      <c r="E1167">
        <v>222558</v>
      </c>
      <c r="F1167" t="s">
        <v>585</v>
      </c>
      <c r="G1167" t="s">
        <v>2351</v>
      </c>
      <c r="H1167" t="s">
        <v>583</v>
      </c>
      <c r="I1167" t="s">
        <v>584</v>
      </c>
      <c r="J1167" t="s">
        <v>581</v>
      </c>
      <c r="K1167" t="s">
        <v>581</v>
      </c>
      <c r="L1167" t="b">
        <v>1</v>
      </c>
      <c r="M1167" t="s">
        <v>81</v>
      </c>
      <c r="N1167" t="s">
        <v>32</v>
      </c>
      <c r="P1167" t="s">
        <v>579</v>
      </c>
      <c r="Q1167">
        <v>1</v>
      </c>
      <c r="R1167">
        <v>3</v>
      </c>
      <c r="S1167">
        <v>102.07</v>
      </c>
      <c r="T1167">
        <v>400000</v>
      </c>
      <c r="U1167">
        <v>400000</v>
      </c>
      <c r="V1167">
        <v>1</v>
      </c>
      <c r="W1167">
        <v>3186.11</v>
      </c>
      <c r="X1167">
        <v>408280</v>
      </c>
      <c r="Y1167">
        <v>411466.11</v>
      </c>
    </row>
    <row r="1168" spans="1:25" x14ac:dyDescent="0.25">
      <c r="A1168">
        <v>65</v>
      </c>
      <c r="B1168" t="s">
        <v>2242</v>
      </c>
      <c r="C1168" t="s">
        <v>32</v>
      </c>
      <c r="D1168" t="s">
        <v>2352</v>
      </c>
      <c r="E1168">
        <v>194434</v>
      </c>
      <c r="F1168" t="s">
        <v>73</v>
      </c>
      <c r="G1168" t="s">
        <v>2353</v>
      </c>
      <c r="H1168" t="s">
        <v>71</v>
      </c>
      <c r="I1168" t="s">
        <v>72</v>
      </c>
      <c r="J1168" t="s">
        <v>69</v>
      </c>
      <c r="K1168" t="s">
        <v>69</v>
      </c>
      <c r="L1168" t="b">
        <v>1</v>
      </c>
      <c r="M1168" t="s">
        <v>74</v>
      </c>
      <c r="N1168" t="s">
        <v>32</v>
      </c>
      <c r="P1168" t="s">
        <v>579</v>
      </c>
      <c r="Q1168">
        <v>1</v>
      </c>
      <c r="R1168">
        <v>3</v>
      </c>
      <c r="S1168">
        <v>109.23654399999999</v>
      </c>
      <c r="T1168">
        <v>250000</v>
      </c>
      <c r="U1168">
        <v>250000</v>
      </c>
      <c r="V1168">
        <v>1</v>
      </c>
      <c r="W1168">
        <v>2875</v>
      </c>
      <c r="X1168">
        <v>273091.36</v>
      </c>
      <c r="Y1168">
        <v>275966.36</v>
      </c>
    </row>
    <row r="1169" spans="1:25" x14ac:dyDescent="0.25">
      <c r="A1169">
        <v>65</v>
      </c>
      <c r="B1169" t="s">
        <v>2242</v>
      </c>
      <c r="C1169" t="s">
        <v>32</v>
      </c>
      <c r="D1169" t="s">
        <v>1392</v>
      </c>
      <c r="E1169">
        <v>179346</v>
      </c>
      <c r="F1169" t="s">
        <v>1393</v>
      </c>
      <c r="G1169" t="s">
        <v>1394</v>
      </c>
      <c r="H1169" t="s">
        <v>1297</v>
      </c>
      <c r="I1169" t="s">
        <v>1395</v>
      </c>
      <c r="L1169" t="b">
        <v>1</v>
      </c>
      <c r="M1169" t="s">
        <v>31</v>
      </c>
      <c r="N1169" t="s">
        <v>32</v>
      </c>
      <c r="P1169" t="s">
        <v>579</v>
      </c>
      <c r="Q1169">
        <v>1</v>
      </c>
      <c r="R1169">
        <v>3</v>
      </c>
      <c r="S1169">
        <v>53.234999999999999</v>
      </c>
      <c r="T1169">
        <v>300000</v>
      </c>
      <c r="U1169">
        <v>300000</v>
      </c>
      <c r="V1169">
        <v>1</v>
      </c>
      <c r="W1169">
        <v>0</v>
      </c>
      <c r="X1169">
        <v>159705</v>
      </c>
      <c r="Y1169">
        <v>159705</v>
      </c>
    </row>
    <row r="1170" spans="1:25" x14ac:dyDescent="0.25">
      <c r="A1170">
        <v>65</v>
      </c>
      <c r="B1170" t="s">
        <v>2242</v>
      </c>
      <c r="C1170" t="s">
        <v>32</v>
      </c>
      <c r="D1170" t="s">
        <v>1400</v>
      </c>
      <c r="E1170">
        <v>205495</v>
      </c>
      <c r="F1170" t="s">
        <v>1401</v>
      </c>
      <c r="G1170" t="s">
        <v>1402</v>
      </c>
      <c r="H1170" t="s">
        <v>1297</v>
      </c>
      <c r="I1170" t="s">
        <v>1403</v>
      </c>
      <c r="J1170" t="s">
        <v>1401</v>
      </c>
      <c r="K1170" t="s">
        <v>1404</v>
      </c>
      <c r="L1170" t="b">
        <v>1</v>
      </c>
      <c r="M1170" t="s">
        <v>31</v>
      </c>
      <c r="N1170" t="s">
        <v>32</v>
      </c>
      <c r="P1170" t="s">
        <v>579</v>
      </c>
      <c r="Q1170">
        <v>1</v>
      </c>
      <c r="R1170">
        <v>3</v>
      </c>
      <c r="S1170">
        <v>52.860984999999999</v>
      </c>
      <c r="T1170">
        <v>200000</v>
      </c>
      <c r="U1170">
        <v>200000</v>
      </c>
      <c r="V1170">
        <v>1</v>
      </c>
      <c r="W1170">
        <v>0</v>
      </c>
      <c r="X1170">
        <v>105721.97</v>
      </c>
      <c r="Y1170">
        <v>105721.97</v>
      </c>
    </row>
    <row r="1171" spans="1:25" x14ac:dyDescent="0.25">
      <c r="A1171">
        <v>65</v>
      </c>
      <c r="B1171" t="s">
        <v>2242</v>
      </c>
      <c r="C1171" t="s">
        <v>32</v>
      </c>
      <c r="D1171" t="s">
        <v>1464</v>
      </c>
      <c r="E1171">
        <v>123483</v>
      </c>
      <c r="F1171" t="s">
        <v>1465</v>
      </c>
      <c r="G1171" t="s">
        <v>1466</v>
      </c>
      <c r="H1171" t="s">
        <v>1297</v>
      </c>
      <c r="I1171" t="s">
        <v>1467</v>
      </c>
      <c r="L1171" t="b">
        <v>1</v>
      </c>
      <c r="M1171" t="s">
        <v>31</v>
      </c>
      <c r="N1171" t="s">
        <v>32</v>
      </c>
      <c r="P1171" t="s">
        <v>579</v>
      </c>
      <c r="Q1171">
        <v>1</v>
      </c>
      <c r="R1171">
        <v>3</v>
      </c>
      <c r="S1171">
        <v>53.287999999999997</v>
      </c>
      <c r="T1171">
        <v>1770000</v>
      </c>
      <c r="U1171">
        <v>1770000</v>
      </c>
      <c r="V1171">
        <v>1</v>
      </c>
      <c r="W1171">
        <v>0</v>
      </c>
      <c r="X1171">
        <v>943197.6</v>
      </c>
      <c r="Y1171">
        <v>943197.6</v>
      </c>
    </row>
    <row r="1172" spans="1:25" x14ac:dyDescent="0.25">
      <c r="A1172">
        <v>65</v>
      </c>
      <c r="B1172" t="s">
        <v>2242</v>
      </c>
      <c r="C1172" t="s">
        <v>32</v>
      </c>
      <c r="D1172" t="s">
        <v>1478</v>
      </c>
      <c r="E1172">
        <v>132062</v>
      </c>
      <c r="F1172" t="s">
        <v>596</v>
      </c>
      <c r="G1172" t="s">
        <v>1479</v>
      </c>
      <c r="H1172" t="s">
        <v>594</v>
      </c>
      <c r="I1172" t="s">
        <v>595</v>
      </c>
      <c r="J1172" t="s">
        <v>592</v>
      </c>
      <c r="K1172" t="s">
        <v>592</v>
      </c>
      <c r="L1172" t="b">
        <v>1</v>
      </c>
      <c r="M1172" t="s">
        <v>31</v>
      </c>
      <c r="N1172" t="s">
        <v>32</v>
      </c>
      <c r="P1172" t="s">
        <v>579</v>
      </c>
      <c r="Q1172">
        <v>1</v>
      </c>
      <c r="R1172">
        <v>3</v>
      </c>
      <c r="S1172">
        <v>100.820808</v>
      </c>
      <c r="T1172">
        <v>1370226</v>
      </c>
      <c r="U1172">
        <v>1370226</v>
      </c>
      <c r="V1172">
        <v>1</v>
      </c>
      <c r="W1172">
        <v>10619.25</v>
      </c>
      <c r="X1172">
        <v>1381472.92</v>
      </c>
      <c r="Y1172">
        <v>1392092.17</v>
      </c>
    </row>
    <row r="1173" spans="1:25" x14ac:dyDescent="0.25">
      <c r="A1173">
        <v>65</v>
      </c>
      <c r="B1173" t="s">
        <v>2242</v>
      </c>
      <c r="C1173" t="s">
        <v>32</v>
      </c>
      <c r="D1173" t="s">
        <v>591</v>
      </c>
      <c r="E1173">
        <v>114867</v>
      </c>
      <c r="F1173" t="s">
        <v>592</v>
      </c>
      <c r="G1173" t="s">
        <v>593</v>
      </c>
      <c r="H1173" t="s">
        <v>594</v>
      </c>
      <c r="I1173" t="s">
        <v>595</v>
      </c>
      <c r="J1173" t="s">
        <v>592</v>
      </c>
      <c r="K1173" t="s">
        <v>596</v>
      </c>
      <c r="L1173" t="b">
        <v>1</v>
      </c>
      <c r="M1173" t="s">
        <v>31</v>
      </c>
      <c r="N1173" t="s">
        <v>32</v>
      </c>
      <c r="P1173" t="s">
        <v>579</v>
      </c>
      <c r="Q1173">
        <v>1</v>
      </c>
      <c r="R1173">
        <v>3</v>
      </c>
      <c r="S1173">
        <v>100.820808</v>
      </c>
      <c r="T1173">
        <v>2806485</v>
      </c>
      <c r="U1173">
        <v>2806485</v>
      </c>
      <c r="V1173">
        <v>1</v>
      </c>
      <c r="W1173">
        <v>21750.26</v>
      </c>
      <c r="X1173">
        <v>2829520.85</v>
      </c>
      <c r="Y1173">
        <v>2851271.11</v>
      </c>
    </row>
    <row r="1174" spans="1:25" x14ac:dyDescent="0.25">
      <c r="A1174">
        <v>65</v>
      </c>
      <c r="B1174" t="s">
        <v>2242</v>
      </c>
      <c r="C1174" t="s">
        <v>32</v>
      </c>
      <c r="D1174" t="s">
        <v>2354</v>
      </c>
      <c r="E1174">
        <v>203889</v>
      </c>
      <c r="F1174" t="s">
        <v>1485</v>
      </c>
      <c r="G1174" t="s">
        <v>2355</v>
      </c>
      <c r="H1174" t="s">
        <v>1483</v>
      </c>
      <c r="I1174" t="s">
        <v>1484</v>
      </c>
      <c r="J1174" t="s">
        <v>1481</v>
      </c>
      <c r="K1174" t="s">
        <v>1481</v>
      </c>
      <c r="L1174" t="b">
        <v>1</v>
      </c>
      <c r="M1174" t="s">
        <v>31</v>
      </c>
      <c r="N1174" t="s">
        <v>32</v>
      </c>
      <c r="P1174" t="s">
        <v>579</v>
      </c>
      <c r="Q1174">
        <v>1</v>
      </c>
      <c r="R1174">
        <v>3</v>
      </c>
      <c r="S1174">
        <v>95.301050000000004</v>
      </c>
      <c r="T1174">
        <v>200000</v>
      </c>
      <c r="U1174">
        <v>200000</v>
      </c>
      <c r="V1174">
        <v>1</v>
      </c>
      <c r="W1174">
        <v>5686.11</v>
      </c>
      <c r="X1174">
        <v>190602.1</v>
      </c>
      <c r="Y1174">
        <v>196288.21</v>
      </c>
    </row>
    <row r="1175" spans="1:25" x14ac:dyDescent="0.25">
      <c r="A1175">
        <v>65</v>
      </c>
      <c r="B1175" t="s">
        <v>2242</v>
      </c>
      <c r="C1175" t="s">
        <v>32</v>
      </c>
      <c r="D1175" t="s">
        <v>2356</v>
      </c>
      <c r="E1175">
        <v>203891</v>
      </c>
      <c r="F1175" t="s">
        <v>1490</v>
      </c>
      <c r="G1175" t="s">
        <v>2357</v>
      </c>
      <c r="H1175" t="s">
        <v>1483</v>
      </c>
      <c r="I1175" t="s">
        <v>1489</v>
      </c>
      <c r="J1175" t="s">
        <v>1487</v>
      </c>
      <c r="K1175" t="s">
        <v>1487</v>
      </c>
      <c r="L1175" t="b">
        <v>1</v>
      </c>
      <c r="M1175" t="s">
        <v>31</v>
      </c>
      <c r="N1175" t="s">
        <v>32</v>
      </c>
      <c r="P1175" t="s">
        <v>579</v>
      </c>
      <c r="Q1175">
        <v>1</v>
      </c>
      <c r="R1175">
        <v>3</v>
      </c>
      <c r="S1175">
        <v>91.677104999999997</v>
      </c>
      <c r="T1175">
        <v>200000</v>
      </c>
      <c r="U1175">
        <v>200000</v>
      </c>
      <c r="V1175">
        <v>1</v>
      </c>
      <c r="W1175">
        <v>6427.78</v>
      </c>
      <c r="X1175">
        <v>183354.21</v>
      </c>
      <c r="Y1175">
        <v>189781.99</v>
      </c>
    </row>
    <row r="1176" spans="1:25" x14ac:dyDescent="0.25">
      <c r="A1176">
        <v>65</v>
      </c>
      <c r="B1176" t="s">
        <v>2242</v>
      </c>
      <c r="C1176" t="s">
        <v>32</v>
      </c>
      <c r="D1176" t="s">
        <v>1491</v>
      </c>
      <c r="E1176">
        <v>203105</v>
      </c>
      <c r="F1176" t="s">
        <v>1492</v>
      </c>
      <c r="G1176" t="s">
        <v>1493</v>
      </c>
      <c r="H1176" t="s">
        <v>1494</v>
      </c>
      <c r="I1176" t="s">
        <v>1495</v>
      </c>
      <c r="L1176" t="b">
        <v>1</v>
      </c>
      <c r="M1176" t="s">
        <v>112</v>
      </c>
      <c r="N1176" t="s">
        <v>32</v>
      </c>
      <c r="P1176" t="s">
        <v>579</v>
      </c>
      <c r="Q1176">
        <v>1</v>
      </c>
      <c r="R1176">
        <v>3</v>
      </c>
      <c r="S1176">
        <v>64.05</v>
      </c>
      <c r="T1176">
        <v>180000</v>
      </c>
      <c r="U1176">
        <v>180000</v>
      </c>
      <c r="V1176">
        <v>1</v>
      </c>
      <c r="W1176">
        <v>1840</v>
      </c>
      <c r="X1176">
        <v>115290</v>
      </c>
      <c r="Y1176">
        <v>117130</v>
      </c>
    </row>
    <row r="1177" spans="1:25" x14ac:dyDescent="0.25">
      <c r="A1177">
        <v>65</v>
      </c>
      <c r="B1177" t="s">
        <v>2242</v>
      </c>
      <c r="C1177" t="s">
        <v>32</v>
      </c>
      <c r="D1177" t="s">
        <v>1496</v>
      </c>
      <c r="E1177">
        <v>119726</v>
      </c>
      <c r="F1177" t="s">
        <v>1497</v>
      </c>
      <c r="G1177" t="s">
        <v>1498</v>
      </c>
      <c r="H1177" t="s">
        <v>1499</v>
      </c>
      <c r="I1177" t="s">
        <v>1498</v>
      </c>
      <c r="L1177" t="b">
        <v>0</v>
      </c>
      <c r="M1177" t="s">
        <v>31</v>
      </c>
      <c r="N1177" t="s">
        <v>32</v>
      </c>
      <c r="P1177" t="s">
        <v>579</v>
      </c>
      <c r="Q1177">
        <v>1</v>
      </c>
      <c r="R1177">
        <v>3</v>
      </c>
      <c r="S1177">
        <v>2.9340000000000002</v>
      </c>
      <c r="T1177">
        <v>231910</v>
      </c>
      <c r="U1177">
        <v>231910</v>
      </c>
      <c r="V1177">
        <v>1</v>
      </c>
      <c r="W1177">
        <v>0</v>
      </c>
      <c r="X1177">
        <v>6804.2399999999907</v>
      </c>
      <c r="Y1177">
        <v>6804.2399999999907</v>
      </c>
    </row>
    <row r="1178" spans="1:25" x14ac:dyDescent="0.25">
      <c r="A1178">
        <v>65</v>
      </c>
      <c r="B1178" t="s">
        <v>2242</v>
      </c>
      <c r="C1178" t="s">
        <v>32</v>
      </c>
      <c r="D1178" t="s">
        <v>2358</v>
      </c>
      <c r="E1178">
        <v>202992</v>
      </c>
      <c r="F1178" t="s">
        <v>1505</v>
      </c>
      <c r="G1178" t="s">
        <v>2359</v>
      </c>
      <c r="H1178" t="s">
        <v>1503</v>
      </c>
      <c r="I1178" t="s">
        <v>1504</v>
      </c>
      <c r="J1178" t="s">
        <v>1501</v>
      </c>
      <c r="K1178" t="s">
        <v>1501</v>
      </c>
      <c r="L1178" t="b">
        <v>1</v>
      </c>
      <c r="M1178" t="s">
        <v>112</v>
      </c>
      <c r="N1178" t="s">
        <v>32</v>
      </c>
      <c r="P1178" t="s">
        <v>579</v>
      </c>
      <c r="Q1178">
        <v>1</v>
      </c>
      <c r="R1178">
        <v>3</v>
      </c>
      <c r="S1178">
        <v>104.4</v>
      </c>
      <c r="T1178">
        <v>1000000</v>
      </c>
      <c r="U1178">
        <v>1000000</v>
      </c>
      <c r="V1178">
        <v>1</v>
      </c>
      <c r="W1178">
        <v>2597.2199999999998</v>
      </c>
      <c r="X1178">
        <v>1044000</v>
      </c>
      <c r="Y1178">
        <v>1046597.22</v>
      </c>
    </row>
    <row r="1179" spans="1:25" x14ac:dyDescent="0.25">
      <c r="A1179">
        <v>65</v>
      </c>
      <c r="B1179" t="s">
        <v>2242</v>
      </c>
      <c r="C1179" t="s">
        <v>32</v>
      </c>
      <c r="D1179" t="s">
        <v>2360</v>
      </c>
      <c r="E1179">
        <v>173181</v>
      </c>
      <c r="F1179" t="s">
        <v>1510</v>
      </c>
      <c r="G1179" t="s">
        <v>2361</v>
      </c>
      <c r="H1179" t="s">
        <v>1503</v>
      </c>
      <c r="I1179" t="s">
        <v>1509</v>
      </c>
      <c r="J1179" t="s">
        <v>1507</v>
      </c>
      <c r="K1179" t="s">
        <v>1507</v>
      </c>
      <c r="L1179" t="b">
        <v>1</v>
      </c>
      <c r="M1179" t="s">
        <v>112</v>
      </c>
      <c r="N1179" t="s">
        <v>32</v>
      </c>
      <c r="P1179" t="s">
        <v>579</v>
      </c>
      <c r="Q1179">
        <v>1</v>
      </c>
      <c r="R1179">
        <v>3</v>
      </c>
      <c r="S1179">
        <v>107.3031</v>
      </c>
      <c r="T1179">
        <v>700000</v>
      </c>
      <c r="U1179">
        <v>700000</v>
      </c>
      <c r="V1179">
        <v>1</v>
      </c>
      <c r="W1179">
        <v>11331.25</v>
      </c>
      <c r="X1179">
        <v>751121.7</v>
      </c>
      <c r="Y1179">
        <v>762452.95</v>
      </c>
    </row>
    <row r="1180" spans="1:25" x14ac:dyDescent="0.25">
      <c r="A1180">
        <v>65</v>
      </c>
      <c r="B1180" t="s">
        <v>2242</v>
      </c>
      <c r="C1180" t="s">
        <v>32</v>
      </c>
      <c r="D1180" t="s">
        <v>2362</v>
      </c>
      <c r="E1180">
        <v>139013</v>
      </c>
      <c r="F1180" t="s">
        <v>1515</v>
      </c>
      <c r="G1180" t="s">
        <v>2363</v>
      </c>
      <c r="H1180" t="s">
        <v>1503</v>
      </c>
      <c r="I1180" t="s">
        <v>1514</v>
      </c>
      <c r="J1180" t="s">
        <v>1512</v>
      </c>
      <c r="K1180" t="s">
        <v>1512</v>
      </c>
      <c r="L1180" t="b">
        <v>1</v>
      </c>
      <c r="M1180" t="s">
        <v>112</v>
      </c>
      <c r="N1180" t="s">
        <v>32</v>
      </c>
      <c r="P1180" t="s">
        <v>579</v>
      </c>
      <c r="Q1180">
        <v>1</v>
      </c>
      <c r="R1180">
        <v>3</v>
      </c>
      <c r="S1180">
        <v>108.41500000000001</v>
      </c>
      <c r="T1180">
        <v>780000</v>
      </c>
      <c r="U1180">
        <v>780000</v>
      </c>
      <c r="V1180">
        <v>1</v>
      </c>
      <c r="W1180">
        <v>2264.17</v>
      </c>
      <c r="X1180">
        <v>845637</v>
      </c>
      <c r="Y1180">
        <v>847901.17</v>
      </c>
    </row>
    <row r="1181" spans="1:25" x14ac:dyDescent="0.25">
      <c r="A1181">
        <v>65</v>
      </c>
      <c r="B1181" t="s">
        <v>2242</v>
      </c>
      <c r="C1181" t="s">
        <v>32</v>
      </c>
      <c r="D1181" t="s">
        <v>2364</v>
      </c>
      <c r="E1181">
        <v>159687</v>
      </c>
      <c r="F1181" t="s">
        <v>1521</v>
      </c>
      <c r="G1181" t="s">
        <v>2365</v>
      </c>
      <c r="H1181" t="s">
        <v>1519</v>
      </c>
      <c r="I1181" t="s">
        <v>1520</v>
      </c>
      <c r="J1181" t="s">
        <v>1517</v>
      </c>
      <c r="K1181" t="s">
        <v>1517</v>
      </c>
      <c r="L1181" t="b">
        <v>1</v>
      </c>
      <c r="M1181" t="s">
        <v>112</v>
      </c>
      <c r="N1181" t="s">
        <v>32</v>
      </c>
      <c r="P1181" t="s">
        <v>579</v>
      </c>
      <c r="Q1181">
        <v>1</v>
      </c>
      <c r="R1181">
        <v>3</v>
      </c>
      <c r="S1181">
        <v>104.05</v>
      </c>
      <c r="T1181">
        <v>2290000</v>
      </c>
      <c r="U1181">
        <v>2290000</v>
      </c>
      <c r="V1181">
        <v>1</v>
      </c>
      <c r="W1181">
        <v>4365.3100000000004</v>
      </c>
      <c r="X1181">
        <v>2382745</v>
      </c>
      <c r="Y1181">
        <v>2387110.31</v>
      </c>
    </row>
    <row r="1182" spans="1:25" x14ac:dyDescent="0.25">
      <c r="A1182">
        <v>65</v>
      </c>
      <c r="B1182" t="s">
        <v>2242</v>
      </c>
      <c r="C1182" t="s">
        <v>32</v>
      </c>
      <c r="D1182" t="s">
        <v>2366</v>
      </c>
      <c r="E1182">
        <v>147062</v>
      </c>
      <c r="F1182" t="s">
        <v>80</v>
      </c>
      <c r="G1182" t="s">
        <v>2367</v>
      </c>
      <c r="H1182" t="s">
        <v>78</v>
      </c>
      <c r="I1182" t="s">
        <v>79</v>
      </c>
      <c r="J1182" t="s">
        <v>76</v>
      </c>
      <c r="K1182" t="s">
        <v>76</v>
      </c>
      <c r="L1182" t="b">
        <v>1</v>
      </c>
      <c r="M1182" t="s">
        <v>81</v>
      </c>
      <c r="N1182" t="s">
        <v>32</v>
      </c>
      <c r="P1182" t="s">
        <v>579</v>
      </c>
      <c r="Q1182">
        <v>1</v>
      </c>
      <c r="R1182">
        <v>3</v>
      </c>
      <c r="S1182">
        <v>102.258</v>
      </c>
      <c r="T1182">
        <v>730000</v>
      </c>
      <c r="U1182">
        <v>730000</v>
      </c>
      <c r="V1182">
        <v>1</v>
      </c>
      <c r="W1182">
        <v>21058.47</v>
      </c>
      <c r="X1182">
        <v>746483.4</v>
      </c>
      <c r="Y1182">
        <v>767541.87</v>
      </c>
    </row>
    <row r="1183" spans="1:25" x14ac:dyDescent="0.25">
      <c r="A1183">
        <v>65</v>
      </c>
      <c r="B1183" t="s">
        <v>2242</v>
      </c>
      <c r="C1183" t="s">
        <v>32</v>
      </c>
      <c r="D1183" t="s">
        <v>82</v>
      </c>
      <c r="E1183">
        <v>1104</v>
      </c>
      <c r="F1183" t="s">
        <v>83</v>
      </c>
      <c r="G1183" t="s">
        <v>84</v>
      </c>
      <c r="H1183" t="s">
        <v>85</v>
      </c>
      <c r="I1183" t="s">
        <v>86</v>
      </c>
      <c r="J1183" t="s">
        <v>83</v>
      </c>
      <c r="K1183" t="s">
        <v>87</v>
      </c>
      <c r="L1183" t="b">
        <v>1</v>
      </c>
      <c r="M1183" t="s">
        <v>61</v>
      </c>
      <c r="N1183" t="s">
        <v>32</v>
      </c>
      <c r="P1183" t="s">
        <v>579</v>
      </c>
      <c r="Q1183">
        <v>1</v>
      </c>
      <c r="R1183">
        <v>3</v>
      </c>
      <c r="S1183">
        <v>101.6</v>
      </c>
      <c r="T1183">
        <v>557343.78300000005</v>
      </c>
      <c r="U1183">
        <v>670000</v>
      </c>
      <c r="V1183">
        <v>0.83189999999999997</v>
      </c>
      <c r="W1183">
        <v>3773.68</v>
      </c>
      <c r="X1183">
        <v>566261.2799999998</v>
      </c>
      <c r="Y1183">
        <v>570034.95999999985</v>
      </c>
    </row>
    <row r="1184" spans="1:25" x14ac:dyDescent="0.25">
      <c r="A1184">
        <v>65</v>
      </c>
      <c r="B1184" t="s">
        <v>2242</v>
      </c>
      <c r="C1184" t="s">
        <v>32</v>
      </c>
      <c r="D1184" t="s">
        <v>2368</v>
      </c>
      <c r="E1184">
        <v>139475</v>
      </c>
      <c r="F1184" t="s">
        <v>1539</v>
      </c>
      <c r="G1184" t="s">
        <v>2369</v>
      </c>
      <c r="H1184" t="s">
        <v>1533</v>
      </c>
      <c r="I1184" t="s">
        <v>1538</v>
      </c>
      <c r="J1184" t="s">
        <v>1536</v>
      </c>
      <c r="K1184" t="s">
        <v>1536</v>
      </c>
      <c r="L1184" t="b">
        <v>1</v>
      </c>
      <c r="M1184" t="s">
        <v>112</v>
      </c>
      <c r="N1184" t="s">
        <v>32</v>
      </c>
      <c r="P1184" t="s">
        <v>579</v>
      </c>
      <c r="Q1184">
        <v>1</v>
      </c>
      <c r="R1184">
        <v>3</v>
      </c>
      <c r="S1184">
        <v>106.19851800000001</v>
      </c>
      <c r="T1184">
        <v>910000</v>
      </c>
      <c r="U1184">
        <v>910000</v>
      </c>
      <c r="V1184">
        <v>1</v>
      </c>
      <c r="W1184">
        <v>1504.03</v>
      </c>
      <c r="X1184">
        <v>966406.51</v>
      </c>
      <c r="Y1184">
        <v>967910.54</v>
      </c>
    </row>
    <row r="1185" spans="1:25" x14ac:dyDescent="0.25">
      <c r="A1185">
        <v>65</v>
      </c>
      <c r="B1185" t="s">
        <v>2242</v>
      </c>
      <c r="C1185" t="s">
        <v>32</v>
      </c>
      <c r="D1185" t="s">
        <v>1540</v>
      </c>
      <c r="E1185">
        <v>2222</v>
      </c>
      <c r="F1185" t="s">
        <v>1541</v>
      </c>
      <c r="G1185" t="s">
        <v>1542</v>
      </c>
      <c r="H1185" t="s">
        <v>1543</v>
      </c>
      <c r="I1185" t="s">
        <v>1544</v>
      </c>
      <c r="L1185" t="b">
        <v>1</v>
      </c>
      <c r="M1185" t="s">
        <v>1030</v>
      </c>
      <c r="N1185" t="s">
        <v>32</v>
      </c>
      <c r="P1185" t="s">
        <v>579</v>
      </c>
      <c r="Q1185">
        <v>1</v>
      </c>
      <c r="R1185">
        <v>3</v>
      </c>
      <c r="S1185">
        <v>92.249998000000005</v>
      </c>
      <c r="T1185">
        <v>160489</v>
      </c>
      <c r="U1185">
        <v>200000</v>
      </c>
      <c r="V1185">
        <v>0.8024</v>
      </c>
      <c r="W1185">
        <v>538.30999999999995</v>
      </c>
      <c r="X1185">
        <v>148051.1</v>
      </c>
      <c r="Y1185">
        <v>148589.41</v>
      </c>
    </row>
    <row r="1186" spans="1:25" x14ac:dyDescent="0.25">
      <c r="A1186">
        <v>65</v>
      </c>
      <c r="B1186" t="s">
        <v>2242</v>
      </c>
      <c r="C1186" t="s">
        <v>32</v>
      </c>
      <c r="D1186" t="s">
        <v>2370</v>
      </c>
      <c r="E1186">
        <v>159993</v>
      </c>
      <c r="F1186" t="s">
        <v>1663</v>
      </c>
      <c r="G1186" t="s">
        <v>2371</v>
      </c>
      <c r="H1186" t="s">
        <v>1661</v>
      </c>
      <c r="I1186" t="s">
        <v>1662</v>
      </c>
      <c r="J1186" t="s">
        <v>1659</v>
      </c>
      <c r="K1186" t="s">
        <v>1659</v>
      </c>
      <c r="L1186" t="b">
        <v>1</v>
      </c>
      <c r="M1186" t="s">
        <v>31</v>
      </c>
      <c r="N1186" t="s">
        <v>32</v>
      </c>
      <c r="P1186" t="s">
        <v>579</v>
      </c>
      <c r="Q1186">
        <v>1</v>
      </c>
      <c r="R1186">
        <v>3</v>
      </c>
      <c r="S1186">
        <v>102.82899999999999</v>
      </c>
      <c r="T1186">
        <v>230000</v>
      </c>
      <c r="U1186">
        <v>230000</v>
      </c>
      <c r="V1186">
        <v>1</v>
      </c>
      <c r="W1186">
        <v>191.67</v>
      </c>
      <c r="X1186">
        <v>236506.7</v>
      </c>
      <c r="Y1186">
        <v>236698.37</v>
      </c>
    </row>
    <row r="1187" spans="1:25" x14ac:dyDescent="0.25">
      <c r="A1187">
        <v>65</v>
      </c>
      <c r="B1187" t="s">
        <v>2242</v>
      </c>
      <c r="C1187" t="s">
        <v>32</v>
      </c>
      <c r="D1187" t="s">
        <v>2372</v>
      </c>
      <c r="E1187">
        <v>189332</v>
      </c>
      <c r="F1187" t="s">
        <v>1669</v>
      </c>
      <c r="G1187" t="s">
        <v>2373</v>
      </c>
      <c r="H1187" t="s">
        <v>1667</v>
      </c>
      <c r="I1187" t="s">
        <v>1668</v>
      </c>
      <c r="J1187" t="s">
        <v>1665</v>
      </c>
      <c r="K1187" t="s">
        <v>1665</v>
      </c>
      <c r="L1187" t="b">
        <v>1</v>
      </c>
      <c r="M1187" t="s">
        <v>31</v>
      </c>
      <c r="N1187" t="s">
        <v>32</v>
      </c>
      <c r="P1187" t="s">
        <v>579</v>
      </c>
      <c r="Q1187">
        <v>1</v>
      </c>
      <c r="R1187">
        <v>3</v>
      </c>
      <c r="S1187">
        <v>95.1</v>
      </c>
      <c r="T1187">
        <v>400000</v>
      </c>
      <c r="U1187">
        <v>400000</v>
      </c>
      <c r="V1187">
        <v>1</v>
      </c>
      <c r="W1187">
        <v>511.11</v>
      </c>
      <c r="X1187">
        <v>380400</v>
      </c>
      <c r="Y1187">
        <v>380911.11</v>
      </c>
    </row>
    <row r="1188" spans="1:25" x14ac:dyDescent="0.25">
      <c r="A1188">
        <v>65</v>
      </c>
      <c r="B1188" t="s">
        <v>2242</v>
      </c>
      <c r="C1188" t="s">
        <v>32</v>
      </c>
      <c r="D1188" t="s">
        <v>2374</v>
      </c>
      <c r="E1188">
        <v>155347</v>
      </c>
      <c r="F1188" t="s">
        <v>1675</v>
      </c>
      <c r="G1188" t="s">
        <v>2375</v>
      </c>
      <c r="H1188" t="s">
        <v>1673</v>
      </c>
      <c r="I1188" t="s">
        <v>1674</v>
      </c>
      <c r="J1188" t="s">
        <v>1671</v>
      </c>
      <c r="K1188" t="s">
        <v>1671</v>
      </c>
      <c r="L1188" t="b">
        <v>1</v>
      </c>
      <c r="M1188" t="s">
        <v>112</v>
      </c>
      <c r="N1188" t="s">
        <v>32</v>
      </c>
      <c r="P1188" t="s">
        <v>579</v>
      </c>
      <c r="Q1188">
        <v>1</v>
      </c>
      <c r="R1188">
        <v>3</v>
      </c>
      <c r="S1188">
        <v>104.72499999999999</v>
      </c>
      <c r="T1188">
        <v>910000</v>
      </c>
      <c r="U1188">
        <v>910000</v>
      </c>
      <c r="V1188">
        <v>1</v>
      </c>
      <c r="W1188">
        <v>9829.9</v>
      </c>
      <c r="X1188">
        <v>952997.5</v>
      </c>
      <c r="Y1188">
        <v>962827.4</v>
      </c>
    </row>
    <row r="1189" spans="1:25" x14ac:dyDescent="0.25">
      <c r="A1189">
        <v>65</v>
      </c>
      <c r="B1189" t="s">
        <v>2242</v>
      </c>
      <c r="C1189" t="s">
        <v>32</v>
      </c>
      <c r="D1189" t="s">
        <v>1680</v>
      </c>
      <c r="E1189">
        <v>126886</v>
      </c>
      <c r="F1189" t="s">
        <v>1681</v>
      </c>
      <c r="G1189" t="s">
        <v>1682</v>
      </c>
      <c r="H1189" t="s">
        <v>1683</v>
      </c>
      <c r="I1189" t="s">
        <v>1682</v>
      </c>
      <c r="L1189" t="b">
        <v>0</v>
      </c>
      <c r="M1189" t="s">
        <v>31</v>
      </c>
      <c r="N1189" t="s">
        <v>32</v>
      </c>
      <c r="P1189" t="s">
        <v>579</v>
      </c>
      <c r="Q1189">
        <v>1</v>
      </c>
      <c r="R1189">
        <v>3</v>
      </c>
      <c r="S1189">
        <v>101.375066</v>
      </c>
      <c r="T1189">
        <v>206225</v>
      </c>
      <c r="U1189">
        <v>206225</v>
      </c>
      <c r="V1189">
        <v>1</v>
      </c>
      <c r="W1189">
        <v>630.13</v>
      </c>
      <c r="X1189">
        <v>209060.73</v>
      </c>
      <c r="Y1189">
        <v>209690.86</v>
      </c>
    </row>
    <row r="1190" spans="1:25" x14ac:dyDescent="0.25">
      <c r="A1190">
        <v>65</v>
      </c>
      <c r="B1190" t="s">
        <v>2242</v>
      </c>
      <c r="C1190" t="s">
        <v>32</v>
      </c>
      <c r="D1190" t="s">
        <v>2376</v>
      </c>
      <c r="E1190">
        <v>166673</v>
      </c>
      <c r="F1190" t="s">
        <v>95</v>
      </c>
      <c r="G1190" t="s">
        <v>2377</v>
      </c>
      <c r="H1190" t="s">
        <v>93</v>
      </c>
      <c r="I1190" t="s">
        <v>94</v>
      </c>
      <c r="J1190" t="s">
        <v>91</v>
      </c>
      <c r="K1190" t="s">
        <v>91</v>
      </c>
      <c r="L1190" t="b">
        <v>1</v>
      </c>
      <c r="M1190" t="s">
        <v>50</v>
      </c>
      <c r="N1190" t="s">
        <v>32</v>
      </c>
      <c r="P1190" t="s">
        <v>579</v>
      </c>
      <c r="Q1190">
        <v>1</v>
      </c>
      <c r="R1190">
        <v>3</v>
      </c>
      <c r="S1190">
        <v>89.838424000000003</v>
      </c>
      <c r="T1190">
        <v>3156143</v>
      </c>
      <c r="U1190">
        <v>3156143</v>
      </c>
      <c r="V1190">
        <v>1</v>
      </c>
      <c r="W1190">
        <v>52602.38</v>
      </c>
      <c r="X1190">
        <v>2835429.13</v>
      </c>
      <c r="Y1190">
        <v>2888031.51</v>
      </c>
    </row>
    <row r="1191" spans="1:25" x14ac:dyDescent="0.25">
      <c r="A1191">
        <v>65</v>
      </c>
      <c r="B1191" t="s">
        <v>2242</v>
      </c>
      <c r="C1191" t="s">
        <v>32</v>
      </c>
      <c r="D1191" t="s">
        <v>2198</v>
      </c>
      <c r="E1191">
        <v>166675</v>
      </c>
      <c r="F1191" t="s">
        <v>100</v>
      </c>
      <c r="G1191" t="s">
        <v>2199</v>
      </c>
      <c r="H1191" t="s">
        <v>93</v>
      </c>
      <c r="I1191" t="s">
        <v>99</v>
      </c>
      <c r="J1191" t="s">
        <v>97</v>
      </c>
      <c r="K1191" t="s">
        <v>97</v>
      </c>
      <c r="L1191" t="b">
        <v>1</v>
      </c>
      <c r="M1191" t="s">
        <v>50</v>
      </c>
      <c r="N1191" t="s">
        <v>32</v>
      </c>
      <c r="P1191" t="s">
        <v>579</v>
      </c>
      <c r="Q1191">
        <v>1</v>
      </c>
      <c r="R1191">
        <v>3</v>
      </c>
      <c r="S1191">
        <v>103.75</v>
      </c>
      <c r="T1191">
        <v>1982040</v>
      </c>
      <c r="U1191">
        <v>1982040</v>
      </c>
      <c r="V1191">
        <v>1</v>
      </c>
      <c r="W1191">
        <v>72674.81</v>
      </c>
      <c r="X1191">
        <v>2056366.51</v>
      </c>
      <c r="Y1191">
        <v>2129041.3199999998</v>
      </c>
    </row>
    <row r="1192" spans="1:25" x14ac:dyDescent="0.25">
      <c r="A1192">
        <v>65</v>
      </c>
      <c r="B1192" t="s">
        <v>2242</v>
      </c>
      <c r="C1192" t="s">
        <v>32</v>
      </c>
      <c r="D1192" t="s">
        <v>1684</v>
      </c>
      <c r="E1192">
        <v>1144</v>
      </c>
      <c r="F1192" t="s">
        <v>1685</v>
      </c>
      <c r="G1192" t="s">
        <v>1686</v>
      </c>
      <c r="H1192" t="s">
        <v>605</v>
      </c>
      <c r="I1192" t="s">
        <v>1687</v>
      </c>
      <c r="L1192" t="b">
        <v>1</v>
      </c>
      <c r="M1192" t="s">
        <v>112</v>
      </c>
      <c r="N1192" t="s">
        <v>32</v>
      </c>
      <c r="P1192" t="s">
        <v>579</v>
      </c>
      <c r="Q1192">
        <v>1</v>
      </c>
      <c r="R1192">
        <v>3</v>
      </c>
      <c r="S1192">
        <v>100.58240000000001</v>
      </c>
      <c r="T1192">
        <v>1750000</v>
      </c>
      <c r="U1192">
        <v>1750000</v>
      </c>
      <c r="V1192">
        <v>1</v>
      </c>
      <c r="W1192">
        <v>3378.47</v>
      </c>
      <c r="X1192">
        <v>1760192</v>
      </c>
      <c r="Y1192">
        <v>1763570.47</v>
      </c>
    </row>
    <row r="1193" spans="1:25" x14ac:dyDescent="0.25">
      <c r="A1193">
        <v>65</v>
      </c>
      <c r="B1193" t="s">
        <v>2242</v>
      </c>
      <c r="C1193" t="s">
        <v>32</v>
      </c>
      <c r="D1193" t="s">
        <v>1688</v>
      </c>
      <c r="E1193">
        <v>1145</v>
      </c>
      <c r="F1193" t="s">
        <v>1689</v>
      </c>
      <c r="G1193" t="s">
        <v>1690</v>
      </c>
      <c r="H1193" t="s">
        <v>605</v>
      </c>
      <c r="I1193" t="s">
        <v>1691</v>
      </c>
      <c r="L1193" t="b">
        <v>1</v>
      </c>
      <c r="M1193" t="s">
        <v>112</v>
      </c>
      <c r="N1193" t="s">
        <v>32</v>
      </c>
      <c r="P1193" t="s">
        <v>579</v>
      </c>
      <c r="Q1193">
        <v>1</v>
      </c>
      <c r="R1193">
        <v>3</v>
      </c>
      <c r="S1193">
        <v>94.208624999999998</v>
      </c>
      <c r="T1193">
        <v>80000</v>
      </c>
      <c r="U1193">
        <v>80000</v>
      </c>
      <c r="V1193">
        <v>1</v>
      </c>
      <c r="W1193">
        <v>715.56</v>
      </c>
      <c r="X1193">
        <v>75366.899999999994</v>
      </c>
      <c r="Y1193">
        <v>76082.459999999992</v>
      </c>
    </row>
    <row r="1194" spans="1:25" x14ac:dyDescent="0.25">
      <c r="A1194">
        <v>65</v>
      </c>
      <c r="B1194" t="s">
        <v>2242</v>
      </c>
      <c r="C1194" t="s">
        <v>32</v>
      </c>
      <c r="D1194" t="s">
        <v>2378</v>
      </c>
      <c r="E1194">
        <v>159226</v>
      </c>
      <c r="F1194" t="s">
        <v>1696</v>
      </c>
      <c r="G1194" t="s">
        <v>2379</v>
      </c>
      <c r="H1194" t="s">
        <v>605</v>
      </c>
      <c r="I1194" t="s">
        <v>1695</v>
      </c>
      <c r="J1194" t="s">
        <v>1693</v>
      </c>
      <c r="K1194" t="s">
        <v>1693</v>
      </c>
      <c r="L1194" t="b">
        <v>1</v>
      </c>
      <c r="M1194" t="s">
        <v>112</v>
      </c>
      <c r="N1194" t="s">
        <v>32</v>
      </c>
      <c r="P1194" t="s">
        <v>579</v>
      </c>
      <c r="Q1194">
        <v>1</v>
      </c>
      <c r="R1194">
        <v>3</v>
      </c>
      <c r="S1194">
        <v>105.59353900000001</v>
      </c>
      <c r="T1194">
        <v>1330000</v>
      </c>
      <c r="U1194">
        <v>1330000</v>
      </c>
      <c r="V1194">
        <v>1</v>
      </c>
      <c r="W1194">
        <v>4267.09</v>
      </c>
      <c r="X1194">
        <v>1404394.07</v>
      </c>
      <c r="Y1194">
        <v>1408661.16</v>
      </c>
    </row>
    <row r="1195" spans="1:25" x14ac:dyDescent="0.25">
      <c r="A1195">
        <v>65</v>
      </c>
      <c r="B1195" t="s">
        <v>2242</v>
      </c>
      <c r="C1195" t="s">
        <v>32</v>
      </c>
      <c r="D1195" t="s">
        <v>1697</v>
      </c>
      <c r="E1195">
        <v>1147</v>
      </c>
      <c r="F1195" t="s">
        <v>1698</v>
      </c>
      <c r="G1195" t="s">
        <v>1699</v>
      </c>
      <c r="H1195" t="s">
        <v>605</v>
      </c>
      <c r="I1195" t="s">
        <v>1700</v>
      </c>
      <c r="L1195" t="b">
        <v>1</v>
      </c>
      <c r="M1195" t="s">
        <v>112</v>
      </c>
      <c r="N1195" t="s">
        <v>32</v>
      </c>
      <c r="P1195" t="s">
        <v>579</v>
      </c>
      <c r="Q1195">
        <v>1</v>
      </c>
      <c r="R1195">
        <v>3</v>
      </c>
      <c r="S1195">
        <v>104.552954</v>
      </c>
      <c r="T1195">
        <v>690000</v>
      </c>
      <c r="U1195">
        <v>690000</v>
      </c>
      <c r="V1195">
        <v>1</v>
      </c>
      <c r="W1195">
        <v>5539.17</v>
      </c>
      <c r="X1195">
        <v>721415.38</v>
      </c>
      <c r="Y1195">
        <v>726954.55</v>
      </c>
    </row>
    <row r="1196" spans="1:25" x14ac:dyDescent="0.25">
      <c r="A1196">
        <v>65</v>
      </c>
      <c r="B1196" t="s">
        <v>2242</v>
      </c>
      <c r="C1196" t="s">
        <v>32</v>
      </c>
      <c r="D1196" t="s">
        <v>1701</v>
      </c>
      <c r="E1196">
        <v>146385</v>
      </c>
      <c r="F1196" t="s">
        <v>1702</v>
      </c>
      <c r="G1196" t="s">
        <v>1703</v>
      </c>
      <c r="H1196" t="s">
        <v>605</v>
      </c>
      <c r="I1196" t="s">
        <v>1704</v>
      </c>
      <c r="J1196" t="s">
        <v>1702</v>
      </c>
      <c r="K1196" t="s">
        <v>1705</v>
      </c>
      <c r="L1196" t="b">
        <v>1</v>
      </c>
      <c r="M1196" t="s">
        <v>112</v>
      </c>
      <c r="N1196" t="s">
        <v>32</v>
      </c>
      <c r="P1196" t="s">
        <v>579</v>
      </c>
      <c r="Q1196">
        <v>1</v>
      </c>
      <c r="R1196">
        <v>3</v>
      </c>
      <c r="S1196">
        <v>106.1785</v>
      </c>
      <c r="T1196">
        <v>230000</v>
      </c>
      <c r="U1196">
        <v>230000</v>
      </c>
      <c r="V1196">
        <v>1</v>
      </c>
      <c r="W1196">
        <v>7826.39</v>
      </c>
      <c r="X1196">
        <v>244210.55</v>
      </c>
      <c r="Y1196">
        <v>252036.94</v>
      </c>
    </row>
    <row r="1197" spans="1:25" x14ac:dyDescent="0.25">
      <c r="A1197">
        <v>65</v>
      </c>
      <c r="B1197" t="s">
        <v>2242</v>
      </c>
      <c r="C1197" t="s">
        <v>32</v>
      </c>
      <c r="D1197" t="s">
        <v>1708</v>
      </c>
      <c r="E1197">
        <v>118893</v>
      </c>
      <c r="F1197" t="s">
        <v>1709</v>
      </c>
      <c r="G1197" t="s">
        <v>1710</v>
      </c>
      <c r="H1197" t="s">
        <v>605</v>
      </c>
      <c r="I1197" t="s">
        <v>1711</v>
      </c>
      <c r="L1197" t="b">
        <v>1</v>
      </c>
      <c r="M1197" t="s">
        <v>112</v>
      </c>
      <c r="N1197" t="s">
        <v>32</v>
      </c>
      <c r="P1197" t="s">
        <v>579</v>
      </c>
      <c r="Q1197">
        <v>1</v>
      </c>
      <c r="R1197">
        <v>3</v>
      </c>
      <c r="S1197">
        <v>106.277503</v>
      </c>
      <c r="T1197">
        <v>171000</v>
      </c>
      <c r="U1197">
        <v>190000</v>
      </c>
      <c r="V1197">
        <v>0.9</v>
      </c>
      <c r="W1197">
        <v>631.75</v>
      </c>
      <c r="X1197">
        <v>181734.53</v>
      </c>
      <c r="Y1197">
        <v>182366.28</v>
      </c>
    </row>
    <row r="1198" spans="1:25" x14ac:dyDescent="0.25">
      <c r="A1198">
        <v>65</v>
      </c>
      <c r="B1198" t="s">
        <v>2242</v>
      </c>
      <c r="C1198" t="s">
        <v>32</v>
      </c>
      <c r="D1198" t="s">
        <v>2380</v>
      </c>
      <c r="E1198">
        <v>149415</v>
      </c>
      <c r="F1198" t="s">
        <v>1717</v>
      </c>
      <c r="G1198" t="s">
        <v>2381</v>
      </c>
      <c r="H1198" t="s">
        <v>1715</v>
      </c>
      <c r="I1198" t="s">
        <v>1716</v>
      </c>
      <c r="J1198" t="s">
        <v>1713</v>
      </c>
      <c r="K1198" t="s">
        <v>1713</v>
      </c>
      <c r="L1198" t="b">
        <v>1</v>
      </c>
      <c r="M1198" t="s">
        <v>112</v>
      </c>
      <c r="N1198" t="s">
        <v>32</v>
      </c>
      <c r="P1198" t="s">
        <v>579</v>
      </c>
      <c r="Q1198">
        <v>1</v>
      </c>
      <c r="R1198">
        <v>3</v>
      </c>
      <c r="S1198">
        <v>103.7752</v>
      </c>
      <c r="T1198">
        <v>390000</v>
      </c>
      <c r="U1198">
        <v>390000</v>
      </c>
      <c r="V1198">
        <v>1</v>
      </c>
      <c r="W1198">
        <v>8957.81</v>
      </c>
      <c r="X1198">
        <v>404723.28</v>
      </c>
      <c r="Y1198">
        <v>413681.09</v>
      </c>
    </row>
    <row r="1199" spans="1:25" x14ac:dyDescent="0.25">
      <c r="A1199">
        <v>65</v>
      </c>
      <c r="B1199" t="s">
        <v>2242</v>
      </c>
      <c r="C1199" t="s">
        <v>32</v>
      </c>
      <c r="D1199" t="s">
        <v>2382</v>
      </c>
      <c r="E1199">
        <v>176140</v>
      </c>
      <c r="F1199" t="s">
        <v>1722</v>
      </c>
      <c r="G1199" t="s">
        <v>2383</v>
      </c>
      <c r="H1199" t="s">
        <v>600</v>
      </c>
      <c r="I1199" t="s">
        <v>1721</v>
      </c>
      <c r="J1199" t="s">
        <v>1719</v>
      </c>
      <c r="K1199" t="s">
        <v>1719</v>
      </c>
      <c r="L1199" t="b">
        <v>1</v>
      </c>
      <c r="M1199" t="s">
        <v>31</v>
      </c>
      <c r="N1199" t="s">
        <v>32</v>
      </c>
      <c r="P1199" t="s">
        <v>579</v>
      </c>
      <c r="Q1199">
        <v>1</v>
      </c>
      <c r="R1199">
        <v>3</v>
      </c>
      <c r="S1199">
        <v>107.29694499999999</v>
      </c>
      <c r="T1199">
        <v>487915</v>
      </c>
      <c r="U1199">
        <v>500000</v>
      </c>
      <c r="V1199">
        <v>0.9758</v>
      </c>
      <c r="W1199">
        <v>115.18000000000031</v>
      </c>
      <c r="X1199">
        <v>523517.89</v>
      </c>
      <c r="Y1199">
        <v>523633.07</v>
      </c>
    </row>
    <row r="1200" spans="1:25" x14ac:dyDescent="0.25">
      <c r="A1200">
        <v>65</v>
      </c>
      <c r="B1200" t="s">
        <v>2242</v>
      </c>
      <c r="C1200" t="s">
        <v>32</v>
      </c>
      <c r="D1200" t="s">
        <v>1726</v>
      </c>
      <c r="E1200">
        <v>132867</v>
      </c>
      <c r="F1200" t="s">
        <v>1727</v>
      </c>
      <c r="G1200" t="s">
        <v>1728</v>
      </c>
      <c r="H1200" t="s">
        <v>111</v>
      </c>
      <c r="I1200" t="s">
        <v>1728</v>
      </c>
      <c r="L1200" t="b">
        <v>0</v>
      </c>
      <c r="M1200" t="s">
        <v>112</v>
      </c>
      <c r="N1200" t="s">
        <v>32</v>
      </c>
      <c r="P1200" t="s">
        <v>579</v>
      </c>
      <c r="Q1200">
        <v>1</v>
      </c>
      <c r="R1200">
        <v>3</v>
      </c>
      <c r="S1200">
        <v>98.927610999999999</v>
      </c>
      <c r="T1200">
        <v>1040000</v>
      </c>
      <c r="U1200">
        <v>1040000</v>
      </c>
      <c r="V1200">
        <v>1</v>
      </c>
      <c r="W1200">
        <v>13144.44</v>
      </c>
      <c r="X1200">
        <v>1028847.15</v>
      </c>
      <c r="Y1200">
        <v>1041991.59</v>
      </c>
    </row>
    <row r="1201" spans="1:25" x14ac:dyDescent="0.25">
      <c r="A1201">
        <v>65</v>
      </c>
      <c r="B1201" t="s">
        <v>2242</v>
      </c>
      <c r="C1201" t="s">
        <v>32</v>
      </c>
      <c r="D1201" t="s">
        <v>2384</v>
      </c>
      <c r="E1201">
        <v>216182</v>
      </c>
      <c r="F1201" t="s">
        <v>1738</v>
      </c>
      <c r="G1201" t="s">
        <v>2385</v>
      </c>
      <c r="H1201" t="s">
        <v>1732</v>
      </c>
      <c r="I1201" t="s">
        <v>1737</v>
      </c>
      <c r="J1201" t="s">
        <v>1735</v>
      </c>
      <c r="K1201" t="s">
        <v>1735</v>
      </c>
      <c r="L1201" t="b">
        <v>1</v>
      </c>
      <c r="M1201" t="s">
        <v>112</v>
      </c>
      <c r="N1201" t="s">
        <v>32</v>
      </c>
      <c r="P1201" t="s">
        <v>579</v>
      </c>
      <c r="Q1201">
        <v>1</v>
      </c>
      <c r="R1201">
        <v>3</v>
      </c>
      <c r="S1201">
        <v>97.724999999999994</v>
      </c>
      <c r="T1201">
        <v>100000</v>
      </c>
      <c r="U1201">
        <v>100000</v>
      </c>
      <c r="V1201">
        <v>1</v>
      </c>
      <c r="W1201">
        <v>1527.5</v>
      </c>
      <c r="X1201">
        <v>97725</v>
      </c>
      <c r="Y1201">
        <v>99252.5</v>
      </c>
    </row>
    <row r="1202" spans="1:25" x14ac:dyDescent="0.25">
      <c r="A1202">
        <v>65</v>
      </c>
      <c r="B1202" t="s">
        <v>2242</v>
      </c>
      <c r="C1202" t="s">
        <v>32</v>
      </c>
      <c r="D1202" t="s">
        <v>2386</v>
      </c>
      <c r="E1202">
        <v>195835</v>
      </c>
      <c r="F1202" t="s">
        <v>1743</v>
      </c>
      <c r="G1202" t="s">
        <v>2387</v>
      </c>
      <c r="H1202" t="s">
        <v>1732</v>
      </c>
      <c r="I1202" t="s">
        <v>1742</v>
      </c>
      <c r="J1202" t="s">
        <v>1740</v>
      </c>
      <c r="K1202" t="s">
        <v>1740</v>
      </c>
      <c r="L1202" t="b">
        <v>1</v>
      </c>
      <c r="M1202" t="s">
        <v>112</v>
      </c>
      <c r="N1202" t="s">
        <v>32</v>
      </c>
      <c r="P1202" t="s">
        <v>579</v>
      </c>
      <c r="Q1202">
        <v>1</v>
      </c>
      <c r="R1202">
        <v>3</v>
      </c>
      <c r="S1202">
        <v>104.569</v>
      </c>
      <c r="T1202">
        <v>400000</v>
      </c>
      <c r="U1202">
        <v>400000</v>
      </c>
      <c r="V1202">
        <v>1</v>
      </c>
      <c r="W1202">
        <v>5633.33</v>
      </c>
      <c r="X1202">
        <v>418276</v>
      </c>
      <c r="Y1202">
        <v>423909.33</v>
      </c>
    </row>
    <row r="1203" spans="1:25" x14ac:dyDescent="0.25">
      <c r="A1203">
        <v>65</v>
      </c>
      <c r="B1203" t="s">
        <v>2242</v>
      </c>
      <c r="C1203" t="s">
        <v>32</v>
      </c>
      <c r="D1203" t="s">
        <v>2388</v>
      </c>
      <c r="E1203">
        <v>214281</v>
      </c>
      <c r="F1203" t="s">
        <v>1749</v>
      </c>
      <c r="G1203" t="s">
        <v>2389</v>
      </c>
      <c r="H1203" t="s">
        <v>1747</v>
      </c>
      <c r="I1203" t="s">
        <v>1748</v>
      </c>
      <c r="J1203" t="s">
        <v>1745</v>
      </c>
      <c r="K1203" t="s">
        <v>1745</v>
      </c>
      <c r="L1203" t="b">
        <v>1</v>
      </c>
      <c r="M1203" t="s">
        <v>112</v>
      </c>
      <c r="N1203" t="s">
        <v>32</v>
      </c>
      <c r="P1203" t="s">
        <v>579</v>
      </c>
      <c r="Q1203">
        <v>1</v>
      </c>
      <c r="R1203">
        <v>3</v>
      </c>
      <c r="S1203">
        <v>106.672</v>
      </c>
      <c r="T1203">
        <v>450000</v>
      </c>
      <c r="U1203">
        <v>450000</v>
      </c>
      <c r="V1203">
        <v>1</v>
      </c>
      <c r="W1203">
        <v>236.25</v>
      </c>
      <c r="X1203">
        <v>480024</v>
      </c>
      <c r="Y1203">
        <v>480260.25</v>
      </c>
    </row>
    <row r="1204" spans="1:25" x14ac:dyDescent="0.25">
      <c r="A1204">
        <v>65</v>
      </c>
      <c r="B1204" t="s">
        <v>2242</v>
      </c>
      <c r="C1204" t="s">
        <v>32</v>
      </c>
      <c r="D1204" t="s">
        <v>784</v>
      </c>
      <c r="E1204">
        <v>29877</v>
      </c>
      <c r="F1204" t="s">
        <v>785</v>
      </c>
      <c r="G1204" t="s">
        <v>786</v>
      </c>
      <c r="H1204" t="s">
        <v>787</v>
      </c>
      <c r="I1204" t="s">
        <v>786</v>
      </c>
      <c r="L1204" t="b">
        <v>0</v>
      </c>
      <c r="M1204" t="s">
        <v>112</v>
      </c>
      <c r="N1204" t="s">
        <v>32</v>
      </c>
      <c r="P1204" t="s">
        <v>579</v>
      </c>
      <c r="Q1204">
        <v>1</v>
      </c>
      <c r="R1204">
        <v>3</v>
      </c>
      <c r="S1204">
        <v>97.250000999999997</v>
      </c>
      <c r="T1204">
        <v>399375</v>
      </c>
      <c r="U1204">
        <v>1065000</v>
      </c>
      <c r="V1204">
        <v>0.375</v>
      </c>
      <c r="W1204">
        <v>9474.0500000000011</v>
      </c>
      <c r="X1204">
        <v>388392.19</v>
      </c>
      <c r="Y1204">
        <v>397866.23999999999</v>
      </c>
    </row>
    <row r="1205" spans="1:25" x14ac:dyDescent="0.25">
      <c r="A1205">
        <v>65</v>
      </c>
      <c r="B1205" t="s">
        <v>2242</v>
      </c>
      <c r="C1205" t="s">
        <v>32</v>
      </c>
      <c r="D1205" t="s">
        <v>1754</v>
      </c>
      <c r="E1205">
        <v>4002</v>
      </c>
      <c r="F1205" t="s">
        <v>1755</v>
      </c>
      <c r="G1205" t="s">
        <v>1756</v>
      </c>
      <c r="H1205" t="s">
        <v>1757</v>
      </c>
      <c r="I1205" t="s">
        <v>1758</v>
      </c>
      <c r="L1205" t="b">
        <v>1</v>
      </c>
      <c r="M1205" t="s">
        <v>112</v>
      </c>
      <c r="N1205" t="s">
        <v>32</v>
      </c>
      <c r="P1205" t="s">
        <v>579</v>
      </c>
      <c r="Q1205">
        <v>1</v>
      </c>
      <c r="R1205">
        <v>3</v>
      </c>
      <c r="S1205">
        <v>97.201003999999998</v>
      </c>
      <c r="T1205">
        <v>96922</v>
      </c>
      <c r="U1205">
        <v>210000</v>
      </c>
      <c r="V1205">
        <v>0.46150000000000002</v>
      </c>
      <c r="W1205">
        <v>2043.44</v>
      </c>
      <c r="X1205">
        <v>94209.159999999989</v>
      </c>
      <c r="Y1205">
        <v>96252.599999999991</v>
      </c>
    </row>
    <row r="1206" spans="1:25" x14ac:dyDescent="0.25">
      <c r="A1206">
        <v>65</v>
      </c>
      <c r="B1206" t="s">
        <v>2242</v>
      </c>
      <c r="C1206" t="s">
        <v>32</v>
      </c>
      <c r="D1206" t="s">
        <v>1764</v>
      </c>
      <c r="E1206">
        <v>133014</v>
      </c>
      <c r="F1206" t="s">
        <v>1763</v>
      </c>
      <c r="G1206" t="s">
        <v>1765</v>
      </c>
      <c r="H1206" t="s">
        <v>184</v>
      </c>
      <c r="I1206" t="s">
        <v>1762</v>
      </c>
      <c r="J1206" t="s">
        <v>1760</v>
      </c>
      <c r="K1206" t="s">
        <v>1760</v>
      </c>
      <c r="L1206" t="b">
        <v>1</v>
      </c>
      <c r="M1206" t="s">
        <v>112</v>
      </c>
      <c r="N1206" t="s">
        <v>32</v>
      </c>
      <c r="P1206" t="s">
        <v>579</v>
      </c>
      <c r="Q1206">
        <v>1</v>
      </c>
      <c r="R1206">
        <v>3</v>
      </c>
      <c r="S1206">
        <v>98.33</v>
      </c>
      <c r="T1206">
        <v>460000</v>
      </c>
      <c r="U1206">
        <v>460000</v>
      </c>
      <c r="V1206">
        <v>1</v>
      </c>
      <c r="W1206">
        <v>15812.5</v>
      </c>
      <c r="X1206">
        <v>452318</v>
      </c>
      <c r="Y1206">
        <v>468130.5</v>
      </c>
    </row>
    <row r="1207" spans="1:25" x14ac:dyDescent="0.25">
      <c r="A1207">
        <v>65</v>
      </c>
      <c r="B1207" t="s">
        <v>2242</v>
      </c>
      <c r="C1207" t="s">
        <v>32</v>
      </c>
      <c r="D1207" t="s">
        <v>2390</v>
      </c>
      <c r="E1207">
        <v>176052</v>
      </c>
      <c r="F1207" t="s">
        <v>1770</v>
      </c>
      <c r="G1207" t="s">
        <v>2391</v>
      </c>
      <c r="H1207" t="s">
        <v>184</v>
      </c>
      <c r="I1207" t="s">
        <v>1769</v>
      </c>
      <c r="J1207" t="s">
        <v>1767</v>
      </c>
      <c r="K1207" t="s">
        <v>1767</v>
      </c>
      <c r="L1207" t="b">
        <v>1</v>
      </c>
      <c r="M1207" t="s">
        <v>112</v>
      </c>
      <c r="N1207" t="s">
        <v>32</v>
      </c>
      <c r="P1207" t="s">
        <v>579</v>
      </c>
      <c r="Q1207">
        <v>1</v>
      </c>
      <c r="R1207">
        <v>3</v>
      </c>
      <c r="S1207">
        <v>107.02500499999999</v>
      </c>
      <c r="T1207">
        <v>1000000</v>
      </c>
      <c r="U1207">
        <v>1000000</v>
      </c>
      <c r="V1207">
        <v>1</v>
      </c>
      <c r="W1207">
        <v>7854.17</v>
      </c>
      <c r="X1207">
        <v>1070250.05</v>
      </c>
      <c r="Y1207">
        <v>1078104.22</v>
      </c>
    </row>
    <row r="1208" spans="1:25" x14ac:dyDescent="0.25">
      <c r="A1208">
        <v>65</v>
      </c>
      <c r="B1208" t="s">
        <v>2242</v>
      </c>
      <c r="C1208" t="s">
        <v>32</v>
      </c>
      <c r="D1208" t="s">
        <v>1771</v>
      </c>
      <c r="E1208">
        <v>981</v>
      </c>
      <c r="F1208" t="s">
        <v>1772</v>
      </c>
      <c r="G1208" t="s">
        <v>1773</v>
      </c>
      <c r="H1208" t="s">
        <v>1774</v>
      </c>
      <c r="I1208" t="s">
        <v>1775</v>
      </c>
      <c r="L1208" t="b">
        <v>1</v>
      </c>
      <c r="M1208" t="s">
        <v>112</v>
      </c>
      <c r="N1208" t="s">
        <v>32</v>
      </c>
      <c r="P1208" t="s">
        <v>579</v>
      </c>
      <c r="Q1208">
        <v>1</v>
      </c>
      <c r="R1208">
        <v>3</v>
      </c>
      <c r="S1208">
        <v>98.374999000000003</v>
      </c>
      <c r="T1208">
        <v>477208</v>
      </c>
      <c r="U1208">
        <v>1073716</v>
      </c>
      <c r="V1208">
        <v>0.44440000000000002</v>
      </c>
      <c r="W1208">
        <v>12849.83</v>
      </c>
      <c r="X1208">
        <v>469453.37000000011</v>
      </c>
      <c r="Y1208">
        <v>482303.20000000013</v>
      </c>
    </row>
    <row r="1209" spans="1:25" x14ac:dyDescent="0.25">
      <c r="A1209">
        <v>65</v>
      </c>
      <c r="B1209" t="s">
        <v>2242</v>
      </c>
      <c r="C1209" t="s">
        <v>32</v>
      </c>
      <c r="D1209" t="s">
        <v>1776</v>
      </c>
      <c r="E1209">
        <v>1068</v>
      </c>
      <c r="F1209" t="s">
        <v>1777</v>
      </c>
      <c r="G1209" t="s">
        <v>1778</v>
      </c>
      <c r="H1209" t="s">
        <v>1779</v>
      </c>
      <c r="I1209" t="s">
        <v>1780</v>
      </c>
      <c r="L1209" t="b">
        <v>1</v>
      </c>
      <c r="M1209" t="s">
        <v>112</v>
      </c>
      <c r="N1209" t="s">
        <v>32</v>
      </c>
      <c r="P1209" t="s">
        <v>579</v>
      </c>
      <c r="Q1209">
        <v>1</v>
      </c>
      <c r="R1209">
        <v>3</v>
      </c>
      <c r="S1209">
        <v>100.24999800000001</v>
      </c>
      <c r="T1209">
        <v>37500</v>
      </c>
      <c r="U1209">
        <v>100000</v>
      </c>
      <c r="V1209">
        <v>0.375</v>
      </c>
      <c r="W1209">
        <v>531.25</v>
      </c>
      <c r="X1209">
        <v>37593.75</v>
      </c>
      <c r="Y1209">
        <v>38125</v>
      </c>
    </row>
    <row r="1210" spans="1:25" x14ac:dyDescent="0.25">
      <c r="A1210">
        <v>17</v>
      </c>
      <c r="B1210" t="s">
        <v>124</v>
      </c>
      <c r="C1210" t="s">
        <v>32</v>
      </c>
      <c r="D1210" t="s">
        <v>1294</v>
      </c>
      <c r="E1210">
        <v>209274</v>
      </c>
      <c r="F1210" t="s">
        <v>1295</v>
      </c>
      <c r="G1210" t="s">
        <v>1296</v>
      </c>
      <c r="H1210" t="s">
        <v>1297</v>
      </c>
      <c r="I1210" t="s">
        <v>1296</v>
      </c>
      <c r="L1210" t="b">
        <v>0</v>
      </c>
      <c r="M1210" t="s">
        <v>31</v>
      </c>
      <c r="N1210" t="s">
        <v>358</v>
      </c>
      <c r="P1210" t="s">
        <v>33</v>
      </c>
      <c r="Q1210">
        <v>1</v>
      </c>
      <c r="R1210">
        <v>3</v>
      </c>
      <c r="S1210">
        <v>450.62300399999998</v>
      </c>
      <c r="T1210">
        <v>269</v>
      </c>
      <c r="U1210">
        <v>269</v>
      </c>
      <c r="V1210">
        <v>1</v>
      </c>
      <c r="W1210">
        <v>0</v>
      </c>
      <c r="X1210">
        <v>23895.13</v>
      </c>
      <c r="Y1210">
        <v>23895.13</v>
      </c>
    </row>
    <row r="1211" spans="1:25" x14ac:dyDescent="0.25">
      <c r="A1211">
        <v>17</v>
      </c>
      <c r="B1211" t="s">
        <v>124</v>
      </c>
      <c r="C1211" t="s">
        <v>32</v>
      </c>
      <c r="D1211" t="s">
        <v>1298</v>
      </c>
      <c r="E1211">
        <v>209440</v>
      </c>
      <c r="F1211" t="s">
        <v>1299</v>
      </c>
      <c r="G1211" t="s">
        <v>1300</v>
      </c>
      <c r="H1211" t="s">
        <v>1297</v>
      </c>
      <c r="I1211" t="s">
        <v>1300</v>
      </c>
      <c r="L1211" t="b">
        <v>0</v>
      </c>
      <c r="M1211" t="s">
        <v>31</v>
      </c>
      <c r="N1211" t="s">
        <v>358</v>
      </c>
      <c r="P1211" t="s">
        <v>33</v>
      </c>
      <c r="Q1211">
        <v>1</v>
      </c>
      <c r="R1211">
        <v>3</v>
      </c>
      <c r="S1211">
        <v>604.559077</v>
      </c>
      <c r="T1211">
        <v>5787</v>
      </c>
      <c r="U1211">
        <v>5787</v>
      </c>
      <c r="V1211">
        <v>1</v>
      </c>
      <c r="W1211">
        <v>0</v>
      </c>
      <c r="X1211">
        <v>689661.41000000027</v>
      </c>
      <c r="Y1211">
        <v>689661.41000000027</v>
      </c>
    </row>
    <row r="1212" spans="1:25" x14ac:dyDescent="0.25">
      <c r="A1212">
        <v>17</v>
      </c>
      <c r="B1212" t="s">
        <v>124</v>
      </c>
      <c r="C1212" t="s">
        <v>32</v>
      </c>
      <c r="D1212" t="s">
        <v>1301</v>
      </c>
      <c r="E1212">
        <v>209441</v>
      </c>
      <c r="F1212" t="s">
        <v>1302</v>
      </c>
      <c r="G1212" t="s">
        <v>1303</v>
      </c>
      <c r="H1212" t="s">
        <v>1297</v>
      </c>
      <c r="I1212" t="s">
        <v>1303</v>
      </c>
      <c r="L1212" t="b">
        <v>0</v>
      </c>
      <c r="M1212" t="s">
        <v>31</v>
      </c>
      <c r="N1212" t="s">
        <v>358</v>
      </c>
      <c r="P1212" t="s">
        <v>33</v>
      </c>
      <c r="Q1212">
        <v>1</v>
      </c>
      <c r="R1212">
        <v>3</v>
      </c>
      <c r="S1212">
        <v>603.87506099999996</v>
      </c>
      <c r="T1212">
        <v>9865</v>
      </c>
      <c r="U1212">
        <v>9865</v>
      </c>
      <c r="V1212">
        <v>1</v>
      </c>
      <c r="W1212">
        <v>0</v>
      </c>
      <c r="X1212">
        <v>1174323.8500000001</v>
      </c>
      <c r="Y1212">
        <v>1174323.8500000001</v>
      </c>
    </row>
    <row r="1213" spans="1:25" x14ac:dyDescent="0.25">
      <c r="A1213">
        <v>17</v>
      </c>
      <c r="B1213" t="s">
        <v>124</v>
      </c>
      <c r="C1213" t="s">
        <v>32</v>
      </c>
      <c r="D1213" t="s">
        <v>1304</v>
      </c>
      <c r="E1213">
        <v>226686</v>
      </c>
      <c r="F1213" t="s">
        <v>1305</v>
      </c>
      <c r="G1213" t="s">
        <v>1306</v>
      </c>
      <c r="H1213" t="s">
        <v>1297</v>
      </c>
      <c r="I1213" t="s">
        <v>1306</v>
      </c>
      <c r="L1213" t="b">
        <v>0</v>
      </c>
      <c r="M1213" t="s">
        <v>31</v>
      </c>
      <c r="N1213" t="s">
        <v>358</v>
      </c>
      <c r="P1213" t="s">
        <v>33</v>
      </c>
      <c r="Q1213">
        <v>1</v>
      </c>
      <c r="R1213">
        <v>3</v>
      </c>
      <c r="S1213">
        <v>994.8125</v>
      </c>
      <c r="T1213">
        <v>263</v>
      </c>
      <c r="U1213">
        <v>263</v>
      </c>
      <c r="V1213">
        <v>1</v>
      </c>
      <c r="W1213">
        <v>0</v>
      </c>
      <c r="X1213">
        <v>51575.17</v>
      </c>
      <c r="Y1213">
        <v>51575.17</v>
      </c>
    </row>
    <row r="1214" spans="1:25" x14ac:dyDescent="0.25">
      <c r="A1214">
        <v>17</v>
      </c>
      <c r="B1214" t="s">
        <v>124</v>
      </c>
      <c r="C1214" t="s">
        <v>32</v>
      </c>
      <c r="D1214" t="s">
        <v>2392</v>
      </c>
      <c r="E1214">
        <v>138489</v>
      </c>
      <c r="F1214" t="s">
        <v>2393</v>
      </c>
      <c r="G1214" t="s">
        <v>2394</v>
      </c>
      <c r="H1214" t="s">
        <v>2395</v>
      </c>
      <c r="I1214" t="s">
        <v>2394</v>
      </c>
      <c r="L1214" t="b">
        <v>0</v>
      </c>
      <c r="M1214" t="s">
        <v>31</v>
      </c>
      <c r="N1214" t="s">
        <v>358</v>
      </c>
      <c r="P1214" t="s">
        <v>33</v>
      </c>
      <c r="Q1214">
        <v>1</v>
      </c>
      <c r="R1214">
        <v>3</v>
      </c>
      <c r="S1214">
        <v>1070.782001</v>
      </c>
      <c r="T1214">
        <v>19445</v>
      </c>
      <c r="U1214">
        <v>20000</v>
      </c>
      <c r="V1214">
        <v>0.97230000000000005</v>
      </c>
      <c r="W1214">
        <v>5387.65</v>
      </c>
      <c r="X1214">
        <v>4104428.63</v>
      </c>
      <c r="Y1214">
        <v>4109816.28</v>
      </c>
    </row>
    <row r="1215" spans="1:25" x14ac:dyDescent="0.25">
      <c r="A1215">
        <v>17</v>
      </c>
      <c r="B1215" t="s">
        <v>124</v>
      </c>
      <c r="C1215" t="s">
        <v>32</v>
      </c>
      <c r="D1215" t="s">
        <v>2396</v>
      </c>
      <c r="E1215">
        <v>211463</v>
      </c>
      <c r="F1215" t="s">
        <v>2397</v>
      </c>
      <c r="G1215" t="s">
        <v>2398</v>
      </c>
      <c r="H1215" t="s">
        <v>2399</v>
      </c>
      <c r="I1215" t="s">
        <v>2398</v>
      </c>
      <c r="L1215" t="b">
        <v>0</v>
      </c>
      <c r="M1215" t="s">
        <v>31</v>
      </c>
      <c r="N1215" t="s">
        <v>358</v>
      </c>
      <c r="P1215" t="s">
        <v>33</v>
      </c>
      <c r="Q1215">
        <v>1</v>
      </c>
      <c r="R1215">
        <v>3</v>
      </c>
      <c r="S1215">
        <v>1012.618758</v>
      </c>
      <c r="T1215">
        <v>10000</v>
      </c>
      <c r="U1215">
        <v>10000</v>
      </c>
      <c r="V1215">
        <v>1</v>
      </c>
      <c r="W1215">
        <v>0</v>
      </c>
      <c r="X1215">
        <v>1996133.88</v>
      </c>
      <c r="Y1215">
        <v>1996133.88</v>
      </c>
    </row>
    <row r="1216" spans="1:25" x14ac:dyDescent="0.25">
      <c r="A1216">
        <v>17</v>
      </c>
      <c r="B1216" t="s">
        <v>124</v>
      </c>
      <c r="C1216" t="s">
        <v>32</v>
      </c>
      <c r="D1216" t="s">
        <v>1307</v>
      </c>
      <c r="E1216">
        <v>192041</v>
      </c>
      <c r="F1216" t="s">
        <v>1308</v>
      </c>
      <c r="G1216" t="s">
        <v>1309</v>
      </c>
      <c r="H1216" t="s">
        <v>517</v>
      </c>
      <c r="I1216" t="s">
        <v>1309</v>
      </c>
      <c r="L1216" t="b">
        <v>0</v>
      </c>
      <c r="M1216" t="s">
        <v>31</v>
      </c>
      <c r="N1216" t="s">
        <v>358</v>
      </c>
      <c r="P1216" t="s">
        <v>33</v>
      </c>
      <c r="Q1216">
        <v>1</v>
      </c>
      <c r="R1216">
        <v>3</v>
      </c>
      <c r="S1216">
        <v>781.4375</v>
      </c>
      <c r="T1216">
        <v>35798</v>
      </c>
      <c r="U1216">
        <v>35798</v>
      </c>
      <c r="V1216">
        <v>1</v>
      </c>
      <c r="W1216">
        <v>0</v>
      </c>
      <c r="X1216">
        <v>5514380.2599999988</v>
      </c>
      <c r="Y1216">
        <v>5514380.2599999988</v>
      </c>
    </row>
    <row r="1217" spans="1:25" x14ac:dyDescent="0.25">
      <c r="A1217">
        <v>17</v>
      </c>
      <c r="B1217" t="s">
        <v>124</v>
      </c>
      <c r="C1217" t="s">
        <v>32</v>
      </c>
      <c r="D1217" t="s">
        <v>2400</v>
      </c>
      <c r="E1217">
        <v>203113</v>
      </c>
      <c r="F1217" t="s">
        <v>2401</v>
      </c>
      <c r="G1217" t="s">
        <v>2402</v>
      </c>
      <c r="H1217" t="s">
        <v>517</v>
      </c>
      <c r="I1217" t="s">
        <v>2402</v>
      </c>
      <c r="L1217" t="b">
        <v>0</v>
      </c>
      <c r="M1217" t="s">
        <v>31</v>
      </c>
      <c r="N1217" t="s">
        <v>358</v>
      </c>
      <c r="P1217" t="s">
        <v>33</v>
      </c>
      <c r="Q1217">
        <v>1</v>
      </c>
      <c r="R1217">
        <v>3</v>
      </c>
      <c r="S1217">
        <v>908.8125</v>
      </c>
      <c r="T1217">
        <v>5227</v>
      </c>
      <c r="U1217">
        <v>5227</v>
      </c>
      <c r="V1217">
        <v>1</v>
      </c>
      <c r="W1217">
        <v>0</v>
      </c>
      <c r="X1217">
        <v>936419.59</v>
      </c>
      <c r="Y1217">
        <v>936419.59</v>
      </c>
    </row>
    <row r="1218" spans="1:25" x14ac:dyDescent="0.25">
      <c r="A1218">
        <v>17</v>
      </c>
      <c r="B1218" t="s">
        <v>124</v>
      </c>
      <c r="C1218" t="s">
        <v>32</v>
      </c>
      <c r="D1218" t="s">
        <v>2403</v>
      </c>
      <c r="E1218">
        <v>35813</v>
      </c>
      <c r="F1218" t="s">
        <v>2404</v>
      </c>
      <c r="G1218" t="s">
        <v>2405</v>
      </c>
      <c r="H1218" t="s">
        <v>2406</v>
      </c>
      <c r="I1218" t="s">
        <v>2405</v>
      </c>
      <c r="L1218" t="b">
        <v>0</v>
      </c>
      <c r="M1218" t="s">
        <v>31</v>
      </c>
      <c r="N1218" t="s">
        <v>358</v>
      </c>
      <c r="P1218" t="s">
        <v>33</v>
      </c>
      <c r="Q1218">
        <v>1</v>
      </c>
      <c r="R1218">
        <v>3</v>
      </c>
      <c r="S1218">
        <v>1068.6242030000001</v>
      </c>
      <c r="T1218">
        <v>10346</v>
      </c>
      <c r="U1218">
        <v>10696</v>
      </c>
      <c r="V1218">
        <v>0.96730000000000005</v>
      </c>
      <c r="W1218">
        <v>0</v>
      </c>
      <c r="X1218">
        <v>2179421.2400000002</v>
      </c>
      <c r="Y1218">
        <v>2179421.2400000002</v>
      </c>
    </row>
    <row r="1219" spans="1:25" x14ac:dyDescent="0.25">
      <c r="A1219">
        <v>17</v>
      </c>
      <c r="B1219" t="s">
        <v>124</v>
      </c>
      <c r="C1219" t="s">
        <v>32</v>
      </c>
      <c r="D1219" t="s">
        <v>2407</v>
      </c>
      <c r="E1219">
        <v>991</v>
      </c>
      <c r="F1219" t="s">
        <v>2408</v>
      </c>
      <c r="G1219" t="s">
        <v>2409</v>
      </c>
      <c r="H1219" t="s">
        <v>1471</v>
      </c>
      <c r="I1219" t="s">
        <v>2409</v>
      </c>
      <c r="L1219" t="b">
        <v>0</v>
      </c>
      <c r="M1219" t="s">
        <v>31</v>
      </c>
      <c r="N1219" t="s">
        <v>358</v>
      </c>
      <c r="P1219" t="s">
        <v>33</v>
      </c>
      <c r="Q1219">
        <v>1</v>
      </c>
      <c r="R1219">
        <v>3</v>
      </c>
      <c r="S1219">
        <v>98.88</v>
      </c>
      <c r="T1219">
        <v>31700000</v>
      </c>
      <c r="U1219">
        <v>31700000</v>
      </c>
      <c r="V1219">
        <v>1</v>
      </c>
      <c r="W1219">
        <v>0</v>
      </c>
      <c r="X1219">
        <v>6178903.5899999999</v>
      </c>
      <c r="Y1219">
        <v>6178903.5899999999</v>
      </c>
    </row>
    <row r="1220" spans="1:25" x14ac:dyDescent="0.25">
      <c r="A1220">
        <v>17</v>
      </c>
      <c r="B1220" t="s">
        <v>124</v>
      </c>
      <c r="C1220" t="s">
        <v>32</v>
      </c>
      <c r="D1220" t="s">
        <v>2410</v>
      </c>
      <c r="E1220">
        <v>111128</v>
      </c>
      <c r="F1220" t="s">
        <v>2411</v>
      </c>
      <c r="G1220" t="s">
        <v>2412</v>
      </c>
      <c r="H1220" t="s">
        <v>2413</v>
      </c>
      <c r="I1220" t="s">
        <v>2412</v>
      </c>
      <c r="L1220" t="b">
        <v>0</v>
      </c>
      <c r="M1220" t="s">
        <v>31</v>
      </c>
      <c r="N1220" t="s">
        <v>358</v>
      </c>
      <c r="P1220" t="s">
        <v>33</v>
      </c>
      <c r="Q1220">
        <v>1</v>
      </c>
      <c r="R1220">
        <v>3</v>
      </c>
      <c r="S1220">
        <v>1129.968128</v>
      </c>
      <c r="T1220">
        <v>6000</v>
      </c>
      <c r="U1220">
        <v>6000</v>
      </c>
      <c r="V1220">
        <v>1</v>
      </c>
      <c r="W1220">
        <v>0</v>
      </c>
      <c r="X1220">
        <v>1336475.93</v>
      </c>
      <c r="Y1220">
        <v>1336475.93</v>
      </c>
    </row>
    <row r="1221" spans="1:25" x14ac:dyDescent="0.25">
      <c r="A1221">
        <v>17</v>
      </c>
      <c r="B1221" t="s">
        <v>124</v>
      </c>
      <c r="C1221" t="s">
        <v>32</v>
      </c>
      <c r="D1221" t="s">
        <v>2414</v>
      </c>
      <c r="E1221">
        <v>123249</v>
      </c>
      <c r="F1221" t="s">
        <v>2415</v>
      </c>
      <c r="G1221" t="s">
        <v>2416</v>
      </c>
      <c r="H1221" t="s">
        <v>2417</v>
      </c>
      <c r="I1221" t="s">
        <v>2416</v>
      </c>
      <c r="L1221" t="b">
        <v>0</v>
      </c>
      <c r="M1221" t="s">
        <v>31</v>
      </c>
      <c r="N1221" t="s">
        <v>358</v>
      </c>
      <c r="P1221" t="s">
        <v>33</v>
      </c>
      <c r="Q1221">
        <v>1</v>
      </c>
      <c r="R1221">
        <v>3</v>
      </c>
      <c r="S1221">
        <v>410.253332</v>
      </c>
      <c r="T1221">
        <v>12000</v>
      </c>
      <c r="U1221">
        <v>12000</v>
      </c>
      <c r="V1221">
        <v>1</v>
      </c>
      <c r="W1221">
        <v>0</v>
      </c>
      <c r="X1221">
        <v>970458.71000000008</v>
      </c>
      <c r="Y1221">
        <v>970458.71000000008</v>
      </c>
    </row>
    <row r="1222" spans="1:25" x14ac:dyDescent="0.25">
      <c r="A1222">
        <v>17</v>
      </c>
      <c r="B1222" t="s">
        <v>124</v>
      </c>
      <c r="C1222" t="s">
        <v>32</v>
      </c>
      <c r="D1222" t="s">
        <v>2418</v>
      </c>
      <c r="E1222">
        <v>174401</v>
      </c>
      <c r="F1222" t="s">
        <v>2419</v>
      </c>
      <c r="G1222" t="s">
        <v>2420</v>
      </c>
      <c r="H1222" t="s">
        <v>2417</v>
      </c>
      <c r="I1222" t="s">
        <v>2420</v>
      </c>
      <c r="L1222" t="b">
        <v>0</v>
      </c>
      <c r="M1222" t="s">
        <v>31</v>
      </c>
      <c r="N1222" t="s">
        <v>358</v>
      </c>
      <c r="P1222" t="s">
        <v>33</v>
      </c>
      <c r="Q1222">
        <v>1</v>
      </c>
      <c r="R1222">
        <v>3</v>
      </c>
      <c r="S1222">
        <v>743.39074468000001</v>
      </c>
      <c r="T1222">
        <v>1500</v>
      </c>
      <c r="U1222">
        <v>1500</v>
      </c>
      <c r="V1222">
        <v>1</v>
      </c>
      <c r="W1222">
        <v>0</v>
      </c>
      <c r="X1222">
        <v>219812.36</v>
      </c>
      <c r="Y1222">
        <v>219812.36</v>
      </c>
    </row>
    <row r="1223" spans="1:25" x14ac:dyDescent="0.25">
      <c r="A1223">
        <v>17</v>
      </c>
      <c r="B1223" t="s">
        <v>124</v>
      </c>
      <c r="C1223" t="s">
        <v>32</v>
      </c>
      <c r="D1223" t="s">
        <v>2421</v>
      </c>
      <c r="E1223">
        <v>32317</v>
      </c>
      <c r="F1223" t="s">
        <v>2422</v>
      </c>
      <c r="G1223" t="s">
        <v>2423</v>
      </c>
      <c r="H1223" t="s">
        <v>2424</v>
      </c>
      <c r="I1223" t="s">
        <v>2423</v>
      </c>
      <c r="L1223" t="b">
        <v>0</v>
      </c>
      <c r="M1223" t="s">
        <v>31</v>
      </c>
      <c r="N1223" t="s">
        <v>358</v>
      </c>
      <c r="P1223" t="s">
        <v>33</v>
      </c>
      <c r="Q1223">
        <v>1</v>
      </c>
      <c r="R1223">
        <v>3</v>
      </c>
      <c r="S1223">
        <v>1125.764187</v>
      </c>
      <c r="T1223">
        <v>28280.91</v>
      </c>
      <c r="U1223">
        <v>30000</v>
      </c>
      <c r="V1223">
        <v>0.94269999999999998</v>
      </c>
      <c r="W1223">
        <v>0</v>
      </c>
      <c r="X1223">
        <v>6276022.7199999997</v>
      </c>
      <c r="Y1223">
        <v>6276022.7199999997</v>
      </c>
    </row>
    <row r="1224" spans="1:25" x14ac:dyDescent="0.25">
      <c r="A1224">
        <v>17</v>
      </c>
      <c r="B1224" t="s">
        <v>124</v>
      </c>
      <c r="C1224" t="s">
        <v>32</v>
      </c>
      <c r="D1224" t="s">
        <v>2425</v>
      </c>
      <c r="E1224">
        <v>127147</v>
      </c>
      <c r="F1224" t="s">
        <v>2426</v>
      </c>
      <c r="G1224" t="s">
        <v>2427</v>
      </c>
      <c r="H1224" t="s">
        <v>2428</v>
      </c>
      <c r="I1224" t="s">
        <v>2427</v>
      </c>
      <c r="L1224" t="b">
        <v>0</v>
      </c>
      <c r="M1224" t="s">
        <v>31</v>
      </c>
      <c r="N1224" t="s">
        <v>358</v>
      </c>
      <c r="P1224" t="s">
        <v>33</v>
      </c>
      <c r="Q1224">
        <v>1</v>
      </c>
      <c r="R1224">
        <v>3</v>
      </c>
      <c r="S1224">
        <v>932.82403099999999</v>
      </c>
      <c r="T1224">
        <v>10941</v>
      </c>
      <c r="U1224">
        <v>10941</v>
      </c>
      <c r="V1224">
        <v>1</v>
      </c>
      <c r="W1224">
        <v>0</v>
      </c>
      <c r="X1224">
        <v>2011872.44</v>
      </c>
      <c r="Y1224">
        <v>2011872.44</v>
      </c>
    </row>
    <row r="1225" spans="1:25" x14ac:dyDescent="0.25">
      <c r="A1225">
        <v>17</v>
      </c>
      <c r="B1225" t="s">
        <v>124</v>
      </c>
      <c r="C1225" t="s">
        <v>32</v>
      </c>
      <c r="D1225" t="s">
        <v>1310</v>
      </c>
      <c r="E1225">
        <v>148402</v>
      </c>
      <c r="F1225" t="s">
        <v>1311</v>
      </c>
      <c r="G1225" t="s">
        <v>1312</v>
      </c>
      <c r="H1225" t="s">
        <v>1313</v>
      </c>
      <c r="I1225" t="s">
        <v>1312</v>
      </c>
      <c r="L1225" t="b">
        <v>0</v>
      </c>
      <c r="M1225" t="s">
        <v>50</v>
      </c>
      <c r="N1225" t="s">
        <v>26</v>
      </c>
      <c r="P1225" t="s">
        <v>33</v>
      </c>
      <c r="Q1225">
        <v>1</v>
      </c>
      <c r="R1225">
        <v>3</v>
      </c>
      <c r="S1225">
        <v>90.579776359199997</v>
      </c>
      <c r="T1225">
        <v>3387074640</v>
      </c>
      <c r="U1225">
        <v>3387074640</v>
      </c>
      <c r="V1225">
        <v>1</v>
      </c>
      <c r="W1225">
        <v>42089.24</v>
      </c>
      <c r="X1225">
        <v>3304543.879999999</v>
      </c>
      <c r="Y1225">
        <v>3346633.12</v>
      </c>
    </row>
    <row r="1226" spans="1:25" x14ac:dyDescent="0.25">
      <c r="A1226">
        <v>17</v>
      </c>
      <c r="B1226" t="s">
        <v>124</v>
      </c>
      <c r="C1226" t="s">
        <v>32</v>
      </c>
      <c r="D1226" t="s">
        <v>1318</v>
      </c>
      <c r="E1226">
        <v>148403</v>
      </c>
      <c r="F1226" t="s">
        <v>1319</v>
      </c>
      <c r="G1226" t="s">
        <v>1320</v>
      </c>
      <c r="H1226" t="s">
        <v>1313</v>
      </c>
      <c r="I1226" t="s">
        <v>1320</v>
      </c>
      <c r="L1226" t="b">
        <v>0</v>
      </c>
      <c r="M1226" t="s">
        <v>50</v>
      </c>
      <c r="N1226" t="s">
        <v>26</v>
      </c>
      <c r="P1226" t="s">
        <v>33</v>
      </c>
      <c r="Q1226">
        <v>1</v>
      </c>
      <c r="R1226">
        <v>3</v>
      </c>
      <c r="S1226">
        <v>33.751028228499997</v>
      </c>
      <c r="T1226">
        <v>5021527883</v>
      </c>
      <c r="U1226">
        <v>5021527883</v>
      </c>
      <c r="V1226">
        <v>1</v>
      </c>
      <c r="W1226">
        <v>62350.38</v>
      </c>
      <c r="X1226">
        <v>1825485.5499999991</v>
      </c>
      <c r="Y1226">
        <v>1887835.929999999</v>
      </c>
    </row>
    <row r="1227" spans="1:25" x14ac:dyDescent="0.25">
      <c r="A1227">
        <v>17</v>
      </c>
      <c r="B1227" t="s">
        <v>124</v>
      </c>
      <c r="C1227" t="s">
        <v>32</v>
      </c>
      <c r="D1227" t="s">
        <v>1321</v>
      </c>
      <c r="E1227">
        <v>116569</v>
      </c>
      <c r="F1227" t="s">
        <v>1322</v>
      </c>
      <c r="G1227" t="s">
        <v>1323</v>
      </c>
      <c r="H1227" t="s">
        <v>1324</v>
      </c>
      <c r="I1227" t="s">
        <v>1323</v>
      </c>
      <c r="L1227" t="b">
        <v>0</v>
      </c>
      <c r="M1227" t="s">
        <v>50</v>
      </c>
      <c r="N1227" t="s">
        <v>26</v>
      </c>
      <c r="P1227" t="s">
        <v>33</v>
      </c>
      <c r="Q1227">
        <v>1</v>
      </c>
      <c r="R1227">
        <v>3</v>
      </c>
      <c r="S1227">
        <v>101.95765112869999</v>
      </c>
      <c r="T1227">
        <v>5730951763</v>
      </c>
      <c r="U1227">
        <v>6822561627</v>
      </c>
      <c r="V1227">
        <v>0.84</v>
      </c>
      <c r="W1227">
        <v>84789.68</v>
      </c>
      <c r="X1227">
        <v>6293642.7500000047</v>
      </c>
      <c r="Y1227">
        <v>6378432.4300000044</v>
      </c>
    </row>
    <row r="1228" spans="1:25" x14ac:dyDescent="0.25">
      <c r="A1228">
        <v>17</v>
      </c>
      <c r="B1228" t="s">
        <v>124</v>
      </c>
      <c r="C1228" t="s">
        <v>32</v>
      </c>
      <c r="D1228" t="s">
        <v>1405</v>
      </c>
      <c r="E1228">
        <v>52960</v>
      </c>
      <c r="F1228" t="s">
        <v>1406</v>
      </c>
      <c r="G1228" t="s">
        <v>1407</v>
      </c>
      <c r="H1228" t="s">
        <v>1408</v>
      </c>
      <c r="I1228" t="s">
        <v>1407</v>
      </c>
      <c r="L1228" t="b">
        <v>0</v>
      </c>
      <c r="M1228" t="s">
        <v>50</v>
      </c>
      <c r="N1228" t="s">
        <v>241</v>
      </c>
      <c r="P1228" t="s">
        <v>33</v>
      </c>
      <c r="Q1228">
        <v>1</v>
      </c>
      <c r="R1228">
        <v>3</v>
      </c>
      <c r="S1228">
        <v>89.277980443499999</v>
      </c>
      <c r="T1228">
        <v>31040</v>
      </c>
      <c r="U1228">
        <v>41500</v>
      </c>
      <c r="V1228">
        <v>0.748</v>
      </c>
      <c r="W1228">
        <v>10469.370000000001</v>
      </c>
      <c r="X1228">
        <v>1219152.8799999999</v>
      </c>
      <c r="Y1228">
        <v>1229622.25</v>
      </c>
    </row>
    <row r="1229" spans="1:25" x14ac:dyDescent="0.25">
      <c r="A1229">
        <v>17</v>
      </c>
      <c r="B1229" t="s">
        <v>124</v>
      </c>
      <c r="C1229" t="s">
        <v>32</v>
      </c>
      <c r="D1229" t="s">
        <v>1409</v>
      </c>
      <c r="E1229">
        <v>3630</v>
      </c>
      <c r="F1229" t="s">
        <v>1410</v>
      </c>
      <c r="G1229" t="s">
        <v>1411</v>
      </c>
      <c r="H1229" t="s">
        <v>1412</v>
      </c>
      <c r="I1229" t="s">
        <v>1411</v>
      </c>
      <c r="L1229" t="b">
        <v>0</v>
      </c>
      <c r="M1229" t="s">
        <v>50</v>
      </c>
      <c r="N1229" t="s">
        <v>241</v>
      </c>
      <c r="P1229" t="s">
        <v>33</v>
      </c>
      <c r="Q1229">
        <v>1</v>
      </c>
      <c r="R1229">
        <v>3</v>
      </c>
      <c r="S1229">
        <v>103.3608721885</v>
      </c>
      <c r="T1229">
        <v>8000</v>
      </c>
      <c r="U1229">
        <v>8000</v>
      </c>
      <c r="V1229">
        <v>1</v>
      </c>
      <c r="W1229">
        <v>4543.22</v>
      </c>
      <c r="X1229">
        <v>363779.6</v>
      </c>
      <c r="Y1229">
        <v>368322.81999999989</v>
      </c>
    </row>
    <row r="1230" spans="1:25" x14ac:dyDescent="0.25">
      <c r="A1230">
        <v>17</v>
      </c>
      <c r="B1230" t="s">
        <v>124</v>
      </c>
      <c r="C1230" t="s">
        <v>32</v>
      </c>
      <c r="D1230" t="s">
        <v>1413</v>
      </c>
      <c r="E1230">
        <v>3631</v>
      </c>
      <c r="F1230" t="s">
        <v>1414</v>
      </c>
      <c r="G1230" t="s">
        <v>1415</v>
      </c>
      <c r="H1230" t="s">
        <v>1416</v>
      </c>
      <c r="I1230" t="s">
        <v>1415</v>
      </c>
      <c r="L1230" t="b">
        <v>0</v>
      </c>
      <c r="M1230" t="s">
        <v>50</v>
      </c>
      <c r="N1230" t="s">
        <v>241</v>
      </c>
      <c r="P1230" t="s">
        <v>33</v>
      </c>
      <c r="Q1230">
        <v>1</v>
      </c>
      <c r="R1230">
        <v>3</v>
      </c>
      <c r="S1230">
        <v>103.5493520408</v>
      </c>
      <c r="T1230">
        <v>5000</v>
      </c>
      <c r="U1230">
        <v>5000</v>
      </c>
      <c r="V1230">
        <v>1</v>
      </c>
      <c r="W1230">
        <v>2839.51</v>
      </c>
      <c r="X1230">
        <v>227776.95</v>
      </c>
      <c r="Y1230">
        <v>230616.46</v>
      </c>
    </row>
    <row r="1231" spans="1:25" x14ac:dyDescent="0.25">
      <c r="A1231">
        <v>17</v>
      </c>
      <c r="B1231" t="s">
        <v>124</v>
      </c>
      <c r="C1231" t="s">
        <v>32</v>
      </c>
      <c r="D1231" t="s">
        <v>1425</v>
      </c>
      <c r="E1231">
        <v>17097</v>
      </c>
      <c r="F1231" t="s">
        <v>1426</v>
      </c>
      <c r="G1231" t="s">
        <v>1427</v>
      </c>
      <c r="H1231" t="s">
        <v>1428</v>
      </c>
      <c r="I1231" t="s">
        <v>1427</v>
      </c>
      <c r="L1231" t="b">
        <v>0</v>
      </c>
      <c r="M1231" t="s">
        <v>50</v>
      </c>
      <c r="N1231" t="s">
        <v>241</v>
      </c>
      <c r="P1231" t="s">
        <v>33</v>
      </c>
      <c r="Q1231">
        <v>1</v>
      </c>
      <c r="R1231">
        <v>3</v>
      </c>
      <c r="S1231">
        <v>90.971922280800001</v>
      </c>
      <c r="T1231">
        <v>68500</v>
      </c>
      <c r="U1231">
        <v>68500</v>
      </c>
      <c r="V1231">
        <v>1</v>
      </c>
      <c r="W1231">
        <v>45197.009999999987</v>
      </c>
      <c r="X1231">
        <v>2741511.96</v>
      </c>
      <c r="Y1231">
        <v>2786708.97</v>
      </c>
    </row>
    <row r="1232" spans="1:25" x14ac:dyDescent="0.25">
      <c r="A1232">
        <v>17</v>
      </c>
      <c r="B1232" t="s">
        <v>124</v>
      </c>
      <c r="C1232" t="s">
        <v>32</v>
      </c>
      <c r="D1232" t="s">
        <v>1429</v>
      </c>
      <c r="E1232">
        <v>17099</v>
      </c>
      <c r="F1232" t="s">
        <v>1430</v>
      </c>
      <c r="G1232" t="s">
        <v>1431</v>
      </c>
      <c r="H1232" t="s">
        <v>1428</v>
      </c>
      <c r="I1232" t="s">
        <v>1431</v>
      </c>
      <c r="L1232" t="b">
        <v>0</v>
      </c>
      <c r="M1232" t="s">
        <v>50</v>
      </c>
      <c r="N1232" t="s">
        <v>241</v>
      </c>
      <c r="P1232" t="s">
        <v>33</v>
      </c>
      <c r="Q1232">
        <v>1</v>
      </c>
      <c r="R1232">
        <v>3</v>
      </c>
      <c r="S1232">
        <v>90.898577943999996</v>
      </c>
      <c r="T1232">
        <v>49000</v>
      </c>
      <c r="U1232">
        <v>49000</v>
      </c>
      <c r="V1232">
        <v>1</v>
      </c>
      <c r="W1232">
        <v>31923.52</v>
      </c>
      <c r="X1232">
        <v>1959500.66</v>
      </c>
      <c r="Y1232">
        <v>1991424.18</v>
      </c>
    </row>
    <row r="1233" spans="1:25" x14ac:dyDescent="0.25">
      <c r="A1233">
        <v>17</v>
      </c>
      <c r="B1233" t="s">
        <v>124</v>
      </c>
      <c r="C1233" t="s">
        <v>32</v>
      </c>
      <c r="D1233" t="s">
        <v>1443</v>
      </c>
      <c r="E1233">
        <v>145611</v>
      </c>
      <c r="F1233" t="s">
        <v>1444</v>
      </c>
      <c r="G1233" t="s">
        <v>1445</v>
      </c>
      <c r="H1233" t="s">
        <v>1442</v>
      </c>
      <c r="I1233" t="s">
        <v>1445</v>
      </c>
      <c r="L1233" t="b">
        <v>0</v>
      </c>
      <c r="M1233" t="s">
        <v>50</v>
      </c>
      <c r="N1233" t="s">
        <v>241</v>
      </c>
      <c r="P1233" t="s">
        <v>33</v>
      </c>
      <c r="Q1233">
        <v>1</v>
      </c>
      <c r="R1233">
        <v>3</v>
      </c>
      <c r="S1233">
        <v>107.1175095503</v>
      </c>
      <c r="T1233">
        <v>147547</v>
      </c>
      <c r="U1233">
        <v>150000</v>
      </c>
      <c r="V1233">
        <v>0.98360000000000003</v>
      </c>
      <c r="W1233">
        <v>58313.01</v>
      </c>
      <c r="X1233">
        <v>6953172.8500000006</v>
      </c>
      <c r="Y1233">
        <v>7011485.8600000003</v>
      </c>
    </row>
    <row r="1234" spans="1:25" x14ac:dyDescent="0.25">
      <c r="A1234">
        <v>17</v>
      </c>
      <c r="B1234" t="s">
        <v>124</v>
      </c>
      <c r="C1234" t="s">
        <v>32</v>
      </c>
      <c r="D1234" t="s">
        <v>1446</v>
      </c>
      <c r="E1234">
        <v>628</v>
      </c>
      <c r="F1234" t="s">
        <v>1447</v>
      </c>
      <c r="G1234" t="s">
        <v>1448</v>
      </c>
      <c r="H1234" t="s">
        <v>1449</v>
      </c>
      <c r="I1234" t="s">
        <v>1448</v>
      </c>
      <c r="L1234" t="b">
        <v>0</v>
      </c>
      <c r="M1234" t="s">
        <v>50</v>
      </c>
      <c r="N1234" t="s">
        <v>241</v>
      </c>
      <c r="P1234" t="s">
        <v>33</v>
      </c>
      <c r="Q1234">
        <v>1</v>
      </c>
      <c r="R1234">
        <v>3</v>
      </c>
      <c r="S1234">
        <v>77.689282321500002</v>
      </c>
      <c r="T1234">
        <v>50000</v>
      </c>
      <c r="U1234">
        <v>50000</v>
      </c>
      <c r="V1234">
        <v>1</v>
      </c>
      <c r="W1234">
        <v>32824.31</v>
      </c>
      <c r="X1234">
        <v>1708925.65</v>
      </c>
      <c r="Y1234">
        <v>1741749.96</v>
      </c>
    </row>
    <row r="1235" spans="1:25" x14ac:dyDescent="0.25">
      <c r="A1235">
        <v>17</v>
      </c>
      <c r="B1235" t="s">
        <v>124</v>
      </c>
      <c r="C1235" t="s">
        <v>32</v>
      </c>
      <c r="D1235" t="s">
        <v>2429</v>
      </c>
      <c r="E1235">
        <v>218892</v>
      </c>
      <c r="F1235" t="s">
        <v>2430</v>
      </c>
      <c r="G1235" t="s">
        <v>2431</v>
      </c>
      <c r="H1235" t="s">
        <v>2432</v>
      </c>
      <c r="I1235" t="s">
        <v>2431</v>
      </c>
      <c r="L1235" t="b">
        <v>0</v>
      </c>
      <c r="M1235" t="s">
        <v>81</v>
      </c>
      <c r="N1235" t="s">
        <v>129</v>
      </c>
      <c r="P1235" t="s">
        <v>33</v>
      </c>
      <c r="Q1235">
        <v>1</v>
      </c>
      <c r="R1235">
        <v>3</v>
      </c>
      <c r="S1235">
        <v>100.045</v>
      </c>
      <c r="T1235">
        <v>11000000000</v>
      </c>
      <c r="U1235">
        <v>11000000000</v>
      </c>
      <c r="V1235">
        <v>1</v>
      </c>
      <c r="W1235">
        <v>117283.2</v>
      </c>
      <c r="X1235">
        <v>3490775.81</v>
      </c>
      <c r="Y1235">
        <v>3608059.01</v>
      </c>
    </row>
    <row r="1236" spans="1:25" x14ac:dyDescent="0.25">
      <c r="A1236">
        <v>17</v>
      </c>
      <c r="B1236" t="s">
        <v>124</v>
      </c>
      <c r="C1236" t="s">
        <v>32</v>
      </c>
      <c r="D1236" t="s">
        <v>1454</v>
      </c>
      <c r="E1236">
        <v>1584</v>
      </c>
      <c r="F1236" t="s">
        <v>1455</v>
      </c>
      <c r="G1236" t="s">
        <v>1456</v>
      </c>
      <c r="H1236" t="s">
        <v>1457</v>
      </c>
      <c r="I1236" t="s">
        <v>1458</v>
      </c>
      <c r="L1236" t="b">
        <v>1</v>
      </c>
      <c r="M1236" t="s">
        <v>81</v>
      </c>
      <c r="N1236" t="s">
        <v>129</v>
      </c>
      <c r="P1236" t="s">
        <v>33</v>
      </c>
      <c r="Q1236">
        <v>1</v>
      </c>
      <c r="R1236">
        <v>3</v>
      </c>
      <c r="S1236">
        <v>91.448999999999998</v>
      </c>
      <c r="T1236">
        <v>110772000000</v>
      </c>
      <c r="U1236">
        <v>110772000000</v>
      </c>
      <c r="V1236">
        <v>1</v>
      </c>
      <c r="W1236">
        <v>2136494.14</v>
      </c>
      <c r="X1236">
        <v>32132376.120000001</v>
      </c>
      <c r="Y1236">
        <v>34268870.259999998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26"/>
  <sheetViews>
    <sheetView workbookViewId="0">
      <pane xSplit="1" ySplit="1" topLeftCell="H218" activePane="bottomRight" state="frozen"/>
      <selection pane="topRight"/>
      <selection pane="bottomLeft"/>
      <selection pane="bottomRight" activeCell="O13" sqref="O13"/>
    </sheetView>
  </sheetViews>
  <sheetFormatPr baseColWidth="10" defaultColWidth="9.140625" defaultRowHeight="15" x14ac:dyDescent="0.25"/>
  <cols>
    <col min="1" max="1" width="9" customWidth="1"/>
    <col min="2" max="2" width="15" customWidth="1"/>
    <col min="3" max="3" width="18" customWidth="1"/>
    <col min="4" max="4" width="12" customWidth="1"/>
    <col min="5" max="5" width="16" customWidth="1"/>
    <col min="6" max="6" width="8" customWidth="1"/>
    <col min="7" max="7" width="45" customWidth="1"/>
    <col min="8" max="8" width="43" customWidth="1"/>
    <col min="9" max="9" width="45" customWidth="1"/>
    <col min="10" max="11" width="16" customWidth="1"/>
    <col min="12" max="13" width="14" customWidth="1"/>
    <col min="14" max="14" width="15" customWidth="1"/>
    <col min="15" max="15" width="16" customWidth="1"/>
    <col min="16" max="16" width="14" customWidth="1"/>
    <col min="17" max="17" width="22" customWidth="1"/>
    <col min="18" max="18" width="17" customWidth="1"/>
    <col min="19" max="20" width="16" customWidth="1"/>
    <col min="21" max="21" width="17" customWidth="1"/>
    <col min="22" max="22" width="8" customWidth="1"/>
    <col min="23" max="23" width="14" customWidth="1"/>
    <col min="24" max="25" width="19" customWidth="1"/>
    <col min="26" max="26" width="24" customWidth="1"/>
  </cols>
  <sheetData>
    <row r="1" spans="1:26" ht="27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2433</v>
      </c>
    </row>
    <row r="2" spans="1:26" x14ac:dyDescent="0.25">
      <c r="A2">
        <v>17</v>
      </c>
      <c r="B2" t="s">
        <v>124</v>
      </c>
      <c r="C2" t="s">
        <v>32</v>
      </c>
      <c r="D2" t="s">
        <v>2434</v>
      </c>
      <c r="E2">
        <v>223535</v>
      </c>
      <c r="G2" t="s">
        <v>2435</v>
      </c>
      <c r="H2" t="s">
        <v>2436</v>
      </c>
      <c r="I2" t="s">
        <v>2435</v>
      </c>
      <c r="L2" t="b">
        <v>0</v>
      </c>
      <c r="M2" t="s">
        <v>39</v>
      </c>
      <c r="N2" t="s">
        <v>2437</v>
      </c>
      <c r="P2" t="s">
        <v>33</v>
      </c>
      <c r="Q2">
        <v>1</v>
      </c>
      <c r="R2">
        <v>3</v>
      </c>
      <c r="S2">
        <v>100</v>
      </c>
      <c r="T2">
        <v>9617000</v>
      </c>
      <c r="U2">
        <v>9617000</v>
      </c>
      <c r="V2">
        <v>1</v>
      </c>
      <c r="W2">
        <v>9304.81</v>
      </c>
      <c r="X2">
        <v>1583335.81</v>
      </c>
      <c r="Y2">
        <v>1592640.62</v>
      </c>
      <c r="Z2" t="s">
        <v>2438</v>
      </c>
    </row>
    <row r="3" spans="1:26" x14ac:dyDescent="0.25">
      <c r="A3">
        <v>20</v>
      </c>
      <c r="B3" t="s">
        <v>25</v>
      </c>
      <c r="C3" t="s">
        <v>26</v>
      </c>
      <c r="D3" t="s">
        <v>2439</v>
      </c>
      <c r="E3">
        <v>139464</v>
      </c>
      <c r="G3" t="s">
        <v>2440</v>
      </c>
      <c r="H3" t="s">
        <v>2441</v>
      </c>
      <c r="I3" t="s">
        <v>2440</v>
      </c>
      <c r="L3" t="b">
        <v>0</v>
      </c>
      <c r="M3" t="s">
        <v>50</v>
      </c>
      <c r="N3" t="s">
        <v>26</v>
      </c>
      <c r="P3" t="s">
        <v>33</v>
      </c>
      <c r="Q3">
        <v>1</v>
      </c>
      <c r="R3">
        <v>10</v>
      </c>
      <c r="S3">
        <v>46552.091800000002</v>
      </c>
      <c r="T3">
        <v>113554</v>
      </c>
      <c r="U3">
        <v>113554</v>
      </c>
      <c r="V3">
        <v>1</v>
      </c>
      <c r="W3">
        <v>0</v>
      </c>
      <c r="X3">
        <v>5286176232.2599993</v>
      </c>
      <c r="Y3">
        <v>5286176232.2599993</v>
      </c>
      <c r="Z3" t="s">
        <v>2438</v>
      </c>
    </row>
    <row r="4" spans="1:26" x14ac:dyDescent="0.25">
      <c r="A4">
        <v>20</v>
      </c>
      <c r="B4" t="s">
        <v>25</v>
      </c>
      <c r="C4" t="s">
        <v>26</v>
      </c>
      <c r="D4" t="s">
        <v>2442</v>
      </c>
      <c r="E4">
        <v>2510</v>
      </c>
      <c r="G4" t="s">
        <v>2443</v>
      </c>
      <c r="H4" t="s">
        <v>2444</v>
      </c>
      <c r="I4" t="s">
        <v>2443</v>
      </c>
      <c r="L4" t="b">
        <v>0</v>
      </c>
      <c r="M4" t="s">
        <v>50</v>
      </c>
      <c r="N4" t="s">
        <v>241</v>
      </c>
      <c r="P4" t="s">
        <v>33</v>
      </c>
      <c r="Q4">
        <v>1</v>
      </c>
      <c r="R4">
        <v>10</v>
      </c>
      <c r="S4">
        <v>36728.5095</v>
      </c>
      <c r="T4">
        <v>27222</v>
      </c>
      <c r="U4">
        <v>27222</v>
      </c>
      <c r="V4">
        <v>1</v>
      </c>
      <c r="W4">
        <v>0</v>
      </c>
      <c r="X4">
        <v>999823485.61000001</v>
      </c>
      <c r="Y4">
        <v>999823485.61000001</v>
      </c>
      <c r="Z4" t="s">
        <v>2438</v>
      </c>
    </row>
    <row r="5" spans="1:26" x14ac:dyDescent="0.25">
      <c r="A5">
        <v>20</v>
      </c>
      <c r="B5" t="s">
        <v>25</v>
      </c>
      <c r="C5" t="s">
        <v>26</v>
      </c>
      <c r="D5" t="s">
        <v>2445</v>
      </c>
      <c r="E5">
        <v>1608</v>
      </c>
      <c r="G5" t="s">
        <v>2446</v>
      </c>
      <c r="H5" t="s">
        <v>2447</v>
      </c>
      <c r="I5" t="s">
        <v>2446</v>
      </c>
      <c r="L5" t="b">
        <v>0</v>
      </c>
      <c r="M5" t="s">
        <v>50</v>
      </c>
      <c r="N5" t="s">
        <v>241</v>
      </c>
      <c r="P5" t="s">
        <v>33</v>
      </c>
      <c r="Q5">
        <v>1</v>
      </c>
      <c r="R5">
        <v>10</v>
      </c>
      <c r="S5">
        <v>12012.630999999999</v>
      </c>
      <c r="T5">
        <v>189905</v>
      </c>
      <c r="U5">
        <v>189905</v>
      </c>
      <c r="V5">
        <v>1</v>
      </c>
      <c r="W5">
        <v>0</v>
      </c>
      <c r="X5">
        <v>2281258690.0500002</v>
      </c>
      <c r="Y5">
        <v>2281258690.0500002</v>
      </c>
      <c r="Z5" t="s">
        <v>2438</v>
      </c>
    </row>
    <row r="6" spans="1:26" x14ac:dyDescent="0.25">
      <c r="A6">
        <v>20</v>
      </c>
      <c r="B6" t="s">
        <v>25</v>
      </c>
      <c r="C6" t="s">
        <v>26</v>
      </c>
      <c r="D6" t="s">
        <v>2448</v>
      </c>
      <c r="E6">
        <v>32531</v>
      </c>
      <c r="G6" t="s">
        <v>2449</v>
      </c>
      <c r="H6" t="s">
        <v>2449</v>
      </c>
      <c r="I6" t="s">
        <v>2449</v>
      </c>
      <c r="L6" t="b">
        <v>0</v>
      </c>
      <c r="M6" t="s">
        <v>50</v>
      </c>
      <c r="N6" t="s">
        <v>241</v>
      </c>
      <c r="P6" t="s">
        <v>33</v>
      </c>
      <c r="Q6">
        <v>1</v>
      </c>
      <c r="R6">
        <v>10</v>
      </c>
      <c r="S6">
        <v>2394.3182999999999</v>
      </c>
      <c r="T6">
        <v>23278</v>
      </c>
      <c r="U6">
        <v>23278</v>
      </c>
      <c r="V6">
        <v>1</v>
      </c>
      <c r="W6">
        <v>0</v>
      </c>
      <c r="X6">
        <v>55734941.389999993</v>
      </c>
      <c r="Y6">
        <v>55734941.389999993</v>
      </c>
      <c r="Z6" t="s">
        <v>2438</v>
      </c>
    </row>
    <row r="7" spans="1:26" x14ac:dyDescent="0.25">
      <c r="A7">
        <v>20</v>
      </c>
      <c r="B7" t="s">
        <v>25</v>
      </c>
      <c r="C7" t="s">
        <v>26</v>
      </c>
      <c r="D7" t="s">
        <v>2450</v>
      </c>
      <c r="E7">
        <v>821</v>
      </c>
      <c r="G7" t="s">
        <v>2451</v>
      </c>
      <c r="H7" t="s">
        <v>2452</v>
      </c>
      <c r="I7" t="s">
        <v>2451</v>
      </c>
      <c r="L7" t="b">
        <v>0</v>
      </c>
      <c r="M7" t="s">
        <v>50</v>
      </c>
      <c r="N7" t="s">
        <v>26</v>
      </c>
      <c r="P7" t="s">
        <v>33</v>
      </c>
      <c r="Q7">
        <v>1</v>
      </c>
      <c r="R7">
        <v>10</v>
      </c>
      <c r="S7">
        <v>1</v>
      </c>
      <c r="T7">
        <v>1488034800</v>
      </c>
      <c r="U7">
        <v>1488034800</v>
      </c>
      <c r="V7">
        <v>1</v>
      </c>
      <c r="W7">
        <v>0</v>
      </c>
      <c r="X7">
        <v>1488034800</v>
      </c>
      <c r="Y7">
        <v>1488034800</v>
      </c>
      <c r="Z7" t="s">
        <v>2438</v>
      </c>
    </row>
    <row r="8" spans="1:26" x14ac:dyDescent="0.25">
      <c r="A8">
        <v>20</v>
      </c>
      <c r="B8" t="s">
        <v>25</v>
      </c>
      <c r="C8" t="s">
        <v>26</v>
      </c>
      <c r="D8" t="s">
        <v>2453</v>
      </c>
      <c r="E8">
        <v>815</v>
      </c>
      <c r="G8" t="s">
        <v>2454</v>
      </c>
      <c r="H8" t="s">
        <v>2455</v>
      </c>
      <c r="I8" t="s">
        <v>2454</v>
      </c>
      <c r="L8" t="b">
        <v>0</v>
      </c>
      <c r="M8" t="s">
        <v>50</v>
      </c>
      <c r="N8" t="s">
        <v>26</v>
      </c>
      <c r="P8" t="s">
        <v>33</v>
      </c>
      <c r="Q8">
        <v>1</v>
      </c>
      <c r="R8">
        <v>10</v>
      </c>
      <c r="S8">
        <v>1695.4141</v>
      </c>
      <c r="T8">
        <v>4962989.5240000002</v>
      </c>
      <c r="U8">
        <v>4962989.5240000002</v>
      </c>
      <c r="V8">
        <v>1</v>
      </c>
      <c r="W8">
        <v>0</v>
      </c>
      <c r="X8">
        <v>8414322417.1400185</v>
      </c>
      <c r="Y8">
        <v>8414322417.1400185</v>
      </c>
      <c r="Z8" t="s">
        <v>2438</v>
      </c>
    </row>
    <row r="9" spans="1:26" x14ac:dyDescent="0.25">
      <c r="A9">
        <v>20</v>
      </c>
      <c r="B9" t="s">
        <v>25</v>
      </c>
      <c r="C9" t="s">
        <v>26</v>
      </c>
      <c r="D9" t="s">
        <v>2456</v>
      </c>
      <c r="E9">
        <v>221551</v>
      </c>
      <c r="G9" t="s">
        <v>2457</v>
      </c>
      <c r="H9" t="s">
        <v>2458</v>
      </c>
      <c r="I9" t="s">
        <v>2457</v>
      </c>
      <c r="L9" t="b">
        <v>0</v>
      </c>
      <c r="M9" t="s">
        <v>50</v>
      </c>
      <c r="N9" t="s">
        <v>26</v>
      </c>
      <c r="P9" t="s">
        <v>33</v>
      </c>
      <c r="Q9">
        <v>1</v>
      </c>
      <c r="R9">
        <v>10</v>
      </c>
      <c r="S9">
        <v>877.12929999999994</v>
      </c>
      <c r="T9">
        <v>960684</v>
      </c>
      <c r="U9">
        <v>960684</v>
      </c>
      <c r="V9">
        <v>1</v>
      </c>
      <c r="W9">
        <v>0</v>
      </c>
      <c r="X9">
        <v>842644084.44000006</v>
      </c>
      <c r="Y9">
        <v>842644084.44000006</v>
      </c>
      <c r="Z9" t="s">
        <v>2438</v>
      </c>
    </row>
    <row r="10" spans="1:26" x14ac:dyDescent="0.25">
      <c r="A10">
        <v>20</v>
      </c>
      <c r="B10" t="s">
        <v>25</v>
      </c>
      <c r="C10" t="s">
        <v>26</v>
      </c>
      <c r="D10" t="s">
        <v>2459</v>
      </c>
      <c r="E10">
        <v>159068</v>
      </c>
      <c r="G10" t="s">
        <v>2460</v>
      </c>
      <c r="H10" t="s">
        <v>2461</v>
      </c>
      <c r="I10" t="s">
        <v>2460</v>
      </c>
      <c r="L10" t="b">
        <v>0</v>
      </c>
      <c r="M10" t="s">
        <v>50</v>
      </c>
      <c r="N10" t="s">
        <v>26</v>
      </c>
      <c r="P10" t="s">
        <v>33</v>
      </c>
      <c r="Q10">
        <v>1</v>
      </c>
      <c r="R10">
        <v>10</v>
      </c>
      <c r="S10">
        <v>38370000</v>
      </c>
      <c r="T10">
        <v>13</v>
      </c>
      <c r="U10">
        <v>13</v>
      </c>
      <c r="V10">
        <v>1</v>
      </c>
      <c r="W10">
        <v>0</v>
      </c>
      <c r="X10">
        <v>498810000</v>
      </c>
      <c r="Y10">
        <v>498810000</v>
      </c>
      <c r="Z10" t="s">
        <v>2438</v>
      </c>
    </row>
    <row r="11" spans="1:26" x14ac:dyDescent="0.25">
      <c r="A11">
        <v>20</v>
      </c>
      <c r="B11" t="s">
        <v>25</v>
      </c>
      <c r="C11" t="s">
        <v>26</v>
      </c>
      <c r="D11" t="s">
        <v>2462</v>
      </c>
      <c r="E11">
        <v>216349</v>
      </c>
      <c r="G11" t="s">
        <v>2463</v>
      </c>
      <c r="H11" t="s">
        <v>2464</v>
      </c>
      <c r="I11" t="s">
        <v>2463</v>
      </c>
      <c r="L11" t="b">
        <v>0</v>
      </c>
      <c r="M11" t="s">
        <v>81</v>
      </c>
      <c r="N11" t="s">
        <v>32</v>
      </c>
      <c r="O11" s="8" t="s">
        <v>26</v>
      </c>
      <c r="P11" t="s">
        <v>33</v>
      </c>
      <c r="Q11">
        <v>1</v>
      </c>
      <c r="R11">
        <v>2</v>
      </c>
      <c r="S11">
        <v>0.99670000000000003</v>
      </c>
      <c r="T11">
        <v>7028229</v>
      </c>
      <c r="U11">
        <v>7028229</v>
      </c>
      <c r="V11">
        <v>1</v>
      </c>
      <c r="W11">
        <v>0</v>
      </c>
      <c r="X11">
        <v>6520707662.0200005</v>
      </c>
      <c r="Y11">
        <v>6520707662.0200005</v>
      </c>
      <c r="Z11" t="s">
        <v>2438</v>
      </c>
    </row>
    <row r="12" spans="1:26" x14ac:dyDescent="0.25">
      <c r="A12">
        <v>20</v>
      </c>
      <c r="B12" t="s">
        <v>25</v>
      </c>
      <c r="C12" t="s">
        <v>26</v>
      </c>
      <c r="D12" t="s">
        <v>2465</v>
      </c>
      <c r="E12">
        <v>735</v>
      </c>
      <c r="G12" t="s">
        <v>2466</v>
      </c>
      <c r="H12" t="s">
        <v>2467</v>
      </c>
      <c r="I12" t="s">
        <v>2466</v>
      </c>
      <c r="L12" t="b">
        <v>0</v>
      </c>
      <c r="M12" t="s">
        <v>61</v>
      </c>
      <c r="N12" t="s">
        <v>32</v>
      </c>
      <c r="O12" s="8" t="s">
        <v>32</v>
      </c>
      <c r="P12" t="s">
        <v>33</v>
      </c>
      <c r="Q12">
        <v>1</v>
      </c>
      <c r="R12">
        <v>10</v>
      </c>
      <c r="S12">
        <v>0.67620000000000002</v>
      </c>
      <c r="T12">
        <v>9379880</v>
      </c>
      <c r="U12">
        <v>9379880</v>
      </c>
      <c r="V12">
        <v>1</v>
      </c>
      <c r="W12">
        <v>0</v>
      </c>
      <c r="X12">
        <v>5904142320.1799994</v>
      </c>
      <c r="Y12">
        <v>5904142320.1799994</v>
      </c>
      <c r="Z12" t="s">
        <v>2438</v>
      </c>
    </row>
    <row r="13" spans="1:26" x14ac:dyDescent="0.25">
      <c r="A13">
        <v>20</v>
      </c>
      <c r="B13" t="s">
        <v>25</v>
      </c>
      <c r="C13" t="s">
        <v>26</v>
      </c>
      <c r="D13" t="s">
        <v>2468</v>
      </c>
      <c r="E13">
        <v>736</v>
      </c>
      <c r="G13" t="s">
        <v>2469</v>
      </c>
      <c r="H13" t="s">
        <v>2470</v>
      </c>
      <c r="I13" t="s">
        <v>2469</v>
      </c>
      <c r="L13" t="b">
        <v>0</v>
      </c>
      <c r="M13" t="s">
        <v>61</v>
      </c>
      <c r="N13" t="s">
        <v>32</v>
      </c>
      <c r="O13" s="8" t="s">
        <v>32</v>
      </c>
      <c r="P13" t="s">
        <v>33</v>
      </c>
      <c r="Q13">
        <v>1</v>
      </c>
      <c r="R13">
        <v>10</v>
      </c>
      <c r="S13">
        <v>0.13569999999999999</v>
      </c>
      <c r="T13">
        <v>5000000</v>
      </c>
      <c r="U13">
        <v>5000000</v>
      </c>
      <c r="V13">
        <v>1</v>
      </c>
      <c r="W13">
        <v>0</v>
      </c>
      <c r="X13">
        <v>631588510</v>
      </c>
      <c r="Y13">
        <v>631588510</v>
      </c>
      <c r="Z13" t="s">
        <v>2438</v>
      </c>
    </row>
    <row r="14" spans="1:26" x14ac:dyDescent="0.25">
      <c r="A14">
        <v>20</v>
      </c>
      <c r="B14" t="s">
        <v>25</v>
      </c>
      <c r="C14" t="s">
        <v>26</v>
      </c>
      <c r="D14" t="s">
        <v>2471</v>
      </c>
      <c r="E14">
        <v>1134</v>
      </c>
      <c r="G14" t="s">
        <v>2472</v>
      </c>
      <c r="H14" t="s">
        <v>2473</v>
      </c>
      <c r="I14" t="s">
        <v>2472</v>
      </c>
      <c r="L14" t="b">
        <v>0</v>
      </c>
      <c r="M14" t="s">
        <v>61</v>
      </c>
      <c r="N14" t="s">
        <v>32</v>
      </c>
      <c r="O14" s="8" t="s">
        <v>32</v>
      </c>
      <c r="P14" t="s">
        <v>33</v>
      </c>
      <c r="Q14">
        <v>1</v>
      </c>
      <c r="R14">
        <v>10</v>
      </c>
      <c r="S14">
        <v>0.46820000000000001</v>
      </c>
      <c r="T14">
        <v>3962769</v>
      </c>
      <c r="U14">
        <v>3962769</v>
      </c>
      <c r="V14">
        <v>1</v>
      </c>
      <c r="W14">
        <v>0</v>
      </c>
      <c r="X14">
        <v>1727088275.3699999</v>
      </c>
      <c r="Y14">
        <v>1727088275.3699999</v>
      </c>
      <c r="Z14" t="s">
        <v>2438</v>
      </c>
    </row>
    <row r="15" spans="1:26" x14ac:dyDescent="0.25">
      <c r="A15">
        <v>20</v>
      </c>
      <c r="B15" t="s">
        <v>25</v>
      </c>
      <c r="C15" t="s">
        <v>26</v>
      </c>
      <c r="D15" t="s">
        <v>2474</v>
      </c>
      <c r="E15">
        <v>1133</v>
      </c>
      <c r="G15" t="s">
        <v>2475</v>
      </c>
      <c r="H15" t="s">
        <v>2476</v>
      </c>
      <c r="I15" t="s">
        <v>2475</v>
      </c>
      <c r="L15" t="b">
        <v>0</v>
      </c>
      <c r="M15" t="s">
        <v>61</v>
      </c>
      <c r="N15" t="s">
        <v>32</v>
      </c>
      <c r="O15" s="8" t="s">
        <v>32</v>
      </c>
      <c r="P15" t="s">
        <v>33</v>
      </c>
      <c r="Q15">
        <v>1</v>
      </c>
      <c r="R15">
        <v>10</v>
      </c>
      <c r="S15">
        <v>0.80920000000000003</v>
      </c>
      <c r="T15">
        <v>9865376</v>
      </c>
      <c r="U15">
        <v>9865376</v>
      </c>
      <c r="V15">
        <v>1</v>
      </c>
      <c r="W15">
        <v>0</v>
      </c>
      <c r="X15">
        <v>7431113335.3400002</v>
      </c>
      <c r="Y15">
        <v>7431113335.3400002</v>
      </c>
      <c r="Z15" t="s">
        <v>2438</v>
      </c>
    </row>
    <row r="16" spans="1:26" x14ac:dyDescent="0.25">
      <c r="A16">
        <v>20</v>
      </c>
      <c r="B16" t="s">
        <v>25</v>
      </c>
      <c r="C16" t="s">
        <v>26</v>
      </c>
      <c r="D16" t="s">
        <v>2477</v>
      </c>
      <c r="E16">
        <v>180211</v>
      </c>
      <c r="G16" t="s">
        <v>2478</v>
      </c>
      <c r="H16" t="s">
        <v>2479</v>
      </c>
      <c r="I16" t="s">
        <v>2478</v>
      </c>
      <c r="L16" t="b">
        <v>0</v>
      </c>
      <c r="M16" t="s">
        <v>50</v>
      </c>
      <c r="N16" t="s">
        <v>26</v>
      </c>
      <c r="P16" t="s">
        <v>33</v>
      </c>
      <c r="Q16">
        <v>1</v>
      </c>
      <c r="R16">
        <v>2</v>
      </c>
      <c r="S16">
        <v>98.865350000000007</v>
      </c>
      <c r="T16">
        <v>10068750000</v>
      </c>
      <c r="U16">
        <v>11250000000</v>
      </c>
      <c r="V16">
        <v>0.89500000000000002</v>
      </c>
      <c r="W16">
        <v>218883437.5</v>
      </c>
      <c r="X16">
        <v>9954504928.1299992</v>
      </c>
      <c r="Y16">
        <v>10173388365.629999</v>
      </c>
      <c r="Z16" t="s">
        <v>2438</v>
      </c>
    </row>
    <row r="17" spans="1:26" x14ac:dyDescent="0.25">
      <c r="A17">
        <v>20</v>
      </c>
      <c r="B17" t="s">
        <v>25</v>
      </c>
      <c r="C17" t="s">
        <v>26</v>
      </c>
      <c r="D17" t="s">
        <v>2480</v>
      </c>
      <c r="E17">
        <v>177159</v>
      </c>
      <c r="G17" t="s">
        <v>2481</v>
      </c>
      <c r="H17" t="s">
        <v>2482</v>
      </c>
      <c r="I17" t="s">
        <v>2481</v>
      </c>
      <c r="L17" t="b">
        <v>0</v>
      </c>
      <c r="M17" t="s">
        <v>31</v>
      </c>
      <c r="N17" t="s">
        <v>32</v>
      </c>
      <c r="O17" s="8" t="s">
        <v>26</v>
      </c>
      <c r="P17" t="s">
        <v>33</v>
      </c>
      <c r="Q17">
        <v>1</v>
      </c>
      <c r="R17">
        <v>2</v>
      </c>
      <c r="S17">
        <v>100</v>
      </c>
      <c r="T17">
        <v>6700000</v>
      </c>
      <c r="U17">
        <v>6700000</v>
      </c>
      <c r="V17">
        <v>1</v>
      </c>
      <c r="W17">
        <v>24233536.440000001</v>
      </c>
      <c r="X17">
        <v>6236762000</v>
      </c>
      <c r="Y17">
        <v>6260995536.4399996</v>
      </c>
      <c r="Z17" t="s">
        <v>2438</v>
      </c>
    </row>
    <row r="18" spans="1:26" x14ac:dyDescent="0.25">
      <c r="A18">
        <v>20</v>
      </c>
      <c r="B18" t="s">
        <v>25</v>
      </c>
      <c r="C18" t="s">
        <v>26</v>
      </c>
      <c r="D18" t="s">
        <v>2483</v>
      </c>
      <c r="E18">
        <v>527</v>
      </c>
      <c r="G18" t="s">
        <v>2484</v>
      </c>
      <c r="H18" t="s">
        <v>2485</v>
      </c>
      <c r="I18" t="s">
        <v>2484</v>
      </c>
      <c r="L18" t="b">
        <v>0</v>
      </c>
      <c r="M18" t="s">
        <v>50</v>
      </c>
      <c r="N18" t="s">
        <v>32</v>
      </c>
      <c r="O18" s="8" t="s">
        <v>32</v>
      </c>
      <c r="P18" t="s">
        <v>33</v>
      </c>
      <c r="Q18">
        <v>1</v>
      </c>
      <c r="R18">
        <v>2</v>
      </c>
      <c r="S18">
        <v>98.15325</v>
      </c>
      <c r="T18">
        <v>5541030.6600000001</v>
      </c>
      <c r="U18">
        <v>6600000</v>
      </c>
      <c r="V18">
        <v>0.83960000000000001</v>
      </c>
      <c r="W18">
        <v>271901742.00999999</v>
      </c>
      <c r="X18">
        <v>5062669845.8399992</v>
      </c>
      <c r="Y18">
        <v>5334571587.8499994</v>
      </c>
      <c r="Z18" t="s">
        <v>2438</v>
      </c>
    </row>
    <row r="19" spans="1:26" x14ac:dyDescent="0.25">
      <c r="A19">
        <v>20</v>
      </c>
      <c r="B19" t="s">
        <v>25</v>
      </c>
      <c r="C19" t="s">
        <v>26</v>
      </c>
      <c r="D19" t="s">
        <v>2486</v>
      </c>
      <c r="E19">
        <v>177298</v>
      </c>
      <c r="G19" t="s">
        <v>2487</v>
      </c>
      <c r="H19" t="s">
        <v>987</v>
      </c>
      <c r="I19" t="s">
        <v>2487</v>
      </c>
      <c r="L19" t="b">
        <v>0</v>
      </c>
      <c r="M19" t="s">
        <v>112</v>
      </c>
      <c r="N19" t="s">
        <v>32</v>
      </c>
      <c r="O19" s="8" t="s">
        <v>32</v>
      </c>
      <c r="P19" t="s">
        <v>33</v>
      </c>
      <c r="Q19">
        <v>1</v>
      </c>
      <c r="R19">
        <v>3</v>
      </c>
      <c r="S19">
        <v>0</v>
      </c>
      <c r="T19">
        <v>952000</v>
      </c>
      <c r="U19">
        <v>952000</v>
      </c>
      <c r="V19">
        <v>1</v>
      </c>
      <c r="W19">
        <v>1089876.75</v>
      </c>
      <c r="X19">
        <v>0</v>
      </c>
      <c r="Y19">
        <v>1089876.75</v>
      </c>
      <c r="Z19" t="s">
        <v>2438</v>
      </c>
    </row>
    <row r="20" spans="1:26" x14ac:dyDescent="0.25">
      <c r="A20">
        <v>20</v>
      </c>
      <c r="B20" t="s">
        <v>25</v>
      </c>
      <c r="C20" t="s">
        <v>26</v>
      </c>
      <c r="D20" t="s">
        <v>2488</v>
      </c>
      <c r="E20">
        <v>200815</v>
      </c>
      <c r="G20" t="s">
        <v>2489</v>
      </c>
      <c r="H20" t="s">
        <v>1453</v>
      </c>
      <c r="I20" t="s">
        <v>2489</v>
      </c>
      <c r="L20" t="b">
        <v>0</v>
      </c>
      <c r="M20" t="s">
        <v>50</v>
      </c>
      <c r="N20" t="s">
        <v>26</v>
      </c>
      <c r="P20" t="s">
        <v>33</v>
      </c>
      <c r="Q20">
        <v>1</v>
      </c>
      <c r="R20">
        <v>8</v>
      </c>
      <c r="S20">
        <v>100</v>
      </c>
      <c r="T20">
        <v>1279048227</v>
      </c>
      <c r="U20">
        <v>1279048227</v>
      </c>
      <c r="V20">
        <v>1</v>
      </c>
      <c r="W20">
        <v>11069096.529999999</v>
      </c>
      <c r="X20">
        <v>1279048227</v>
      </c>
      <c r="Y20">
        <v>1290117323.53</v>
      </c>
      <c r="Z20" t="s">
        <v>2438</v>
      </c>
    </row>
    <row r="21" spans="1:26" x14ac:dyDescent="0.25">
      <c r="A21">
        <v>20</v>
      </c>
      <c r="B21" t="s">
        <v>25</v>
      </c>
      <c r="C21" t="s">
        <v>26</v>
      </c>
      <c r="D21" t="s">
        <v>2490</v>
      </c>
      <c r="E21">
        <v>126928</v>
      </c>
      <c r="G21" t="s">
        <v>2491</v>
      </c>
      <c r="H21" t="s">
        <v>2492</v>
      </c>
      <c r="I21" t="s">
        <v>2491</v>
      </c>
      <c r="L21" t="b">
        <v>0</v>
      </c>
      <c r="M21" t="s">
        <v>50</v>
      </c>
      <c r="N21" t="s">
        <v>26</v>
      </c>
      <c r="P21" t="s">
        <v>33</v>
      </c>
      <c r="Q21">
        <v>1</v>
      </c>
      <c r="R21">
        <v>8</v>
      </c>
      <c r="S21">
        <v>98.800610000000006</v>
      </c>
      <c r="T21">
        <v>3140323146</v>
      </c>
      <c r="U21">
        <v>3810139946</v>
      </c>
      <c r="V21">
        <v>0.82420000000000004</v>
      </c>
      <c r="W21">
        <v>34478131.210000001</v>
      </c>
      <c r="X21">
        <v>3102658424.2199998</v>
      </c>
      <c r="Y21">
        <v>3137136555.4299998</v>
      </c>
      <c r="Z21" t="s">
        <v>2438</v>
      </c>
    </row>
    <row r="22" spans="1:26" x14ac:dyDescent="0.25">
      <c r="A22">
        <v>20</v>
      </c>
      <c r="B22" t="s">
        <v>25</v>
      </c>
      <c r="C22" t="s">
        <v>26</v>
      </c>
      <c r="D22" t="s">
        <v>2493</v>
      </c>
      <c r="E22">
        <v>200816</v>
      </c>
      <c r="G22" t="s">
        <v>2494</v>
      </c>
      <c r="H22" t="s">
        <v>1453</v>
      </c>
      <c r="I22" t="s">
        <v>2494</v>
      </c>
      <c r="L22" t="b">
        <v>0</v>
      </c>
      <c r="M22" t="s">
        <v>50</v>
      </c>
      <c r="N22" t="s">
        <v>26</v>
      </c>
      <c r="P22" t="s">
        <v>33</v>
      </c>
      <c r="Q22">
        <v>1</v>
      </c>
      <c r="R22">
        <v>8</v>
      </c>
      <c r="S22">
        <v>100</v>
      </c>
      <c r="T22">
        <v>1279048227</v>
      </c>
      <c r="U22">
        <v>1279048227</v>
      </c>
      <c r="V22">
        <v>1</v>
      </c>
      <c r="W22">
        <v>11069096.529999999</v>
      </c>
      <c r="X22">
        <v>1279048227</v>
      </c>
      <c r="Y22">
        <v>1290117323.53</v>
      </c>
      <c r="Z22" t="s">
        <v>2438</v>
      </c>
    </row>
    <row r="23" spans="1:26" x14ac:dyDescent="0.25">
      <c r="A23">
        <v>20</v>
      </c>
      <c r="B23" t="s">
        <v>25</v>
      </c>
      <c r="C23" t="s">
        <v>26</v>
      </c>
      <c r="D23" t="s">
        <v>2495</v>
      </c>
      <c r="E23">
        <v>126927</v>
      </c>
      <c r="G23" t="s">
        <v>2496</v>
      </c>
      <c r="H23" t="s">
        <v>2492</v>
      </c>
      <c r="I23" t="s">
        <v>2496</v>
      </c>
      <c r="L23" t="b">
        <v>0</v>
      </c>
      <c r="M23" t="s">
        <v>50</v>
      </c>
      <c r="N23" t="s">
        <v>26</v>
      </c>
      <c r="P23" t="s">
        <v>33</v>
      </c>
      <c r="Q23">
        <v>1</v>
      </c>
      <c r="R23">
        <v>8</v>
      </c>
      <c r="S23">
        <v>98.800610000000006</v>
      </c>
      <c r="T23">
        <v>2407609811</v>
      </c>
      <c r="U23">
        <v>2921142151</v>
      </c>
      <c r="V23">
        <v>0.82420000000000004</v>
      </c>
      <c r="W23">
        <v>26433549.379999999</v>
      </c>
      <c r="X23">
        <v>2378733179.6900001</v>
      </c>
      <c r="Y23">
        <v>2405166729.0700002</v>
      </c>
      <c r="Z23" t="s">
        <v>2438</v>
      </c>
    </row>
    <row r="24" spans="1:26" x14ac:dyDescent="0.25">
      <c r="A24">
        <v>20</v>
      </c>
      <c r="B24" t="s">
        <v>25</v>
      </c>
      <c r="C24" t="s">
        <v>26</v>
      </c>
      <c r="D24" t="s">
        <v>2497</v>
      </c>
      <c r="E24">
        <v>200817</v>
      </c>
      <c r="G24" t="s">
        <v>2498</v>
      </c>
      <c r="H24" t="s">
        <v>1453</v>
      </c>
      <c r="I24" t="s">
        <v>2498</v>
      </c>
      <c r="L24" t="b">
        <v>0</v>
      </c>
      <c r="M24" t="s">
        <v>50</v>
      </c>
      <c r="N24" t="s">
        <v>26</v>
      </c>
      <c r="P24" t="s">
        <v>33</v>
      </c>
      <c r="Q24">
        <v>1</v>
      </c>
      <c r="R24">
        <v>8</v>
      </c>
      <c r="S24">
        <v>100</v>
      </c>
      <c r="T24">
        <v>1279048227</v>
      </c>
      <c r="U24">
        <v>1279048227</v>
      </c>
      <c r="V24">
        <v>1</v>
      </c>
      <c r="W24">
        <v>11069096.529999999</v>
      </c>
      <c r="X24">
        <v>1279048227</v>
      </c>
      <c r="Y24">
        <v>1290117323.53</v>
      </c>
      <c r="Z24" t="s">
        <v>2438</v>
      </c>
    </row>
    <row r="25" spans="1:26" x14ac:dyDescent="0.25">
      <c r="A25">
        <v>20</v>
      </c>
      <c r="B25" t="s">
        <v>25</v>
      </c>
      <c r="C25" t="s">
        <v>26</v>
      </c>
      <c r="D25" t="s">
        <v>2499</v>
      </c>
      <c r="E25">
        <v>200818</v>
      </c>
      <c r="G25" t="s">
        <v>2500</v>
      </c>
      <c r="H25" t="s">
        <v>1453</v>
      </c>
      <c r="I25" t="s">
        <v>2500</v>
      </c>
      <c r="L25" t="b">
        <v>0</v>
      </c>
      <c r="M25" t="s">
        <v>50</v>
      </c>
      <c r="N25" t="s">
        <v>26</v>
      </c>
      <c r="P25" t="s">
        <v>33</v>
      </c>
      <c r="Q25">
        <v>1</v>
      </c>
      <c r="R25">
        <v>8</v>
      </c>
      <c r="S25">
        <v>100</v>
      </c>
      <c r="T25">
        <v>1279048227</v>
      </c>
      <c r="U25">
        <v>1279048227</v>
      </c>
      <c r="V25">
        <v>1</v>
      </c>
      <c r="W25">
        <v>11069096.529999999</v>
      </c>
      <c r="X25">
        <v>1279048227</v>
      </c>
      <c r="Y25">
        <v>1290117323.53</v>
      </c>
      <c r="Z25" t="s">
        <v>2438</v>
      </c>
    </row>
    <row r="26" spans="1:26" x14ac:dyDescent="0.25">
      <c r="A26">
        <v>20</v>
      </c>
      <c r="B26" t="s">
        <v>25</v>
      </c>
      <c r="C26" t="s">
        <v>26</v>
      </c>
      <c r="D26" t="s">
        <v>2501</v>
      </c>
      <c r="E26">
        <v>200819</v>
      </c>
      <c r="G26" t="s">
        <v>2502</v>
      </c>
      <c r="H26" t="s">
        <v>1453</v>
      </c>
      <c r="I26" t="s">
        <v>2502</v>
      </c>
      <c r="L26" t="b">
        <v>0</v>
      </c>
      <c r="M26" t="s">
        <v>50</v>
      </c>
      <c r="N26" t="s">
        <v>26</v>
      </c>
      <c r="P26" t="s">
        <v>33</v>
      </c>
      <c r="Q26">
        <v>1</v>
      </c>
      <c r="R26">
        <v>8</v>
      </c>
      <c r="S26">
        <v>100</v>
      </c>
      <c r="T26">
        <v>1279048227</v>
      </c>
      <c r="U26">
        <v>1279048227</v>
      </c>
      <c r="V26">
        <v>1</v>
      </c>
      <c r="W26">
        <v>11069096.529999999</v>
      </c>
      <c r="X26">
        <v>1279048227</v>
      </c>
      <c r="Y26">
        <v>1290117323.53</v>
      </c>
      <c r="Z26" t="s">
        <v>2438</v>
      </c>
    </row>
    <row r="27" spans="1:26" x14ac:dyDescent="0.25">
      <c r="A27">
        <v>20</v>
      </c>
      <c r="B27" t="s">
        <v>25</v>
      </c>
      <c r="C27" t="s">
        <v>26</v>
      </c>
      <c r="D27" t="s">
        <v>2503</v>
      </c>
      <c r="E27">
        <v>209275</v>
      </c>
      <c r="G27" t="s">
        <v>2504</v>
      </c>
      <c r="H27" t="s">
        <v>2505</v>
      </c>
      <c r="I27" t="s">
        <v>2504</v>
      </c>
      <c r="L27" t="b">
        <v>0</v>
      </c>
      <c r="M27" t="s">
        <v>50</v>
      </c>
      <c r="N27" t="s">
        <v>26</v>
      </c>
      <c r="P27" t="s">
        <v>33</v>
      </c>
      <c r="Q27">
        <v>1</v>
      </c>
      <c r="R27">
        <v>8</v>
      </c>
      <c r="S27">
        <v>98.608329999999995</v>
      </c>
      <c r="T27">
        <v>5820243532</v>
      </c>
      <c r="U27">
        <v>5820243532</v>
      </c>
      <c r="V27">
        <v>1</v>
      </c>
      <c r="W27">
        <v>45106887.369999997</v>
      </c>
      <c r="X27">
        <v>5739244948.8399992</v>
      </c>
      <c r="Y27">
        <v>5784351836.2099991</v>
      </c>
      <c r="Z27" t="s">
        <v>2438</v>
      </c>
    </row>
    <row r="28" spans="1:26" x14ac:dyDescent="0.25">
      <c r="A28">
        <v>20</v>
      </c>
      <c r="B28" t="s">
        <v>25</v>
      </c>
      <c r="C28" t="s">
        <v>26</v>
      </c>
      <c r="D28" t="s">
        <v>2506</v>
      </c>
      <c r="E28">
        <v>211458</v>
      </c>
      <c r="G28" t="s">
        <v>2507</v>
      </c>
      <c r="H28" t="s">
        <v>2505</v>
      </c>
      <c r="I28" t="s">
        <v>2507</v>
      </c>
      <c r="L28" t="b">
        <v>0</v>
      </c>
      <c r="M28" t="s">
        <v>50</v>
      </c>
      <c r="N28" t="s">
        <v>26</v>
      </c>
      <c r="P28" t="s">
        <v>33</v>
      </c>
      <c r="Q28">
        <v>1</v>
      </c>
      <c r="R28">
        <v>8</v>
      </c>
      <c r="S28">
        <v>98.608329999999995</v>
      </c>
      <c r="T28">
        <v>4346606405</v>
      </c>
      <c r="U28">
        <v>4346606405</v>
      </c>
      <c r="V28">
        <v>1</v>
      </c>
      <c r="W28">
        <v>33686199.640000001</v>
      </c>
      <c r="X28">
        <v>4286115987.6399999</v>
      </c>
      <c r="Y28">
        <v>4319802187.2799997</v>
      </c>
      <c r="Z28" t="s">
        <v>2438</v>
      </c>
    </row>
    <row r="29" spans="1:26" x14ac:dyDescent="0.25">
      <c r="A29">
        <v>20</v>
      </c>
      <c r="B29" t="s">
        <v>25</v>
      </c>
      <c r="C29" t="s">
        <v>26</v>
      </c>
      <c r="D29" t="s">
        <v>2508</v>
      </c>
      <c r="E29">
        <v>99928</v>
      </c>
      <c r="G29" t="s">
        <v>2509</v>
      </c>
      <c r="H29" t="s">
        <v>2510</v>
      </c>
      <c r="I29" t="s">
        <v>2509</v>
      </c>
      <c r="L29" t="b">
        <v>0</v>
      </c>
      <c r="M29" t="s">
        <v>50</v>
      </c>
      <c r="N29" t="s">
        <v>26</v>
      </c>
      <c r="P29" t="s">
        <v>33</v>
      </c>
      <c r="Q29">
        <v>1</v>
      </c>
      <c r="R29">
        <v>8</v>
      </c>
      <c r="S29">
        <v>99.712180000000004</v>
      </c>
      <c r="T29">
        <v>1260873039.0020001</v>
      </c>
      <c r="U29">
        <v>1260873039.0023999</v>
      </c>
      <c r="V29">
        <v>1</v>
      </c>
      <c r="W29">
        <v>0</v>
      </c>
      <c r="X29">
        <v>1257243994.23</v>
      </c>
      <c r="Y29">
        <v>1257243994.23</v>
      </c>
      <c r="Z29" t="s">
        <v>2438</v>
      </c>
    </row>
    <row r="30" spans="1:26" x14ac:dyDescent="0.25">
      <c r="A30">
        <v>20</v>
      </c>
      <c r="B30" t="s">
        <v>25</v>
      </c>
      <c r="C30" t="s">
        <v>26</v>
      </c>
      <c r="D30" t="s">
        <v>2511</v>
      </c>
      <c r="E30">
        <v>99929</v>
      </c>
      <c r="G30" t="s">
        <v>2512</v>
      </c>
      <c r="H30" t="s">
        <v>2510</v>
      </c>
      <c r="I30" t="s">
        <v>2512</v>
      </c>
      <c r="L30" t="b">
        <v>0</v>
      </c>
      <c r="M30" t="s">
        <v>50</v>
      </c>
      <c r="N30" t="s">
        <v>26</v>
      </c>
      <c r="P30" t="s">
        <v>33</v>
      </c>
      <c r="Q30">
        <v>1</v>
      </c>
      <c r="R30">
        <v>8</v>
      </c>
      <c r="S30">
        <v>99.712180000000004</v>
      </c>
      <c r="T30">
        <v>1218843937.0039999</v>
      </c>
      <c r="U30">
        <v>1218843937.0041001</v>
      </c>
      <c r="V30">
        <v>1</v>
      </c>
      <c r="W30">
        <v>0</v>
      </c>
      <c r="X30">
        <v>1215335860.3800001</v>
      </c>
      <c r="Y30">
        <v>1215335860.3800001</v>
      </c>
      <c r="Z30" t="s">
        <v>2438</v>
      </c>
    </row>
    <row r="31" spans="1:26" x14ac:dyDescent="0.25">
      <c r="A31">
        <v>20</v>
      </c>
      <c r="B31" t="s">
        <v>25</v>
      </c>
      <c r="C31" t="s">
        <v>26</v>
      </c>
      <c r="D31" t="s">
        <v>2513</v>
      </c>
      <c r="E31">
        <v>154796</v>
      </c>
      <c r="G31" t="s">
        <v>2514</v>
      </c>
      <c r="H31" t="s">
        <v>2515</v>
      </c>
      <c r="I31" t="s">
        <v>2514</v>
      </c>
      <c r="L31" t="b">
        <v>0</v>
      </c>
      <c r="M31" t="s">
        <v>50</v>
      </c>
      <c r="N31" t="s">
        <v>26</v>
      </c>
      <c r="P31" t="s">
        <v>33</v>
      </c>
      <c r="Q31">
        <v>1</v>
      </c>
      <c r="R31">
        <v>8</v>
      </c>
      <c r="S31">
        <v>98.608329999999995</v>
      </c>
      <c r="T31">
        <v>6615734550</v>
      </c>
      <c r="U31">
        <v>6615734550</v>
      </c>
      <c r="V31">
        <v>1</v>
      </c>
      <c r="W31">
        <v>124767240.5</v>
      </c>
      <c r="X31">
        <v>6523665356.9899998</v>
      </c>
      <c r="Y31">
        <v>6648432597.4899998</v>
      </c>
      <c r="Z31" t="s">
        <v>2438</v>
      </c>
    </row>
    <row r="32" spans="1:26" x14ac:dyDescent="0.25">
      <c r="A32">
        <v>20</v>
      </c>
      <c r="B32" t="s">
        <v>25</v>
      </c>
      <c r="C32" t="s">
        <v>26</v>
      </c>
      <c r="D32" t="s">
        <v>2516</v>
      </c>
      <c r="E32">
        <v>161882</v>
      </c>
      <c r="G32" t="s">
        <v>2517</v>
      </c>
      <c r="H32" t="s">
        <v>2515</v>
      </c>
      <c r="I32" t="s">
        <v>2517</v>
      </c>
      <c r="L32" t="b">
        <v>0</v>
      </c>
      <c r="M32" t="s">
        <v>50</v>
      </c>
      <c r="N32" t="s">
        <v>26</v>
      </c>
      <c r="P32" t="s">
        <v>33</v>
      </c>
      <c r="Q32">
        <v>1</v>
      </c>
      <c r="R32">
        <v>8</v>
      </c>
      <c r="S32">
        <v>98.608329999999995</v>
      </c>
      <c r="T32">
        <v>1656657542</v>
      </c>
      <c r="U32">
        <v>1656657542</v>
      </c>
      <c r="V32">
        <v>1</v>
      </c>
      <c r="W32">
        <v>29811552.469999999</v>
      </c>
      <c r="X32">
        <v>1633602335.9899969</v>
      </c>
      <c r="Y32">
        <v>1663413888.4599969</v>
      </c>
      <c r="Z32" t="s">
        <v>2438</v>
      </c>
    </row>
    <row r="33" spans="1:26" x14ac:dyDescent="0.25">
      <c r="A33">
        <v>20</v>
      </c>
      <c r="B33" t="s">
        <v>25</v>
      </c>
      <c r="C33" t="s">
        <v>26</v>
      </c>
      <c r="D33" t="s">
        <v>2518</v>
      </c>
      <c r="E33">
        <v>182419</v>
      </c>
      <c r="G33" t="s">
        <v>2519</v>
      </c>
      <c r="H33" t="s">
        <v>2520</v>
      </c>
      <c r="I33" t="s">
        <v>2519</v>
      </c>
      <c r="L33" t="b">
        <v>0</v>
      </c>
      <c r="M33" t="s">
        <v>50</v>
      </c>
      <c r="N33" t="s">
        <v>26</v>
      </c>
      <c r="P33" t="s">
        <v>33</v>
      </c>
      <c r="Q33">
        <v>1</v>
      </c>
      <c r="R33">
        <v>8</v>
      </c>
      <c r="S33">
        <v>98.809749999999994</v>
      </c>
      <c r="T33">
        <v>4789060337</v>
      </c>
      <c r="U33">
        <v>4789060337</v>
      </c>
      <c r="V33">
        <v>1</v>
      </c>
      <c r="W33">
        <v>83501257.859999999</v>
      </c>
      <c r="X33">
        <v>4732058546.3400002</v>
      </c>
      <c r="Y33">
        <v>4815559804.1999998</v>
      </c>
      <c r="Z33" t="s">
        <v>2438</v>
      </c>
    </row>
    <row r="34" spans="1:26" x14ac:dyDescent="0.25">
      <c r="A34">
        <v>20</v>
      </c>
      <c r="B34" t="s">
        <v>25</v>
      </c>
      <c r="C34" t="s">
        <v>26</v>
      </c>
      <c r="D34" t="s">
        <v>2521</v>
      </c>
      <c r="E34">
        <v>139811</v>
      </c>
      <c r="G34" t="s">
        <v>2522</v>
      </c>
      <c r="H34" t="s">
        <v>2523</v>
      </c>
      <c r="I34" t="s">
        <v>2522</v>
      </c>
      <c r="L34" t="b">
        <v>0</v>
      </c>
      <c r="M34" t="s">
        <v>50</v>
      </c>
      <c r="N34" t="s">
        <v>26</v>
      </c>
      <c r="P34" t="s">
        <v>33</v>
      </c>
      <c r="Q34">
        <v>1</v>
      </c>
      <c r="R34">
        <v>8</v>
      </c>
      <c r="S34">
        <v>98.608400000000003</v>
      </c>
      <c r="T34">
        <v>1668358750</v>
      </c>
      <c r="U34">
        <v>1962775000</v>
      </c>
      <c r="V34">
        <v>0.85</v>
      </c>
      <c r="W34">
        <v>14366422.57</v>
      </c>
      <c r="X34">
        <v>1645141869.6400001</v>
      </c>
      <c r="Y34">
        <v>1659508292.21</v>
      </c>
      <c r="Z34" t="s">
        <v>2438</v>
      </c>
    </row>
    <row r="35" spans="1:26" x14ac:dyDescent="0.25">
      <c r="A35">
        <v>20</v>
      </c>
      <c r="B35" t="s">
        <v>25</v>
      </c>
      <c r="C35" t="s">
        <v>26</v>
      </c>
      <c r="D35" t="s">
        <v>2524</v>
      </c>
      <c r="E35">
        <v>44115</v>
      </c>
      <c r="G35" t="s">
        <v>2525</v>
      </c>
      <c r="H35" t="s">
        <v>2526</v>
      </c>
      <c r="I35" t="s">
        <v>2525</v>
      </c>
      <c r="L35" t="b">
        <v>0</v>
      </c>
      <c r="M35" t="s">
        <v>50</v>
      </c>
      <c r="N35" t="s">
        <v>26</v>
      </c>
      <c r="P35" t="s">
        <v>33</v>
      </c>
      <c r="Q35">
        <v>1</v>
      </c>
      <c r="R35">
        <v>8</v>
      </c>
      <c r="S35">
        <v>0</v>
      </c>
      <c r="T35">
        <v>1085523900</v>
      </c>
      <c r="U35">
        <v>1866773900</v>
      </c>
      <c r="V35">
        <v>0.58150000000000002</v>
      </c>
      <c r="W35">
        <v>0</v>
      </c>
      <c r="X35">
        <v>0</v>
      </c>
      <c r="Y35">
        <v>0</v>
      </c>
      <c r="Z35" t="s">
        <v>2438</v>
      </c>
    </row>
    <row r="36" spans="1:26" x14ac:dyDescent="0.25">
      <c r="A36">
        <v>20</v>
      </c>
      <c r="B36" t="s">
        <v>25</v>
      </c>
      <c r="C36" t="s">
        <v>26</v>
      </c>
      <c r="D36" t="s">
        <v>2527</v>
      </c>
      <c r="E36">
        <v>213472</v>
      </c>
      <c r="G36" t="s">
        <v>2528</v>
      </c>
      <c r="H36" t="s">
        <v>2529</v>
      </c>
      <c r="I36" t="s">
        <v>2528</v>
      </c>
      <c r="L36" t="b">
        <v>0</v>
      </c>
      <c r="M36" t="s">
        <v>50</v>
      </c>
      <c r="N36" t="s">
        <v>26</v>
      </c>
      <c r="P36" t="s">
        <v>33</v>
      </c>
      <c r="Q36">
        <v>1</v>
      </c>
      <c r="R36">
        <v>8</v>
      </c>
      <c r="S36">
        <v>100</v>
      </c>
      <c r="T36">
        <v>630974545</v>
      </c>
      <c r="U36">
        <v>630974545</v>
      </c>
      <c r="V36">
        <v>1</v>
      </c>
      <c r="W36">
        <v>15753331.140000001</v>
      </c>
      <c r="X36">
        <v>630974545</v>
      </c>
      <c r="Y36">
        <v>646727876.13999999</v>
      </c>
      <c r="Z36" t="s">
        <v>2438</v>
      </c>
    </row>
    <row r="37" spans="1:26" x14ac:dyDescent="0.25">
      <c r="A37">
        <v>20</v>
      </c>
      <c r="B37" t="s">
        <v>25</v>
      </c>
      <c r="C37" t="s">
        <v>26</v>
      </c>
      <c r="D37" t="s">
        <v>2530</v>
      </c>
      <c r="E37">
        <v>227752</v>
      </c>
      <c r="G37" t="s">
        <v>2531</v>
      </c>
      <c r="H37" t="s">
        <v>2529</v>
      </c>
      <c r="I37" t="s">
        <v>2531</v>
      </c>
      <c r="L37" t="b">
        <v>0</v>
      </c>
      <c r="M37" t="s">
        <v>50</v>
      </c>
      <c r="N37" t="s">
        <v>26</v>
      </c>
      <c r="P37" t="s">
        <v>33</v>
      </c>
      <c r="Q37">
        <v>1</v>
      </c>
      <c r="R37">
        <v>8</v>
      </c>
      <c r="S37">
        <v>100</v>
      </c>
      <c r="T37">
        <v>2058764894</v>
      </c>
      <c r="U37">
        <v>2058764894</v>
      </c>
      <c r="V37">
        <v>1</v>
      </c>
      <c r="W37">
        <v>960756.95</v>
      </c>
      <c r="X37">
        <v>2058764894</v>
      </c>
      <c r="Y37">
        <v>2059725650.95</v>
      </c>
      <c r="Z37" t="s">
        <v>2438</v>
      </c>
    </row>
    <row r="38" spans="1:26" x14ac:dyDescent="0.25">
      <c r="A38">
        <v>20</v>
      </c>
      <c r="B38" t="s">
        <v>25</v>
      </c>
      <c r="C38" t="s">
        <v>26</v>
      </c>
      <c r="D38" t="s">
        <v>2532</v>
      </c>
      <c r="E38">
        <v>223761</v>
      </c>
      <c r="G38" t="s">
        <v>2533</v>
      </c>
      <c r="H38" t="s">
        <v>2529</v>
      </c>
      <c r="I38" t="s">
        <v>2533</v>
      </c>
      <c r="L38" t="b">
        <v>0</v>
      </c>
      <c r="M38" t="s">
        <v>50</v>
      </c>
      <c r="N38" t="s">
        <v>26</v>
      </c>
      <c r="P38" t="s">
        <v>33</v>
      </c>
      <c r="Q38">
        <v>1</v>
      </c>
      <c r="R38">
        <v>8</v>
      </c>
      <c r="S38">
        <v>100</v>
      </c>
      <c r="T38">
        <v>1888108791</v>
      </c>
      <c r="U38">
        <v>1888108791</v>
      </c>
      <c r="V38">
        <v>1</v>
      </c>
      <c r="W38">
        <v>13657320.25</v>
      </c>
      <c r="X38">
        <v>1888108791</v>
      </c>
      <c r="Y38">
        <v>1901766111.25</v>
      </c>
      <c r="Z38" t="s">
        <v>2438</v>
      </c>
    </row>
    <row r="39" spans="1:26" x14ac:dyDescent="0.25">
      <c r="A39">
        <v>20</v>
      </c>
      <c r="B39" t="s">
        <v>25</v>
      </c>
      <c r="C39" t="s">
        <v>26</v>
      </c>
      <c r="D39" t="s">
        <v>2534</v>
      </c>
      <c r="E39">
        <v>897</v>
      </c>
      <c r="G39" t="s">
        <v>2535</v>
      </c>
      <c r="H39" t="s">
        <v>2536</v>
      </c>
      <c r="I39" t="s">
        <v>2535</v>
      </c>
      <c r="L39" t="b">
        <v>0</v>
      </c>
      <c r="M39" t="s">
        <v>50</v>
      </c>
      <c r="N39" t="s">
        <v>241</v>
      </c>
      <c r="P39" t="s">
        <v>33</v>
      </c>
      <c r="Q39">
        <v>1</v>
      </c>
      <c r="R39">
        <v>8</v>
      </c>
      <c r="S39">
        <v>83.927499999999995</v>
      </c>
      <c r="T39">
        <v>2786.2469999999998</v>
      </c>
      <c r="U39">
        <v>2786.2469999999998</v>
      </c>
      <c r="V39">
        <v>1</v>
      </c>
      <c r="W39">
        <v>1029543.91</v>
      </c>
      <c r="X39">
        <v>95513090.730000019</v>
      </c>
      <c r="Y39">
        <v>96542634.640000015</v>
      </c>
      <c r="Z39" t="s">
        <v>2438</v>
      </c>
    </row>
    <row r="40" spans="1:26" x14ac:dyDescent="0.25">
      <c r="A40">
        <v>20</v>
      </c>
      <c r="B40" t="s">
        <v>25</v>
      </c>
      <c r="C40" t="s">
        <v>26</v>
      </c>
      <c r="D40" t="s">
        <v>2537</v>
      </c>
      <c r="E40">
        <v>898</v>
      </c>
      <c r="G40" t="s">
        <v>2538</v>
      </c>
      <c r="H40" t="s">
        <v>2536</v>
      </c>
      <c r="I40" t="s">
        <v>2538</v>
      </c>
      <c r="L40" t="b">
        <v>0</v>
      </c>
      <c r="M40" t="s">
        <v>50</v>
      </c>
      <c r="N40" t="s">
        <v>241</v>
      </c>
      <c r="P40" t="s">
        <v>33</v>
      </c>
      <c r="Q40">
        <v>1</v>
      </c>
      <c r="R40">
        <v>8</v>
      </c>
      <c r="S40">
        <v>83.641490000000005</v>
      </c>
      <c r="T40">
        <v>2142.3670000000002</v>
      </c>
      <c r="U40">
        <v>2142.3670000000002</v>
      </c>
      <c r="V40">
        <v>1</v>
      </c>
      <c r="W40">
        <v>211177.59</v>
      </c>
      <c r="X40">
        <v>73191004.559999973</v>
      </c>
      <c r="Y40">
        <v>73402182.149999976</v>
      </c>
      <c r="Z40" t="s">
        <v>2438</v>
      </c>
    </row>
    <row r="41" spans="1:26" x14ac:dyDescent="0.25">
      <c r="A41">
        <v>20</v>
      </c>
      <c r="B41" t="s">
        <v>25</v>
      </c>
      <c r="C41" t="s">
        <v>26</v>
      </c>
      <c r="D41" t="s">
        <v>2539</v>
      </c>
      <c r="E41">
        <v>159231</v>
      </c>
      <c r="G41" t="s">
        <v>2540</v>
      </c>
      <c r="H41" t="s">
        <v>2541</v>
      </c>
      <c r="I41" t="s">
        <v>2540</v>
      </c>
      <c r="L41" t="b">
        <v>0</v>
      </c>
      <c r="M41" t="s">
        <v>50</v>
      </c>
      <c r="N41" t="s">
        <v>241</v>
      </c>
      <c r="P41" t="s">
        <v>33</v>
      </c>
      <c r="Q41">
        <v>1</v>
      </c>
      <c r="R41">
        <v>8</v>
      </c>
      <c r="S41">
        <v>23.76</v>
      </c>
      <c r="T41">
        <v>79460</v>
      </c>
      <c r="U41">
        <v>79460</v>
      </c>
      <c r="V41">
        <v>1</v>
      </c>
      <c r="W41">
        <v>0</v>
      </c>
      <c r="X41">
        <v>771137381.75999999</v>
      </c>
      <c r="Y41">
        <v>771137381.75999999</v>
      </c>
      <c r="Z41" t="s">
        <v>2438</v>
      </c>
    </row>
    <row r="42" spans="1:26" x14ac:dyDescent="0.25">
      <c r="A42">
        <v>20</v>
      </c>
      <c r="B42" t="s">
        <v>25</v>
      </c>
      <c r="C42" t="s">
        <v>26</v>
      </c>
      <c r="D42" t="s">
        <v>2542</v>
      </c>
      <c r="E42">
        <v>159232</v>
      </c>
      <c r="G42" t="s">
        <v>2543</v>
      </c>
      <c r="H42" t="s">
        <v>2541</v>
      </c>
      <c r="I42" t="s">
        <v>2543</v>
      </c>
      <c r="L42" t="b">
        <v>0</v>
      </c>
      <c r="M42" t="s">
        <v>50</v>
      </c>
      <c r="N42" t="s">
        <v>241</v>
      </c>
      <c r="P42" t="s">
        <v>33</v>
      </c>
      <c r="Q42">
        <v>1</v>
      </c>
      <c r="R42">
        <v>8</v>
      </c>
      <c r="S42">
        <v>23.76</v>
      </c>
      <c r="T42">
        <v>61119</v>
      </c>
      <c r="U42">
        <v>61119</v>
      </c>
      <c r="V42">
        <v>1</v>
      </c>
      <c r="W42">
        <v>0</v>
      </c>
      <c r="X42">
        <v>593142730.55999994</v>
      </c>
      <c r="Y42">
        <v>593142730.55999994</v>
      </c>
      <c r="Z42" t="s">
        <v>2438</v>
      </c>
    </row>
    <row r="43" spans="1:26" x14ac:dyDescent="0.25">
      <c r="A43">
        <v>20</v>
      </c>
      <c r="B43" t="s">
        <v>25</v>
      </c>
      <c r="C43" t="s">
        <v>26</v>
      </c>
      <c r="D43" t="s">
        <v>2544</v>
      </c>
      <c r="E43">
        <v>195984</v>
      </c>
      <c r="G43" t="s">
        <v>2545</v>
      </c>
      <c r="H43" t="s">
        <v>2546</v>
      </c>
      <c r="I43" t="s">
        <v>2545</v>
      </c>
      <c r="L43" t="b">
        <v>0</v>
      </c>
      <c r="M43" t="s">
        <v>50</v>
      </c>
      <c r="N43" t="s">
        <v>241</v>
      </c>
      <c r="P43" t="s">
        <v>33</v>
      </c>
      <c r="Q43">
        <v>1</v>
      </c>
      <c r="R43">
        <v>8</v>
      </c>
      <c r="S43">
        <v>100</v>
      </c>
      <c r="T43">
        <v>6970</v>
      </c>
      <c r="U43">
        <v>6970</v>
      </c>
      <c r="V43">
        <v>1</v>
      </c>
      <c r="W43">
        <v>610656.16</v>
      </c>
      <c r="X43">
        <v>284688186.30000001</v>
      </c>
      <c r="Y43">
        <v>285298842.45999998</v>
      </c>
      <c r="Z43" t="s">
        <v>2438</v>
      </c>
    </row>
    <row r="44" spans="1:26" x14ac:dyDescent="0.25">
      <c r="A44">
        <v>20</v>
      </c>
      <c r="B44" t="s">
        <v>25</v>
      </c>
      <c r="C44" t="s">
        <v>26</v>
      </c>
      <c r="D44" t="s">
        <v>2547</v>
      </c>
      <c r="E44">
        <v>190021</v>
      </c>
      <c r="G44" t="s">
        <v>2548</v>
      </c>
      <c r="H44" t="s">
        <v>2546</v>
      </c>
      <c r="I44" t="s">
        <v>2548</v>
      </c>
      <c r="L44" t="b">
        <v>0</v>
      </c>
      <c r="M44" t="s">
        <v>50</v>
      </c>
      <c r="N44" t="s">
        <v>241</v>
      </c>
      <c r="P44" t="s">
        <v>33</v>
      </c>
      <c r="Q44">
        <v>1</v>
      </c>
      <c r="R44">
        <v>8</v>
      </c>
      <c r="S44">
        <v>98.401250000000005</v>
      </c>
      <c r="T44">
        <v>159254</v>
      </c>
      <c r="U44">
        <v>159254</v>
      </c>
      <c r="V44">
        <v>1</v>
      </c>
      <c r="W44">
        <v>102448964.94</v>
      </c>
      <c r="X44">
        <v>6400702083.7299986</v>
      </c>
      <c r="Y44">
        <v>6503151048.6699982</v>
      </c>
      <c r="Z44" t="s">
        <v>2438</v>
      </c>
    </row>
    <row r="45" spans="1:26" x14ac:dyDescent="0.25">
      <c r="A45">
        <v>20</v>
      </c>
      <c r="B45" t="s">
        <v>25</v>
      </c>
      <c r="C45" t="s">
        <v>26</v>
      </c>
      <c r="D45" t="s">
        <v>2549</v>
      </c>
      <c r="E45">
        <v>116571</v>
      </c>
      <c r="G45" t="s">
        <v>2550</v>
      </c>
      <c r="H45" t="s">
        <v>2551</v>
      </c>
      <c r="I45" t="s">
        <v>2550</v>
      </c>
      <c r="L45" t="b">
        <v>0</v>
      </c>
      <c r="M45" t="s">
        <v>50</v>
      </c>
      <c r="N45" t="s">
        <v>241</v>
      </c>
      <c r="P45" t="s">
        <v>33</v>
      </c>
      <c r="Q45">
        <v>1</v>
      </c>
      <c r="R45">
        <v>8</v>
      </c>
      <c r="S45">
        <v>83.683880000000002</v>
      </c>
      <c r="T45">
        <v>7031</v>
      </c>
      <c r="U45">
        <v>7031</v>
      </c>
      <c r="V45">
        <v>1</v>
      </c>
      <c r="W45">
        <v>1316240.3799999999</v>
      </c>
      <c r="X45">
        <v>240322983.84999999</v>
      </c>
      <c r="Y45">
        <v>241639224.22999999</v>
      </c>
      <c r="Z45" t="s">
        <v>2438</v>
      </c>
    </row>
    <row r="46" spans="1:26" x14ac:dyDescent="0.25">
      <c r="A46">
        <v>20</v>
      </c>
      <c r="B46" t="s">
        <v>25</v>
      </c>
      <c r="C46" t="s">
        <v>26</v>
      </c>
      <c r="D46" t="s">
        <v>2552</v>
      </c>
      <c r="E46">
        <v>219017</v>
      </c>
      <c r="G46" t="s">
        <v>2553</v>
      </c>
      <c r="H46" t="s">
        <v>2554</v>
      </c>
      <c r="I46" t="s">
        <v>2553</v>
      </c>
      <c r="L46" t="b">
        <v>0</v>
      </c>
      <c r="M46" t="s">
        <v>50</v>
      </c>
      <c r="N46" t="s">
        <v>241</v>
      </c>
      <c r="P46" t="s">
        <v>33</v>
      </c>
      <c r="Q46">
        <v>1</v>
      </c>
      <c r="R46">
        <v>8</v>
      </c>
      <c r="S46">
        <v>98.531040000000004</v>
      </c>
      <c r="T46">
        <v>6957</v>
      </c>
      <c r="U46">
        <v>6957</v>
      </c>
      <c r="V46">
        <v>1</v>
      </c>
      <c r="W46">
        <v>2956261.05</v>
      </c>
      <c r="X46">
        <v>279982866.48999989</v>
      </c>
      <c r="Y46">
        <v>282939127.54000002</v>
      </c>
      <c r="Z46" t="s">
        <v>2438</v>
      </c>
    </row>
    <row r="47" spans="1:26" x14ac:dyDescent="0.25">
      <c r="A47">
        <v>20</v>
      </c>
      <c r="B47" t="s">
        <v>25</v>
      </c>
      <c r="C47" t="s">
        <v>26</v>
      </c>
      <c r="D47" t="s">
        <v>2555</v>
      </c>
      <c r="E47">
        <v>223223</v>
      </c>
      <c r="G47" t="s">
        <v>2556</v>
      </c>
      <c r="H47" t="s">
        <v>2554</v>
      </c>
      <c r="I47" t="s">
        <v>2556</v>
      </c>
      <c r="L47" t="b">
        <v>0</v>
      </c>
      <c r="M47" t="s">
        <v>50</v>
      </c>
      <c r="N47" t="s">
        <v>241</v>
      </c>
      <c r="P47" t="s">
        <v>33</v>
      </c>
      <c r="Q47">
        <v>1</v>
      </c>
      <c r="R47">
        <v>8</v>
      </c>
      <c r="S47">
        <v>100</v>
      </c>
      <c r="T47">
        <v>28742</v>
      </c>
      <c r="U47">
        <v>28742</v>
      </c>
      <c r="V47">
        <v>1</v>
      </c>
      <c r="W47">
        <v>9929753.0700000003</v>
      </c>
      <c r="X47">
        <v>1173960954.1800001</v>
      </c>
      <c r="Y47">
        <v>1183890707.25</v>
      </c>
      <c r="Z47" t="s">
        <v>2438</v>
      </c>
    </row>
    <row r="48" spans="1:26" x14ac:dyDescent="0.25">
      <c r="A48">
        <v>20</v>
      </c>
      <c r="B48" t="s">
        <v>25</v>
      </c>
      <c r="C48" t="s">
        <v>26</v>
      </c>
      <c r="D48" t="s">
        <v>2557</v>
      </c>
      <c r="E48">
        <v>205781</v>
      </c>
      <c r="G48" t="s">
        <v>2558</v>
      </c>
      <c r="H48" t="s">
        <v>2554</v>
      </c>
      <c r="I48" t="s">
        <v>2558</v>
      </c>
      <c r="L48" t="b">
        <v>0</v>
      </c>
      <c r="M48" t="s">
        <v>50</v>
      </c>
      <c r="N48" t="s">
        <v>241</v>
      </c>
      <c r="P48" t="s">
        <v>33</v>
      </c>
      <c r="Q48">
        <v>1</v>
      </c>
      <c r="R48">
        <v>8</v>
      </c>
      <c r="S48">
        <v>98.531040000000004</v>
      </c>
      <c r="T48">
        <v>7957</v>
      </c>
      <c r="U48">
        <v>7957</v>
      </c>
      <c r="V48">
        <v>1</v>
      </c>
      <c r="W48">
        <v>10844233.199999999</v>
      </c>
      <c r="X48">
        <v>320227646.52999997</v>
      </c>
      <c r="Y48">
        <v>331071879.73000002</v>
      </c>
      <c r="Z48" t="s">
        <v>2438</v>
      </c>
    </row>
    <row r="49" spans="1:26" x14ac:dyDescent="0.25">
      <c r="A49">
        <v>20</v>
      </c>
      <c r="B49" t="s">
        <v>25</v>
      </c>
      <c r="C49" t="s">
        <v>26</v>
      </c>
      <c r="D49" t="s">
        <v>2559</v>
      </c>
      <c r="E49">
        <v>159233</v>
      </c>
      <c r="G49" t="s">
        <v>2560</v>
      </c>
      <c r="H49" t="s">
        <v>2541</v>
      </c>
      <c r="I49" t="s">
        <v>2560</v>
      </c>
      <c r="L49" t="b">
        <v>0</v>
      </c>
      <c r="M49" t="s">
        <v>50</v>
      </c>
      <c r="N49" t="s">
        <v>241</v>
      </c>
      <c r="P49" t="s">
        <v>33</v>
      </c>
      <c r="Q49">
        <v>1</v>
      </c>
      <c r="R49">
        <v>8</v>
      </c>
      <c r="S49">
        <v>23.76</v>
      </c>
      <c r="T49">
        <v>184049</v>
      </c>
      <c r="U49">
        <v>184049</v>
      </c>
      <c r="V49">
        <v>1</v>
      </c>
      <c r="W49">
        <v>0</v>
      </c>
      <c r="X49">
        <v>1786144300.49</v>
      </c>
      <c r="Y49">
        <v>1786144300.49</v>
      </c>
      <c r="Z49" t="s">
        <v>2438</v>
      </c>
    </row>
    <row r="50" spans="1:26" x14ac:dyDescent="0.25">
      <c r="A50">
        <v>20</v>
      </c>
      <c r="B50" t="s">
        <v>25</v>
      </c>
      <c r="C50" t="s">
        <v>26</v>
      </c>
      <c r="D50" t="s">
        <v>2561</v>
      </c>
      <c r="E50">
        <v>197074</v>
      </c>
      <c r="G50" t="s">
        <v>2562</v>
      </c>
      <c r="H50" t="s">
        <v>2563</v>
      </c>
      <c r="I50" t="s">
        <v>2562</v>
      </c>
      <c r="L50" t="b">
        <v>0</v>
      </c>
      <c r="M50" t="s">
        <v>50</v>
      </c>
      <c r="N50" t="s">
        <v>241</v>
      </c>
      <c r="P50" t="s">
        <v>33</v>
      </c>
      <c r="Q50">
        <v>1</v>
      </c>
      <c r="R50">
        <v>2</v>
      </c>
      <c r="S50">
        <v>98.300929999999994</v>
      </c>
      <c r="T50">
        <v>93664</v>
      </c>
      <c r="U50">
        <v>93664</v>
      </c>
      <c r="V50">
        <v>1</v>
      </c>
      <c r="W50">
        <v>25805551.32</v>
      </c>
      <c r="X50">
        <v>3760685194.8599992</v>
      </c>
      <c r="Y50">
        <v>3786490746.1799989</v>
      </c>
      <c r="Z50" t="s">
        <v>2438</v>
      </c>
    </row>
    <row r="51" spans="1:26" x14ac:dyDescent="0.25">
      <c r="A51">
        <v>20</v>
      </c>
      <c r="B51" t="s">
        <v>25</v>
      </c>
      <c r="C51" t="s">
        <v>26</v>
      </c>
      <c r="D51" t="s">
        <v>2564</v>
      </c>
      <c r="E51">
        <v>159427</v>
      </c>
      <c r="G51" t="s">
        <v>2565</v>
      </c>
      <c r="H51" t="s">
        <v>2566</v>
      </c>
      <c r="I51" t="s">
        <v>2565</v>
      </c>
      <c r="L51" t="b">
        <v>0</v>
      </c>
      <c r="M51" t="s">
        <v>50</v>
      </c>
      <c r="N51" t="s">
        <v>32</v>
      </c>
      <c r="O51" s="8" t="s">
        <v>26</v>
      </c>
      <c r="P51" t="s">
        <v>33</v>
      </c>
      <c r="Q51">
        <v>1</v>
      </c>
      <c r="R51">
        <v>8</v>
      </c>
      <c r="S51">
        <v>98.724930000000001</v>
      </c>
      <c r="T51">
        <v>5000000</v>
      </c>
      <c r="U51">
        <v>5000000</v>
      </c>
      <c r="V51">
        <v>1</v>
      </c>
      <c r="W51">
        <v>19651488.890000001</v>
      </c>
      <c r="X51">
        <v>4594954416.9899998</v>
      </c>
      <c r="Y51">
        <v>4614605905.8800001</v>
      </c>
      <c r="Z51" t="s">
        <v>2438</v>
      </c>
    </row>
    <row r="52" spans="1:26" x14ac:dyDescent="0.25">
      <c r="A52">
        <v>20</v>
      </c>
      <c r="B52" t="s">
        <v>25</v>
      </c>
      <c r="C52" t="s">
        <v>26</v>
      </c>
      <c r="D52" t="s">
        <v>2567</v>
      </c>
      <c r="E52">
        <v>189421</v>
      </c>
      <c r="G52" t="s">
        <v>2568</v>
      </c>
      <c r="H52" t="s">
        <v>2568</v>
      </c>
      <c r="I52" t="s">
        <v>2568</v>
      </c>
      <c r="L52" t="b">
        <v>0</v>
      </c>
      <c r="M52" t="s">
        <v>50</v>
      </c>
      <c r="N52" t="s">
        <v>26</v>
      </c>
      <c r="P52" t="s">
        <v>33</v>
      </c>
      <c r="Q52">
        <v>1</v>
      </c>
      <c r="R52">
        <v>10</v>
      </c>
      <c r="S52">
        <v>10000</v>
      </c>
      <c r="T52">
        <v>4000</v>
      </c>
      <c r="U52">
        <v>4000</v>
      </c>
      <c r="V52">
        <v>1</v>
      </c>
      <c r="W52">
        <v>0</v>
      </c>
      <c r="X52">
        <v>40000000</v>
      </c>
      <c r="Y52">
        <v>40000000</v>
      </c>
      <c r="Z52" t="s">
        <v>2438</v>
      </c>
    </row>
    <row r="53" spans="1:26" x14ac:dyDescent="0.25">
      <c r="A53">
        <v>20</v>
      </c>
      <c r="B53" t="s">
        <v>25</v>
      </c>
      <c r="C53" t="s">
        <v>26</v>
      </c>
      <c r="D53" t="s">
        <v>2569</v>
      </c>
      <c r="E53">
        <v>217270</v>
      </c>
      <c r="G53" t="s">
        <v>2570</v>
      </c>
      <c r="H53" t="s">
        <v>2571</v>
      </c>
      <c r="I53" t="s">
        <v>2570</v>
      </c>
      <c r="L53" t="b">
        <v>0</v>
      </c>
      <c r="M53" t="s">
        <v>50</v>
      </c>
      <c r="N53" t="s">
        <v>241</v>
      </c>
      <c r="P53" t="s">
        <v>33</v>
      </c>
      <c r="Q53">
        <v>1</v>
      </c>
      <c r="R53">
        <v>10</v>
      </c>
      <c r="S53">
        <v>1</v>
      </c>
      <c r="T53">
        <v>1000</v>
      </c>
      <c r="U53">
        <v>1000</v>
      </c>
      <c r="V53">
        <v>1</v>
      </c>
      <c r="W53">
        <v>0</v>
      </c>
      <c r="X53">
        <v>40844790</v>
      </c>
      <c r="Y53">
        <v>40844790</v>
      </c>
      <c r="Z53" t="s">
        <v>2438</v>
      </c>
    </row>
    <row r="54" spans="1:26" x14ac:dyDescent="0.25">
      <c r="A54">
        <v>20</v>
      </c>
      <c r="B54" t="s">
        <v>25</v>
      </c>
      <c r="C54" t="s">
        <v>26</v>
      </c>
      <c r="D54" t="s">
        <v>2572</v>
      </c>
      <c r="E54">
        <v>176142</v>
      </c>
      <c r="G54" t="s">
        <v>2573</v>
      </c>
      <c r="H54" t="s">
        <v>2573</v>
      </c>
      <c r="I54" t="s">
        <v>2573</v>
      </c>
      <c r="L54" t="b">
        <v>0</v>
      </c>
      <c r="M54" t="s">
        <v>50</v>
      </c>
      <c r="N54" t="s">
        <v>241</v>
      </c>
      <c r="P54" t="s">
        <v>33</v>
      </c>
      <c r="Q54">
        <v>1</v>
      </c>
      <c r="R54">
        <v>10</v>
      </c>
      <c r="S54">
        <v>1</v>
      </c>
      <c r="T54">
        <v>323234</v>
      </c>
      <c r="U54">
        <v>323234</v>
      </c>
      <c r="V54">
        <v>1</v>
      </c>
      <c r="W54">
        <v>0</v>
      </c>
      <c r="X54">
        <v>13202424850.860001</v>
      </c>
      <c r="Y54">
        <v>13202424850.860001</v>
      </c>
      <c r="Z54" t="s">
        <v>2438</v>
      </c>
    </row>
    <row r="55" spans="1:26" x14ac:dyDescent="0.25">
      <c r="A55">
        <v>20</v>
      </c>
      <c r="B55" t="s">
        <v>25</v>
      </c>
      <c r="C55" t="s">
        <v>26</v>
      </c>
      <c r="D55" t="s">
        <v>2574</v>
      </c>
      <c r="E55">
        <v>227788</v>
      </c>
      <c r="G55" t="s">
        <v>2575</v>
      </c>
      <c r="H55" t="s">
        <v>104</v>
      </c>
      <c r="I55" t="s">
        <v>2575</v>
      </c>
      <c r="L55" t="b">
        <v>0</v>
      </c>
      <c r="M55" t="s">
        <v>50</v>
      </c>
      <c r="N55" t="s">
        <v>26</v>
      </c>
      <c r="P55" t="s">
        <v>33</v>
      </c>
      <c r="Q55">
        <v>1</v>
      </c>
      <c r="R55">
        <v>8</v>
      </c>
      <c r="S55">
        <v>99.950999999999993</v>
      </c>
      <c r="T55">
        <v>5000000000</v>
      </c>
      <c r="U55">
        <v>5000000000</v>
      </c>
      <c r="V55">
        <v>1</v>
      </c>
      <c r="W55">
        <v>0</v>
      </c>
      <c r="X55">
        <v>4997550000</v>
      </c>
      <c r="Y55">
        <v>4997550000</v>
      </c>
      <c r="Z55" t="s">
        <v>2438</v>
      </c>
    </row>
    <row r="56" spans="1:26" x14ac:dyDescent="0.25">
      <c r="A56">
        <v>20</v>
      </c>
      <c r="B56" t="s">
        <v>25</v>
      </c>
      <c r="C56" t="s">
        <v>26</v>
      </c>
      <c r="D56" t="s">
        <v>2576</v>
      </c>
      <c r="E56">
        <v>223985</v>
      </c>
      <c r="G56" t="s">
        <v>2577</v>
      </c>
      <c r="H56" t="s">
        <v>1857</v>
      </c>
      <c r="I56" t="s">
        <v>2577</v>
      </c>
      <c r="L56" t="b">
        <v>0</v>
      </c>
      <c r="M56" t="s">
        <v>50</v>
      </c>
      <c r="N56" t="s">
        <v>26</v>
      </c>
      <c r="P56" t="s">
        <v>33</v>
      </c>
      <c r="Q56">
        <v>1</v>
      </c>
      <c r="R56">
        <v>4</v>
      </c>
      <c r="S56">
        <v>100</v>
      </c>
      <c r="T56">
        <v>15000000</v>
      </c>
      <c r="U56">
        <v>15000000</v>
      </c>
      <c r="V56">
        <v>1</v>
      </c>
      <c r="W56">
        <v>52200</v>
      </c>
      <c r="X56">
        <v>15000000</v>
      </c>
      <c r="Y56">
        <v>15052200</v>
      </c>
      <c r="Z56" t="s">
        <v>2438</v>
      </c>
    </row>
    <row r="57" spans="1:26" x14ac:dyDescent="0.25">
      <c r="A57">
        <v>20</v>
      </c>
      <c r="B57" t="s">
        <v>25</v>
      </c>
      <c r="C57" t="s">
        <v>26</v>
      </c>
      <c r="D57" t="s">
        <v>2578</v>
      </c>
      <c r="E57">
        <v>224575</v>
      </c>
      <c r="G57" t="s">
        <v>2579</v>
      </c>
      <c r="H57" t="s">
        <v>1857</v>
      </c>
      <c r="I57" t="s">
        <v>2579</v>
      </c>
      <c r="L57" t="b">
        <v>0</v>
      </c>
      <c r="M57" t="s">
        <v>50</v>
      </c>
      <c r="N57" t="s">
        <v>26</v>
      </c>
      <c r="P57" t="s">
        <v>33</v>
      </c>
      <c r="Q57">
        <v>1</v>
      </c>
      <c r="R57">
        <v>4</v>
      </c>
      <c r="S57">
        <v>100</v>
      </c>
      <c r="T57">
        <v>15000000</v>
      </c>
      <c r="U57">
        <v>15000000</v>
      </c>
      <c r="V57">
        <v>1</v>
      </c>
      <c r="W57">
        <v>45000</v>
      </c>
      <c r="X57">
        <v>15000000</v>
      </c>
      <c r="Y57">
        <v>15045000</v>
      </c>
      <c r="Z57" t="s">
        <v>2438</v>
      </c>
    </row>
    <row r="58" spans="1:26" x14ac:dyDescent="0.25">
      <c r="A58">
        <v>20</v>
      </c>
      <c r="B58" t="s">
        <v>25</v>
      </c>
      <c r="C58" t="s">
        <v>26</v>
      </c>
      <c r="D58" t="s">
        <v>2580</v>
      </c>
      <c r="E58">
        <v>186697</v>
      </c>
      <c r="G58" t="s">
        <v>2581</v>
      </c>
      <c r="H58" t="s">
        <v>1857</v>
      </c>
      <c r="I58" t="s">
        <v>2581</v>
      </c>
      <c r="L58" t="b">
        <v>0</v>
      </c>
      <c r="M58" t="s">
        <v>50</v>
      </c>
      <c r="N58" t="s">
        <v>26</v>
      </c>
      <c r="P58" t="s">
        <v>33</v>
      </c>
      <c r="Q58">
        <v>1</v>
      </c>
      <c r="R58">
        <v>5</v>
      </c>
      <c r="S58">
        <v>99.575500000000005</v>
      </c>
      <c r="T58">
        <v>1416390000</v>
      </c>
      <c r="U58">
        <v>1416390000</v>
      </c>
      <c r="V58">
        <v>1</v>
      </c>
      <c r="W58">
        <v>0</v>
      </c>
      <c r="X58">
        <v>1410377424.45</v>
      </c>
      <c r="Y58">
        <v>1410377424.45</v>
      </c>
      <c r="Z58" t="s">
        <v>2438</v>
      </c>
    </row>
    <row r="59" spans="1:26" x14ac:dyDescent="0.25">
      <c r="A59">
        <v>20</v>
      </c>
      <c r="B59" t="s">
        <v>25</v>
      </c>
      <c r="C59" t="s">
        <v>26</v>
      </c>
      <c r="D59" t="s">
        <v>2582</v>
      </c>
      <c r="E59">
        <v>190225</v>
      </c>
      <c r="G59" t="s">
        <v>2583</v>
      </c>
      <c r="H59" t="s">
        <v>1857</v>
      </c>
      <c r="I59" t="s">
        <v>2583</v>
      </c>
      <c r="L59" t="b">
        <v>0</v>
      </c>
      <c r="M59" t="s">
        <v>50</v>
      </c>
      <c r="N59" t="s">
        <v>26</v>
      </c>
      <c r="P59" t="s">
        <v>33</v>
      </c>
      <c r="Q59">
        <v>1</v>
      </c>
      <c r="R59">
        <v>4</v>
      </c>
      <c r="S59">
        <v>99.475700000000003</v>
      </c>
      <c r="T59">
        <v>3200000000</v>
      </c>
      <c r="U59">
        <v>3200000000</v>
      </c>
      <c r="V59">
        <v>1</v>
      </c>
      <c r="W59">
        <v>0</v>
      </c>
      <c r="X59">
        <v>3183222400</v>
      </c>
      <c r="Y59">
        <v>3183222400</v>
      </c>
      <c r="Z59" t="s">
        <v>2438</v>
      </c>
    </row>
    <row r="60" spans="1:26" x14ac:dyDescent="0.25">
      <c r="A60">
        <v>20</v>
      </c>
      <c r="B60" t="s">
        <v>25</v>
      </c>
      <c r="C60" t="s">
        <v>26</v>
      </c>
      <c r="D60" t="s">
        <v>2584</v>
      </c>
      <c r="E60">
        <v>36211</v>
      </c>
      <c r="G60" t="s">
        <v>2585</v>
      </c>
      <c r="H60" t="s">
        <v>1795</v>
      </c>
      <c r="I60" t="s">
        <v>2585</v>
      </c>
      <c r="L60" t="b">
        <v>0</v>
      </c>
      <c r="M60" t="s">
        <v>50</v>
      </c>
      <c r="N60" t="s">
        <v>26</v>
      </c>
      <c r="P60" t="s">
        <v>33</v>
      </c>
      <c r="Q60">
        <v>1</v>
      </c>
      <c r="R60">
        <v>7</v>
      </c>
      <c r="S60">
        <v>100</v>
      </c>
      <c r="T60">
        <v>30080920000</v>
      </c>
      <c r="U60">
        <v>30080920000</v>
      </c>
      <c r="V60">
        <v>1</v>
      </c>
      <c r="W60">
        <v>77827950.129999995</v>
      </c>
      <c r="X60">
        <v>30080920000</v>
      </c>
      <c r="Y60">
        <v>30158747950.130001</v>
      </c>
      <c r="Z60" t="s">
        <v>2438</v>
      </c>
    </row>
    <row r="61" spans="1:26" x14ac:dyDescent="0.25">
      <c r="A61">
        <v>20</v>
      </c>
      <c r="B61" t="s">
        <v>25</v>
      </c>
      <c r="C61" t="s">
        <v>26</v>
      </c>
      <c r="D61" t="s">
        <v>2586</v>
      </c>
      <c r="E61">
        <v>176729</v>
      </c>
      <c r="G61" t="s">
        <v>2587</v>
      </c>
      <c r="H61" t="s">
        <v>2588</v>
      </c>
      <c r="I61" t="s">
        <v>2587</v>
      </c>
      <c r="L61" t="b">
        <v>0</v>
      </c>
      <c r="M61" t="s">
        <v>50</v>
      </c>
      <c r="N61" t="s">
        <v>26</v>
      </c>
      <c r="P61" t="s">
        <v>33</v>
      </c>
      <c r="Q61">
        <v>1</v>
      </c>
      <c r="R61">
        <v>7</v>
      </c>
      <c r="S61">
        <v>100</v>
      </c>
      <c r="T61">
        <v>14500000000</v>
      </c>
      <c r="U61">
        <v>14500000000</v>
      </c>
      <c r="V61">
        <v>1</v>
      </c>
      <c r="W61">
        <v>2663333.33</v>
      </c>
      <c r="X61">
        <v>14500000000</v>
      </c>
      <c r="Y61">
        <v>14502663333.33</v>
      </c>
      <c r="Z61" t="s">
        <v>2438</v>
      </c>
    </row>
    <row r="62" spans="1:26" x14ac:dyDescent="0.25">
      <c r="A62">
        <v>17</v>
      </c>
      <c r="B62" t="s">
        <v>124</v>
      </c>
      <c r="C62" t="s">
        <v>32</v>
      </c>
      <c r="D62" t="s">
        <v>2589</v>
      </c>
      <c r="E62">
        <v>221555</v>
      </c>
      <c r="G62" t="s">
        <v>2590</v>
      </c>
      <c r="H62" t="s">
        <v>111</v>
      </c>
      <c r="I62" t="s">
        <v>2590</v>
      </c>
      <c r="L62" t="b">
        <v>0</v>
      </c>
      <c r="M62" t="s">
        <v>112</v>
      </c>
      <c r="N62" t="s">
        <v>490</v>
      </c>
      <c r="P62" t="s">
        <v>33</v>
      </c>
      <c r="Q62">
        <v>1</v>
      </c>
      <c r="R62">
        <v>3</v>
      </c>
      <c r="S62">
        <v>81.625</v>
      </c>
      <c r="T62">
        <v>1768000000</v>
      </c>
      <c r="U62">
        <v>1768000000</v>
      </c>
      <c r="V62">
        <v>1</v>
      </c>
      <c r="W62">
        <v>0</v>
      </c>
      <c r="X62">
        <v>914766.34000000008</v>
      </c>
      <c r="Y62">
        <v>914766.34000000008</v>
      </c>
      <c r="Z62" t="s">
        <v>2438</v>
      </c>
    </row>
    <row r="63" spans="1:26" x14ac:dyDescent="0.25">
      <c r="A63">
        <v>17</v>
      </c>
      <c r="B63" t="s">
        <v>124</v>
      </c>
      <c r="C63" t="s">
        <v>32</v>
      </c>
      <c r="D63" t="s">
        <v>2591</v>
      </c>
      <c r="E63">
        <v>221556</v>
      </c>
      <c r="G63" t="s">
        <v>2592</v>
      </c>
      <c r="H63" t="s">
        <v>111</v>
      </c>
      <c r="I63" t="s">
        <v>2592</v>
      </c>
      <c r="L63" t="b">
        <v>0</v>
      </c>
      <c r="M63" t="s">
        <v>112</v>
      </c>
      <c r="N63" t="s">
        <v>490</v>
      </c>
      <c r="P63" t="s">
        <v>33</v>
      </c>
      <c r="Q63">
        <v>1</v>
      </c>
      <c r="R63">
        <v>3</v>
      </c>
      <c r="S63">
        <v>84.593000000000004</v>
      </c>
      <c r="T63">
        <v>1720000000</v>
      </c>
      <c r="U63">
        <v>1720000000</v>
      </c>
      <c r="V63">
        <v>1</v>
      </c>
      <c r="W63">
        <v>0</v>
      </c>
      <c r="X63">
        <v>922290.20000000007</v>
      </c>
      <c r="Y63">
        <v>922290.20000000007</v>
      </c>
      <c r="Z63" t="s">
        <v>2438</v>
      </c>
    </row>
    <row r="64" spans="1:26" x14ac:dyDescent="0.25">
      <c r="A64">
        <v>20</v>
      </c>
      <c r="B64" t="s">
        <v>25</v>
      </c>
      <c r="C64" t="s">
        <v>26</v>
      </c>
      <c r="D64" t="s">
        <v>2593</v>
      </c>
      <c r="E64">
        <v>205237</v>
      </c>
      <c r="G64" t="s">
        <v>2594</v>
      </c>
      <c r="H64" t="s">
        <v>2595</v>
      </c>
      <c r="I64" t="s">
        <v>2594</v>
      </c>
      <c r="L64" t="b">
        <v>0</v>
      </c>
      <c r="M64" t="s">
        <v>50</v>
      </c>
      <c r="N64" t="s">
        <v>241</v>
      </c>
      <c r="P64" t="s">
        <v>33</v>
      </c>
      <c r="Q64">
        <v>1</v>
      </c>
      <c r="R64">
        <v>13</v>
      </c>
      <c r="S64">
        <v>100.608762</v>
      </c>
      <c r="T64">
        <v>244675</v>
      </c>
      <c r="U64">
        <v>244675</v>
      </c>
      <c r="V64">
        <v>1</v>
      </c>
      <c r="W64">
        <v>0</v>
      </c>
      <c r="X64">
        <v>10054536491.060011</v>
      </c>
      <c r="Y64">
        <v>10054536491.060011</v>
      </c>
      <c r="Z64" t="s">
        <v>2438</v>
      </c>
    </row>
    <row r="65" spans="1:26" x14ac:dyDescent="0.25">
      <c r="A65">
        <v>20</v>
      </c>
      <c r="B65" t="s">
        <v>25</v>
      </c>
      <c r="C65" t="s">
        <v>26</v>
      </c>
      <c r="D65" t="s">
        <v>2596</v>
      </c>
      <c r="E65">
        <v>208994</v>
      </c>
      <c r="G65" t="s">
        <v>2597</v>
      </c>
      <c r="H65" t="s">
        <v>2598</v>
      </c>
      <c r="I65" t="s">
        <v>2597</v>
      </c>
      <c r="L65" t="b">
        <v>0</v>
      </c>
      <c r="M65" t="s">
        <v>50</v>
      </c>
      <c r="N65" t="s">
        <v>241</v>
      </c>
      <c r="P65" t="s">
        <v>33</v>
      </c>
      <c r="Q65">
        <v>1</v>
      </c>
      <c r="R65">
        <v>13</v>
      </c>
      <c r="S65">
        <v>100.51813900000001</v>
      </c>
      <c r="T65">
        <v>107272</v>
      </c>
      <c r="U65">
        <v>107272</v>
      </c>
      <c r="V65">
        <v>1</v>
      </c>
      <c r="W65">
        <v>0</v>
      </c>
      <c r="X65">
        <v>4404204255.5999994</v>
      </c>
      <c r="Y65">
        <v>4404204255.5999994</v>
      </c>
      <c r="Z65" t="s">
        <v>2438</v>
      </c>
    </row>
    <row r="66" spans="1:26" x14ac:dyDescent="0.25">
      <c r="A66">
        <v>20</v>
      </c>
      <c r="B66" t="s">
        <v>25</v>
      </c>
      <c r="C66" t="s">
        <v>26</v>
      </c>
      <c r="D66" t="s">
        <v>2599</v>
      </c>
      <c r="E66">
        <v>207067</v>
      </c>
      <c r="G66" t="s">
        <v>2600</v>
      </c>
      <c r="H66" t="s">
        <v>2601</v>
      </c>
      <c r="I66" t="s">
        <v>2600</v>
      </c>
      <c r="L66" t="b">
        <v>0</v>
      </c>
      <c r="M66" t="s">
        <v>50</v>
      </c>
      <c r="N66" t="s">
        <v>241</v>
      </c>
      <c r="P66" t="s">
        <v>33</v>
      </c>
      <c r="Q66">
        <v>1</v>
      </c>
      <c r="R66">
        <v>13</v>
      </c>
      <c r="S66">
        <v>100.587818</v>
      </c>
      <c r="T66">
        <v>287000</v>
      </c>
      <c r="U66">
        <v>287000</v>
      </c>
      <c r="V66">
        <v>1</v>
      </c>
      <c r="W66">
        <v>0</v>
      </c>
      <c r="X66">
        <v>11791361116.07</v>
      </c>
      <c r="Y66">
        <v>11791361116.07</v>
      </c>
      <c r="Z66" t="s">
        <v>2438</v>
      </c>
    </row>
    <row r="67" spans="1:26" x14ac:dyDescent="0.25">
      <c r="A67">
        <v>20</v>
      </c>
      <c r="B67" t="s">
        <v>25</v>
      </c>
      <c r="C67" t="s">
        <v>26</v>
      </c>
      <c r="D67" t="s">
        <v>2602</v>
      </c>
      <c r="E67">
        <v>202694</v>
      </c>
      <c r="G67" t="s">
        <v>2603</v>
      </c>
      <c r="H67" t="s">
        <v>2604</v>
      </c>
      <c r="I67" t="s">
        <v>2603</v>
      </c>
      <c r="L67" t="b">
        <v>0</v>
      </c>
      <c r="M67" t="s">
        <v>50</v>
      </c>
      <c r="N67" t="s">
        <v>241</v>
      </c>
      <c r="P67" t="s">
        <v>33</v>
      </c>
      <c r="Q67">
        <v>1</v>
      </c>
      <c r="R67">
        <v>14</v>
      </c>
      <c r="S67">
        <v>100.622046</v>
      </c>
      <c r="T67">
        <v>124781</v>
      </c>
      <c r="U67">
        <v>124781</v>
      </c>
      <c r="V67">
        <v>1</v>
      </c>
      <c r="W67">
        <v>0</v>
      </c>
      <c r="X67">
        <v>5128357466.9900017</v>
      </c>
      <c r="Y67">
        <v>5128357466.9900017</v>
      </c>
      <c r="Z67" t="s">
        <v>2438</v>
      </c>
    </row>
    <row r="68" spans="1:26" x14ac:dyDescent="0.25">
      <c r="A68">
        <v>20</v>
      </c>
      <c r="B68" t="s">
        <v>25</v>
      </c>
      <c r="C68" t="s">
        <v>26</v>
      </c>
      <c r="D68" t="s">
        <v>2605</v>
      </c>
      <c r="E68">
        <v>211461</v>
      </c>
      <c r="G68" t="s">
        <v>2606</v>
      </c>
      <c r="H68" t="s">
        <v>2598</v>
      </c>
      <c r="I68" t="s">
        <v>2606</v>
      </c>
      <c r="L68" t="b">
        <v>0</v>
      </c>
      <c r="M68" t="s">
        <v>50</v>
      </c>
      <c r="N68" t="s">
        <v>241</v>
      </c>
      <c r="P68" t="s">
        <v>33</v>
      </c>
      <c r="Q68">
        <v>1</v>
      </c>
      <c r="R68">
        <v>14</v>
      </c>
      <c r="S68">
        <v>100.210542</v>
      </c>
      <c r="T68">
        <v>480308</v>
      </c>
      <c r="U68">
        <v>480308</v>
      </c>
      <c r="V68">
        <v>1</v>
      </c>
      <c r="W68">
        <v>0</v>
      </c>
      <c r="X68">
        <v>19659383689.220001</v>
      </c>
      <c r="Y68">
        <v>19659383689.220001</v>
      </c>
      <c r="Z68" t="s">
        <v>2438</v>
      </c>
    </row>
    <row r="69" spans="1:26" x14ac:dyDescent="0.25">
      <c r="A69">
        <v>20</v>
      </c>
      <c r="B69" t="s">
        <v>25</v>
      </c>
      <c r="C69" t="s">
        <v>26</v>
      </c>
      <c r="D69" t="s">
        <v>2607</v>
      </c>
      <c r="E69">
        <v>202077</v>
      </c>
      <c r="G69" t="s">
        <v>2608</v>
      </c>
      <c r="H69" t="s">
        <v>2529</v>
      </c>
      <c r="I69" t="s">
        <v>2608</v>
      </c>
      <c r="L69" t="b">
        <v>0</v>
      </c>
      <c r="M69" t="s">
        <v>50</v>
      </c>
      <c r="N69" t="s">
        <v>241</v>
      </c>
      <c r="P69" t="s">
        <v>33</v>
      </c>
      <c r="Q69">
        <v>1</v>
      </c>
      <c r="R69">
        <v>14</v>
      </c>
      <c r="S69">
        <v>100.59031899999999</v>
      </c>
      <c r="T69">
        <v>1432982</v>
      </c>
      <c r="U69">
        <v>1432982</v>
      </c>
      <c r="V69">
        <v>1</v>
      </c>
      <c r="W69">
        <v>0</v>
      </c>
      <c r="X69">
        <v>58875361886.010017</v>
      </c>
      <c r="Y69">
        <v>58875361886.010017</v>
      </c>
      <c r="Z69" t="s">
        <v>2438</v>
      </c>
    </row>
    <row r="70" spans="1:26" x14ac:dyDescent="0.25">
      <c r="A70">
        <v>17</v>
      </c>
      <c r="B70" t="s">
        <v>124</v>
      </c>
      <c r="C70" t="s">
        <v>32</v>
      </c>
      <c r="D70" t="s">
        <v>2609</v>
      </c>
      <c r="E70">
        <v>116575</v>
      </c>
      <c r="G70" t="s">
        <v>2610</v>
      </c>
      <c r="H70" t="s">
        <v>2611</v>
      </c>
      <c r="I70" t="s">
        <v>2610</v>
      </c>
      <c r="L70" t="b">
        <v>0</v>
      </c>
      <c r="M70" t="s">
        <v>81</v>
      </c>
      <c r="N70" t="s">
        <v>129</v>
      </c>
      <c r="P70" t="s">
        <v>33</v>
      </c>
      <c r="Q70">
        <v>1</v>
      </c>
      <c r="R70">
        <v>3</v>
      </c>
      <c r="S70">
        <v>98.43</v>
      </c>
      <c r="T70">
        <v>68479250000</v>
      </c>
      <c r="U70">
        <v>68479250000</v>
      </c>
      <c r="V70">
        <v>1</v>
      </c>
      <c r="W70">
        <v>3846241.1</v>
      </c>
      <c r="X70">
        <v>10690311.710000001</v>
      </c>
      <c r="Y70">
        <v>14536552.810000001</v>
      </c>
      <c r="Z70" t="s">
        <v>2438</v>
      </c>
    </row>
    <row r="71" spans="1:26" x14ac:dyDescent="0.25">
      <c r="A71">
        <v>17</v>
      </c>
      <c r="B71" t="s">
        <v>124</v>
      </c>
      <c r="C71" t="s">
        <v>32</v>
      </c>
      <c r="D71" t="s">
        <v>2612</v>
      </c>
      <c r="E71">
        <v>226997</v>
      </c>
      <c r="G71" t="s">
        <v>2613</v>
      </c>
      <c r="H71" t="s">
        <v>104</v>
      </c>
      <c r="I71" t="s">
        <v>2613</v>
      </c>
      <c r="L71" t="b">
        <v>0</v>
      </c>
      <c r="M71" t="s">
        <v>50</v>
      </c>
      <c r="N71" t="s">
        <v>26</v>
      </c>
      <c r="P71" t="s">
        <v>33</v>
      </c>
      <c r="Q71">
        <v>1</v>
      </c>
      <c r="R71">
        <v>8</v>
      </c>
      <c r="S71">
        <v>99.964100000000002</v>
      </c>
      <c r="T71">
        <v>3000000000</v>
      </c>
      <c r="U71">
        <v>3000000000</v>
      </c>
      <c r="V71">
        <v>1</v>
      </c>
      <c r="W71">
        <v>0</v>
      </c>
      <c r="X71">
        <v>3230136.15</v>
      </c>
      <c r="Y71">
        <v>3230136.15</v>
      </c>
      <c r="Z71" t="s">
        <v>2438</v>
      </c>
    </row>
    <row r="72" spans="1:26" x14ac:dyDescent="0.25">
      <c r="A72">
        <v>17</v>
      </c>
      <c r="B72" t="s">
        <v>124</v>
      </c>
      <c r="C72" t="s">
        <v>32</v>
      </c>
      <c r="D72" t="s">
        <v>2614</v>
      </c>
      <c r="E72">
        <v>227578</v>
      </c>
      <c r="G72" t="s">
        <v>2615</v>
      </c>
      <c r="H72" t="s">
        <v>104</v>
      </c>
      <c r="I72" t="s">
        <v>2615</v>
      </c>
      <c r="L72" t="b">
        <v>0</v>
      </c>
      <c r="M72" t="s">
        <v>50</v>
      </c>
      <c r="N72" t="s">
        <v>26</v>
      </c>
      <c r="P72" t="s">
        <v>33</v>
      </c>
      <c r="Q72">
        <v>1</v>
      </c>
      <c r="R72">
        <v>8</v>
      </c>
      <c r="S72">
        <v>99.876199999999997</v>
      </c>
      <c r="T72">
        <v>2000000000</v>
      </c>
      <c r="U72">
        <v>2000000000</v>
      </c>
      <c r="V72">
        <v>1</v>
      </c>
      <c r="W72">
        <v>0</v>
      </c>
      <c r="X72">
        <v>2151530.56</v>
      </c>
      <c r="Y72">
        <v>2151530.56</v>
      </c>
      <c r="Z72" t="s">
        <v>2438</v>
      </c>
    </row>
    <row r="73" spans="1:26" x14ac:dyDescent="0.25">
      <c r="A73">
        <v>20</v>
      </c>
      <c r="B73" t="s">
        <v>25</v>
      </c>
      <c r="C73" t="s">
        <v>26</v>
      </c>
      <c r="D73" t="s">
        <v>2616</v>
      </c>
      <c r="E73">
        <v>138491</v>
      </c>
      <c r="G73" t="s">
        <v>2617</v>
      </c>
      <c r="H73" t="s">
        <v>1317</v>
      </c>
      <c r="I73" t="s">
        <v>2617</v>
      </c>
      <c r="L73" t="b">
        <v>0</v>
      </c>
      <c r="M73" t="s">
        <v>50</v>
      </c>
      <c r="N73" t="s">
        <v>26</v>
      </c>
      <c r="P73" t="s">
        <v>33</v>
      </c>
      <c r="Q73">
        <v>1</v>
      </c>
      <c r="R73">
        <v>3</v>
      </c>
      <c r="S73">
        <v>102.8789581068</v>
      </c>
      <c r="T73">
        <v>7040876143</v>
      </c>
      <c r="U73">
        <v>8120749916</v>
      </c>
      <c r="V73">
        <v>0.86699999999999999</v>
      </c>
      <c r="W73">
        <v>54584223.43</v>
      </c>
      <c r="X73">
        <v>7243580017.5100012</v>
      </c>
      <c r="Y73">
        <v>7298164240.9400005</v>
      </c>
      <c r="Z73" t="s">
        <v>2618</v>
      </c>
    </row>
    <row r="74" spans="1:26" x14ac:dyDescent="0.25">
      <c r="A74">
        <v>20</v>
      </c>
      <c r="B74" t="s">
        <v>25</v>
      </c>
      <c r="C74" t="s">
        <v>26</v>
      </c>
      <c r="D74" t="s">
        <v>2619</v>
      </c>
      <c r="E74">
        <v>149084</v>
      </c>
      <c r="G74" t="s">
        <v>2620</v>
      </c>
      <c r="H74" t="s">
        <v>1313</v>
      </c>
      <c r="I74" t="s">
        <v>2620</v>
      </c>
      <c r="L74" t="b">
        <v>0</v>
      </c>
      <c r="M74" t="s">
        <v>50</v>
      </c>
      <c r="N74" t="s">
        <v>26</v>
      </c>
      <c r="P74" t="s">
        <v>33</v>
      </c>
      <c r="Q74">
        <v>1</v>
      </c>
      <c r="R74">
        <v>3</v>
      </c>
      <c r="S74">
        <v>99.983796713299995</v>
      </c>
      <c r="T74">
        <v>4855159442</v>
      </c>
      <c r="U74">
        <v>4855159442</v>
      </c>
      <c r="V74">
        <v>1</v>
      </c>
      <c r="W74">
        <v>56310289.850000001</v>
      </c>
      <c r="X74">
        <v>4854372746.5999994</v>
      </c>
      <c r="Y74">
        <v>4910683036.4499998</v>
      </c>
      <c r="Z74" t="s">
        <v>2618</v>
      </c>
    </row>
    <row r="75" spans="1:26" x14ac:dyDescent="0.25">
      <c r="A75">
        <v>20</v>
      </c>
      <c r="B75" t="s">
        <v>25</v>
      </c>
      <c r="C75" t="s">
        <v>26</v>
      </c>
      <c r="D75" t="s">
        <v>2621</v>
      </c>
      <c r="E75">
        <v>200006</v>
      </c>
      <c r="G75" t="s">
        <v>2622</v>
      </c>
      <c r="H75" t="s">
        <v>93</v>
      </c>
      <c r="I75" t="s">
        <v>2622</v>
      </c>
      <c r="L75" t="b">
        <v>0</v>
      </c>
      <c r="M75" t="s">
        <v>50</v>
      </c>
      <c r="N75" t="s">
        <v>26</v>
      </c>
      <c r="P75" t="s">
        <v>33</v>
      </c>
      <c r="Q75">
        <v>1</v>
      </c>
      <c r="R75">
        <v>3</v>
      </c>
      <c r="S75">
        <v>93.0898594879</v>
      </c>
      <c r="T75">
        <v>21850164592</v>
      </c>
      <c r="U75">
        <v>21850164592</v>
      </c>
      <c r="V75">
        <v>1</v>
      </c>
      <c r="W75">
        <v>200196063.58000001</v>
      </c>
      <c r="X75">
        <v>20340287516.57</v>
      </c>
      <c r="Y75">
        <v>20540483580.150002</v>
      </c>
      <c r="Z75" t="s">
        <v>2618</v>
      </c>
    </row>
    <row r="76" spans="1:26" x14ac:dyDescent="0.25">
      <c r="A76">
        <v>20</v>
      </c>
      <c r="B76" t="s">
        <v>25</v>
      </c>
      <c r="C76" t="s">
        <v>26</v>
      </c>
      <c r="D76" t="s">
        <v>2623</v>
      </c>
      <c r="E76">
        <v>160716</v>
      </c>
      <c r="G76" t="s">
        <v>2624</v>
      </c>
      <c r="H76" t="s">
        <v>1076</v>
      </c>
      <c r="I76" t="s">
        <v>2624</v>
      </c>
      <c r="L76" t="b">
        <v>0</v>
      </c>
      <c r="M76" t="s">
        <v>50</v>
      </c>
      <c r="N76" t="s">
        <v>26</v>
      </c>
      <c r="P76" t="s">
        <v>33</v>
      </c>
      <c r="Q76">
        <v>1</v>
      </c>
      <c r="R76">
        <v>3</v>
      </c>
      <c r="S76">
        <v>0</v>
      </c>
      <c r="T76">
        <v>5634741663.2600002</v>
      </c>
      <c r="U76">
        <v>5634741663.2600002</v>
      </c>
      <c r="V76">
        <v>1</v>
      </c>
      <c r="W76">
        <v>0</v>
      </c>
      <c r="X76">
        <v>0</v>
      </c>
      <c r="Y76">
        <v>0</v>
      </c>
      <c r="Z76" t="s">
        <v>2618</v>
      </c>
    </row>
    <row r="77" spans="1:26" x14ac:dyDescent="0.25">
      <c r="A77">
        <v>20</v>
      </c>
      <c r="B77" t="s">
        <v>25</v>
      </c>
      <c r="C77" t="s">
        <v>26</v>
      </c>
      <c r="D77" t="s">
        <v>2625</v>
      </c>
      <c r="E77">
        <v>623</v>
      </c>
      <c r="G77" t="s">
        <v>2626</v>
      </c>
      <c r="H77" t="s">
        <v>2627</v>
      </c>
      <c r="I77" t="s">
        <v>2626</v>
      </c>
      <c r="L77" t="b">
        <v>0</v>
      </c>
      <c r="M77" t="s">
        <v>50</v>
      </c>
      <c r="N77" t="s">
        <v>26</v>
      </c>
      <c r="P77" t="s">
        <v>33</v>
      </c>
      <c r="Q77">
        <v>1</v>
      </c>
      <c r="R77">
        <v>3</v>
      </c>
      <c r="S77">
        <v>0.1192</v>
      </c>
      <c r="T77">
        <v>1190091084</v>
      </c>
      <c r="U77">
        <v>1190091084</v>
      </c>
      <c r="V77">
        <v>1</v>
      </c>
      <c r="W77">
        <v>0</v>
      </c>
      <c r="X77">
        <v>1418588.57</v>
      </c>
      <c r="Y77">
        <v>1418588.57</v>
      </c>
      <c r="Z77" t="s">
        <v>2618</v>
      </c>
    </row>
    <row r="78" spans="1:26" x14ac:dyDescent="0.25">
      <c r="A78">
        <v>20</v>
      </c>
      <c r="B78" t="s">
        <v>25</v>
      </c>
      <c r="C78" t="s">
        <v>26</v>
      </c>
      <c r="D78" t="s">
        <v>2628</v>
      </c>
      <c r="E78">
        <v>624</v>
      </c>
      <c r="G78" t="s">
        <v>2629</v>
      </c>
      <c r="H78" t="s">
        <v>2627</v>
      </c>
      <c r="I78" t="s">
        <v>2629</v>
      </c>
      <c r="L78" t="b">
        <v>0</v>
      </c>
      <c r="M78" t="s">
        <v>50</v>
      </c>
      <c r="N78" t="s">
        <v>26</v>
      </c>
      <c r="P78" t="s">
        <v>33</v>
      </c>
      <c r="Q78">
        <v>1</v>
      </c>
      <c r="R78">
        <v>3</v>
      </c>
      <c r="S78">
        <v>0.1192</v>
      </c>
      <c r="T78">
        <v>4362724950</v>
      </c>
      <c r="U78">
        <v>4362724950</v>
      </c>
      <c r="V78">
        <v>1</v>
      </c>
      <c r="W78">
        <v>0</v>
      </c>
      <c r="X78">
        <v>5200368.1399999997</v>
      </c>
      <c r="Y78">
        <v>5200368.1399999997</v>
      </c>
      <c r="Z78" t="s">
        <v>2618</v>
      </c>
    </row>
    <row r="79" spans="1:26" x14ac:dyDescent="0.25">
      <c r="A79">
        <v>20</v>
      </c>
      <c r="B79" t="s">
        <v>25</v>
      </c>
      <c r="C79" t="s">
        <v>26</v>
      </c>
      <c r="D79" t="s">
        <v>2630</v>
      </c>
      <c r="E79">
        <v>16567</v>
      </c>
      <c r="G79" t="s">
        <v>2631</v>
      </c>
      <c r="H79" t="s">
        <v>2632</v>
      </c>
      <c r="I79" t="s">
        <v>2631</v>
      </c>
      <c r="L79" t="b">
        <v>0</v>
      </c>
      <c r="M79" t="s">
        <v>50</v>
      </c>
      <c r="N79" t="s">
        <v>26</v>
      </c>
      <c r="P79" t="s">
        <v>33</v>
      </c>
      <c r="Q79">
        <v>1</v>
      </c>
      <c r="R79">
        <v>3</v>
      </c>
      <c r="S79">
        <v>101.57470000000001</v>
      </c>
      <c r="T79">
        <v>1200000000</v>
      </c>
      <c r="U79">
        <v>2000000000</v>
      </c>
      <c r="V79">
        <v>0.6</v>
      </c>
      <c r="W79">
        <v>0</v>
      </c>
      <c r="X79">
        <v>1218896400</v>
      </c>
      <c r="Y79">
        <v>1218896400</v>
      </c>
      <c r="Z79" t="s">
        <v>2618</v>
      </c>
    </row>
    <row r="80" spans="1:26" x14ac:dyDescent="0.25">
      <c r="A80">
        <v>20</v>
      </c>
      <c r="B80" t="s">
        <v>25</v>
      </c>
      <c r="C80" t="s">
        <v>26</v>
      </c>
      <c r="D80" t="s">
        <v>2633</v>
      </c>
      <c r="E80">
        <v>3629</v>
      </c>
      <c r="G80" t="s">
        <v>2634</v>
      </c>
      <c r="H80" t="s">
        <v>2635</v>
      </c>
      <c r="I80" t="s">
        <v>2634</v>
      </c>
      <c r="L80" t="b">
        <v>0</v>
      </c>
      <c r="M80" t="s">
        <v>50</v>
      </c>
      <c r="N80" t="s">
        <v>241</v>
      </c>
      <c r="P80" t="s">
        <v>33</v>
      </c>
      <c r="Q80">
        <v>1</v>
      </c>
      <c r="R80">
        <v>3</v>
      </c>
      <c r="S80">
        <v>103.644351558</v>
      </c>
      <c r="T80">
        <v>9000</v>
      </c>
      <c r="U80">
        <v>9000</v>
      </c>
      <c r="V80">
        <v>1</v>
      </c>
      <c r="W80">
        <v>4745266.01</v>
      </c>
      <c r="X80">
        <v>380999792.67000002</v>
      </c>
      <c r="Y80">
        <v>385745058.68000001</v>
      </c>
      <c r="Z80" t="s">
        <v>2618</v>
      </c>
    </row>
    <row r="81" spans="1:26" x14ac:dyDescent="0.25">
      <c r="A81">
        <v>20</v>
      </c>
      <c r="B81" t="s">
        <v>25</v>
      </c>
      <c r="C81" t="s">
        <v>26</v>
      </c>
      <c r="D81" t="s">
        <v>2636</v>
      </c>
      <c r="E81">
        <v>172917</v>
      </c>
      <c r="G81" t="s">
        <v>2637</v>
      </c>
      <c r="H81" t="s">
        <v>2638</v>
      </c>
      <c r="I81" t="s">
        <v>2637</v>
      </c>
      <c r="L81" t="b">
        <v>0</v>
      </c>
      <c r="M81" t="s">
        <v>50</v>
      </c>
      <c r="N81" t="s">
        <v>241</v>
      </c>
      <c r="P81" t="s">
        <v>33</v>
      </c>
      <c r="Q81">
        <v>1</v>
      </c>
      <c r="R81">
        <v>3</v>
      </c>
      <c r="S81">
        <v>105.21445621140001</v>
      </c>
      <c r="T81">
        <v>48500</v>
      </c>
      <c r="U81">
        <v>50000</v>
      </c>
      <c r="V81">
        <v>0.97</v>
      </c>
      <c r="W81">
        <v>10757780.210000001</v>
      </c>
      <c r="X81">
        <v>2084269197.3599999</v>
      </c>
      <c r="Y81">
        <v>2095026977.5699999</v>
      </c>
      <c r="Z81" t="s">
        <v>2618</v>
      </c>
    </row>
    <row r="82" spans="1:26" x14ac:dyDescent="0.25">
      <c r="A82">
        <v>20</v>
      </c>
      <c r="B82" t="s">
        <v>25</v>
      </c>
      <c r="C82" t="s">
        <v>26</v>
      </c>
      <c r="D82" t="s">
        <v>2639</v>
      </c>
      <c r="E82">
        <v>193918</v>
      </c>
      <c r="G82" t="s">
        <v>2640</v>
      </c>
      <c r="H82" t="s">
        <v>1449</v>
      </c>
      <c r="I82" t="s">
        <v>2640</v>
      </c>
      <c r="L82" t="b">
        <v>0</v>
      </c>
      <c r="M82" t="s">
        <v>50</v>
      </c>
      <c r="N82" t="s">
        <v>241</v>
      </c>
      <c r="P82" t="s">
        <v>33</v>
      </c>
      <c r="Q82">
        <v>1</v>
      </c>
      <c r="R82">
        <v>3</v>
      </c>
      <c r="S82">
        <v>102.2206736321</v>
      </c>
      <c r="T82">
        <v>702356</v>
      </c>
      <c r="U82">
        <v>702356</v>
      </c>
      <c r="V82">
        <v>1</v>
      </c>
      <c r="W82">
        <v>40162616.649999999</v>
      </c>
      <c r="X82">
        <v>29324640740.220001</v>
      </c>
      <c r="Y82">
        <v>29364803356.869999</v>
      </c>
      <c r="Z82" t="s">
        <v>2618</v>
      </c>
    </row>
    <row r="83" spans="1:26" x14ac:dyDescent="0.25">
      <c r="A83">
        <v>20</v>
      </c>
      <c r="B83" t="s">
        <v>25</v>
      </c>
      <c r="C83" t="s">
        <v>26</v>
      </c>
      <c r="D83" t="s">
        <v>2641</v>
      </c>
      <c r="E83">
        <v>160761</v>
      </c>
      <c r="G83" t="s">
        <v>2642</v>
      </c>
      <c r="H83" t="s">
        <v>2632</v>
      </c>
      <c r="I83" t="s">
        <v>2642</v>
      </c>
      <c r="L83" t="b">
        <v>0</v>
      </c>
      <c r="M83" t="s">
        <v>50</v>
      </c>
      <c r="N83" t="s">
        <v>241</v>
      </c>
      <c r="P83" t="s">
        <v>33</v>
      </c>
      <c r="Q83">
        <v>1</v>
      </c>
      <c r="R83">
        <v>3</v>
      </c>
      <c r="S83">
        <v>103.83037126000001</v>
      </c>
      <c r="T83">
        <v>61075</v>
      </c>
      <c r="U83">
        <v>70000</v>
      </c>
      <c r="V83">
        <v>0.87250000000000005</v>
      </c>
      <c r="W83">
        <v>20534263.260000002</v>
      </c>
      <c r="X83">
        <v>2590147850.98</v>
      </c>
      <c r="Y83">
        <v>2610682114.2399998</v>
      </c>
      <c r="Z83" t="s">
        <v>2618</v>
      </c>
    </row>
    <row r="84" spans="1:26" x14ac:dyDescent="0.25">
      <c r="A84">
        <v>20</v>
      </c>
      <c r="B84" t="s">
        <v>25</v>
      </c>
      <c r="C84" t="s">
        <v>26</v>
      </c>
      <c r="D84" t="s">
        <v>2643</v>
      </c>
      <c r="E84">
        <v>128457</v>
      </c>
      <c r="G84" t="s">
        <v>2644</v>
      </c>
      <c r="H84" t="s">
        <v>2645</v>
      </c>
      <c r="I84" t="s">
        <v>2644</v>
      </c>
      <c r="L84" t="b">
        <v>0</v>
      </c>
      <c r="M84" t="s">
        <v>50</v>
      </c>
      <c r="N84" t="s">
        <v>241</v>
      </c>
      <c r="P84" t="s">
        <v>33</v>
      </c>
      <c r="Q84">
        <v>1</v>
      </c>
      <c r="R84">
        <v>3</v>
      </c>
      <c r="S84">
        <v>105.4185264724</v>
      </c>
      <c r="T84">
        <v>6000</v>
      </c>
      <c r="U84">
        <v>6000</v>
      </c>
      <c r="V84">
        <v>1</v>
      </c>
      <c r="W84">
        <v>5192802.38</v>
      </c>
      <c r="X84">
        <v>258347789.68000001</v>
      </c>
      <c r="Y84">
        <v>263540592.06</v>
      </c>
      <c r="Z84" t="s">
        <v>2618</v>
      </c>
    </row>
    <row r="85" spans="1:26" x14ac:dyDescent="0.25">
      <c r="A85">
        <v>20</v>
      </c>
      <c r="B85" t="s">
        <v>25</v>
      </c>
      <c r="C85" t="s">
        <v>26</v>
      </c>
      <c r="D85" t="s">
        <v>2646</v>
      </c>
      <c r="E85">
        <v>135584</v>
      </c>
      <c r="G85" t="s">
        <v>2647</v>
      </c>
      <c r="H85" t="s">
        <v>2645</v>
      </c>
      <c r="I85" t="s">
        <v>2647</v>
      </c>
      <c r="L85" t="b">
        <v>0</v>
      </c>
      <c r="M85" t="s">
        <v>50</v>
      </c>
      <c r="N85" t="s">
        <v>241</v>
      </c>
      <c r="P85" t="s">
        <v>33</v>
      </c>
      <c r="Q85">
        <v>1</v>
      </c>
      <c r="R85">
        <v>3</v>
      </c>
      <c r="S85">
        <v>102.9547483928</v>
      </c>
      <c r="T85">
        <v>35000</v>
      </c>
      <c r="U85">
        <v>35000</v>
      </c>
      <c r="V85">
        <v>1</v>
      </c>
      <c r="W85">
        <v>17880388.859999999</v>
      </c>
      <c r="X85">
        <v>1471807698.03</v>
      </c>
      <c r="Y85">
        <v>1489688086.8900001</v>
      </c>
      <c r="Z85" t="s">
        <v>2618</v>
      </c>
    </row>
    <row r="86" spans="1:26" x14ac:dyDescent="0.25">
      <c r="A86">
        <v>20</v>
      </c>
      <c r="B86" t="s">
        <v>25</v>
      </c>
      <c r="C86" t="s">
        <v>26</v>
      </c>
      <c r="D86" t="s">
        <v>2648</v>
      </c>
      <c r="E86">
        <v>186267</v>
      </c>
      <c r="G86" t="s">
        <v>2649</v>
      </c>
      <c r="H86" t="s">
        <v>218</v>
      </c>
      <c r="I86" t="s">
        <v>2649</v>
      </c>
      <c r="L86" t="b">
        <v>0</v>
      </c>
      <c r="M86" t="s">
        <v>50</v>
      </c>
      <c r="N86" t="s">
        <v>241</v>
      </c>
      <c r="P86" t="s">
        <v>33</v>
      </c>
      <c r="Q86">
        <v>1</v>
      </c>
      <c r="R86">
        <v>3</v>
      </c>
      <c r="S86">
        <v>100.6289239972</v>
      </c>
      <c r="T86">
        <v>150000</v>
      </c>
      <c r="U86">
        <v>150000</v>
      </c>
      <c r="V86">
        <v>1</v>
      </c>
      <c r="W86">
        <v>52251276.240000002</v>
      </c>
      <c r="X86">
        <v>6165251066.4399996</v>
      </c>
      <c r="Y86">
        <v>6217502342.6799994</v>
      </c>
      <c r="Z86" t="s">
        <v>2618</v>
      </c>
    </row>
    <row r="87" spans="1:26" x14ac:dyDescent="0.25">
      <c r="A87">
        <v>20</v>
      </c>
      <c r="B87" t="s">
        <v>25</v>
      </c>
      <c r="C87" t="s">
        <v>26</v>
      </c>
      <c r="D87" t="s">
        <v>2650</v>
      </c>
      <c r="E87">
        <v>198616</v>
      </c>
      <c r="G87" t="s">
        <v>2651</v>
      </c>
      <c r="H87" t="s">
        <v>2652</v>
      </c>
      <c r="I87" t="s">
        <v>2651</v>
      </c>
      <c r="L87" t="b">
        <v>0</v>
      </c>
      <c r="M87" t="s">
        <v>50</v>
      </c>
      <c r="N87" t="s">
        <v>241</v>
      </c>
      <c r="P87" t="s">
        <v>33</v>
      </c>
      <c r="Q87">
        <v>1</v>
      </c>
      <c r="R87">
        <v>3</v>
      </c>
      <c r="S87">
        <v>99.906165285900002</v>
      </c>
      <c r="T87">
        <v>150000</v>
      </c>
      <c r="U87">
        <v>150000</v>
      </c>
      <c r="V87">
        <v>1</v>
      </c>
      <c r="W87">
        <v>66412198.969999999</v>
      </c>
      <c r="X87">
        <v>6120969595.8100004</v>
      </c>
      <c r="Y87">
        <v>6187381794.7800007</v>
      </c>
      <c r="Z87" t="s">
        <v>2618</v>
      </c>
    </row>
    <row r="88" spans="1:26" x14ac:dyDescent="0.25">
      <c r="A88">
        <v>20</v>
      </c>
      <c r="B88" t="s">
        <v>25</v>
      </c>
      <c r="C88" t="s">
        <v>26</v>
      </c>
      <c r="D88" t="s">
        <v>2653</v>
      </c>
      <c r="E88">
        <v>138369</v>
      </c>
      <c r="G88" t="s">
        <v>2654</v>
      </c>
      <c r="H88" t="s">
        <v>1435</v>
      </c>
      <c r="I88" t="s">
        <v>2654</v>
      </c>
      <c r="L88" t="b">
        <v>0</v>
      </c>
      <c r="M88" t="s">
        <v>50</v>
      </c>
      <c r="N88" t="s">
        <v>241</v>
      </c>
      <c r="P88" t="s">
        <v>33</v>
      </c>
      <c r="Q88">
        <v>1</v>
      </c>
      <c r="R88">
        <v>3</v>
      </c>
      <c r="S88">
        <v>104.37280140990001</v>
      </c>
      <c r="T88">
        <v>42000</v>
      </c>
      <c r="U88">
        <v>42000</v>
      </c>
      <c r="V88">
        <v>1</v>
      </c>
      <c r="W88">
        <v>10398427.289999999</v>
      </c>
      <c r="X88">
        <v>1790495904.4200001</v>
      </c>
      <c r="Y88">
        <v>1800894331.71</v>
      </c>
      <c r="Z88" t="s">
        <v>2618</v>
      </c>
    </row>
    <row r="89" spans="1:26" x14ac:dyDescent="0.25">
      <c r="A89">
        <v>20</v>
      </c>
      <c r="B89" t="s">
        <v>25</v>
      </c>
      <c r="C89" t="s">
        <v>26</v>
      </c>
      <c r="D89" t="s">
        <v>2655</v>
      </c>
      <c r="E89">
        <v>132025</v>
      </c>
      <c r="G89" t="s">
        <v>2656</v>
      </c>
      <c r="H89" t="s">
        <v>2657</v>
      </c>
      <c r="I89" t="s">
        <v>2656</v>
      </c>
      <c r="L89" t="b">
        <v>0</v>
      </c>
      <c r="M89" t="s">
        <v>50</v>
      </c>
      <c r="N89" t="s">
        <v>241</v>
      </c>
      <c r="P89" t="s">
        <v>33</v>
      </c>
      <c r="Q89">
        <v>1</v>
      </c>
      <c r="R89">
        <v>3</v>
      </c>
      <c r="S89">
        <v>101.81414426720001</v>
      </c>
      <c r="T89">
        <v>80000</v>
      </c>
      <c r="U89">
        <v>80000</v>
      </c>
      <c r="V89">
        <v>1</v>
      </c>
      <c r="W89">
        <v>39905250.909999996</v>
      </c>
      <c r="X89">
        <v>3326862060.6199999</v>
      </c>
      <c r="Y89">
        <v>3366767311.5300002</v>
      </c>
      <c r="Z89" t="s">
        <v>2618</v>
      </c>
    </row>
    <row r="90" spans="1:26" x14ac:dyDescent="0.25">
      <c r="A90">
        <v>20</v>
      </c>
      <c r="B90" t="s">
        <v>25</v>
      </c>
      <c r="C90" t="s">
        <v>26</v>
      </c>
      <c r="D90" t="s">
        <v>2658</v>
      </c>
      <c r="E90">
        <v>3371</v>
      </c>
      <c r="G90" t="s">
        <v>2659</v>
      </c>
      <c r="H90" t="s">
        <v>1449</v>
      </c>
      <c r="I90" t="s">
        <v>2659</v>
      </c>
      <c r="L90" t="b">
        <v>0</v>
      </c>
      <c r="M90" t="s">
        <v>50</v>
      </c>
      <c r="N90" t="s">
        <v>241</v>
      </c>
      <c r="P90" t="s">
        <v>33</v>
      </c>
      <c r="Q90">
        <v>1</v>
      </c>
      <c r="R90">
        <v>3</v>
      </c>
      <c r="S90">
        <v>91.058000616100003</v>
      </c>
      <c r="T90">
        <v>131363.59099999999</v>
      </c>
      <c r="U90">
        <v>170000</v>
      </c>
      <c r="V90">
        <v>0.77270000000000005</v>
      </c>
      <c r="W90">
        <v>34981033.030000001</v>
      </c>
      <c r="X90">
        <v>4885733696.1199989</v>
      </c>
      <c r="Y90">
        <v>4920714729.1499987</v>
      </c>
      <c r="Z90" t="s">
        <v>2618</v>
      </c>
    </row>
    <row r="91" spans="1:26" x14ac:dyDescent="0.25">
      <c r="A91">
        <v>20</v>
      </c>
      <c r="B91" t="s">
        <v>25</v>
      </c>
      <c r="C91" t="s">
        <v>26</v>
      </c>
      <c r="D91" t="s">
        <v>2660</v>
      </c>
      <c r="E91">
        <v>198727</v>
      </c>
      <c r="G91" t="s">
        <v>2661</v>
      </c>
      <c r="H91" t="s">
        <v>2662</v>
      </c>
      <c r="I91" t="s">
        <v>2661</v>
      </c>
      <c r="L91" t="b">
        <v>0</v>
      </c>
      <c r="M91" t="s">
        <v>50</v>
      </c>
      <c r="N91" t="s">
        <v>241</v>
      </c>
      <c r="P91" t="s">
        <v>33</v>
      </c>
      <c r="Q91">
        <v>1</v>
      </c>
      <c r="R91">
        <v>3</v>
      </c>
      <c r="S91">
        <v>92.8398473763</v>
      </c>
      <c r="T91">
        <v>179970</v>
      </c>
      <c r="U91">
        <v>179970</v>
      </c>
      <c r="V91">
        <v>1</v>
      </c>
      <c r="W91">
        <v>55939378.420000002</v>
      </c>
      <c r="X91">
        <v>6824505582.54</v>
      </c>
      <c r="Y91">
        <v>6880444960.96</v>
      </c>
      <c r="Z91" t="s">
        <v>2618</v>
      </c>
    </row>
    <row r="92" spans="1:26" x14ac:dyDescent="0.25">
      <c r="A92">
        <v>20</v>
      </c>
      <c r="B92" t="s">
        <v>25</v>
      </c>
      <c r="C92" t="s">
        <v>26</v>
      </c>
      <c r="D92" t="s">
        <v>2663</v>
      </c>
      <c r="E92">
        <v>217389</v>
      </c>
      <c r="G92" t="s">
        <v>2664</v>
      </c>
      <c r="H92" t="s">
        <v>2665</v>
      </c>
      <c r="I92" t="s">
        <v>2664</v>
      </c>
      <c r="L92" t="b">
        <v>0</v>
      </c>
      <c r="M92" t="s">
        <v>50</v>
      </c>
      <c r="N92" t="s">
        <v>241</v>
      </c>
      <c r="P92" t="s">
        <v>33</v>
      </c>
      <c r="Q92">
        <v>1</v>
      </c>
      <c r="R92">
        <v>3</v>
      </c>
      <c r="S92">
        <v>97.119761033499998</v>
      </c>
      <c r="T92">
        <v>55000</v>
      </c>
      <c r="U92">
        <v>55000</v>
      </c>
      <c r="V92">
        <v>1</v>
      </c>
      <c r="W92">
        <v>24510413.879999999</v>
      </c>
      <c r="X92">
        <v>2181759992.8200002</v>
      </c>
      <c r="Y92">
        <v>2206270406.6999998</v>
      </c>
      <c r="Z92" t="s">
        <v>2618</v>
      </c>
    </row>
    <row r="93" spans="1:26" x14ac:dyDescent="0.25">
      <c r="A93">
        <v>20</v>
      </c>
      <c r="B93" t="s">
        <v>25</v>
      </c>
      <c r="C93" t="s">
        <v>26</v>
      </c>
      <c r="D93" t="s">
        <v>2666</v>
      </c>
      <c r="E93">
        <v>219598</v>
      </c>
      <c r="G93" t="s">
        <v>2667</v>
      </c>
      <c r="H93" t="s">
        <v>1442</v>
      </c>
      <c r="I93" t="s">
        <v>2667</v>
      </c>
      <c r="L93" t="b">
        <v>0</v>
      </c>
      <c r="M93" t="s">
        <v>50</v>
      </c>
      <c r="N93" t="s">
        <v>241</v>
      </c>
      <c r="P93" t="s">
        <v>33</v>
      </c>
      <c r="Q93">
        <v>1</v>
      </c>
      <c r="R93">
        <v>3</v>
      </c>
      <c r="S93">
        <v>99.412244641000001</v>
      </c>
      <c r="T93">
        <v>40000</v>
      </c>
      <c r="U93">
        <v>40000</v>
      </c>
      <c r="V93">
        <v>1</v>
      </c>
      <c r="W93">
        <v>10732278.039999999</v>
      </c>
      <c r="X93">
        <v>1624188989.8699999</v>
      </c>
      <c r="Y93">
        <v>1634921267.9100001</v>
      </c>
      <c r="Z93" t="s">
        <v>2618</v>
      </c>
    </row>
    <row r="94" spans="1:26" x14ac:dyDescent="0.25">
      <c r="A94">
        <v>20</v>
      </c>
      <c r="B94" t="s">
        <v>25</v>
      </c>
      <c r="C94" t="s">
        <v>26</v>
      </c>
      <c r="D94" t="s">
        <v>2668</v>
      </c>
      <c r="E94">
        <v>219599</v>
      </c>
      <c r="G94" t="s">
        <v>2669</v>
      </c>
      <c r="H94" t="s">
        <v>1442</v>
      </c>
      <c r="I94" t="s">
        <v>2669</v>
      </c>
      <c r="L94" t="b">
        <v>0</v>
      </c>
      <c r="M94" t="s">
        <v>50</v>
      </c>
      <c r="N94" t="s">
        <v>241</v>
      </c>
      <c r="P94" t="s">
        <v>33</v>
      </c>
      <c r="Q94">
        <v>1</v>
      </c>
      <c r="R94">
        <v>3</v>
      </c>
      <c r="S94">
        <v>95.181630522099994</v>
      </c>
      <c r="T94">
        <v>87000</v>
      </c>
      <c r="U94">
        <v>87000</v>
      </c>
      <c r="V94">
        <v>1</v>
      </c>
      <c r="W94">
        <v>31922651.199999999</v>
      </c>
      <c r="X94">
        <v>3382276187.2199998</v>
      </c>
      <c r="Y94">
        <v>3414198838.4200001</v>
      </c>
      <c r="Z94" t="s">
        <v>2618</v>
      </c>
    </row>
    <row r="95" spans="1:26" x14ac:dyDescent="0.25">
      <c r="A95">
        <v>20</v>
      </c>
      <c r="B95" t="s">
        <v>25</v>
      </c>
      <c r="C95" t="s">
        <v>26</v>
      </c>
      <c r="D95" t="s">
        <v>2670</v>
      </c>
      <c r="E95">
        <v>29738</v>
      </c>
      <c r="G95" t="s">
        <v>2671</v>
      </c>
      <c r="H95" t="s">
        <v>1442</v>
      </c>
      <c r="I95" t="s">
        <v>2671</v>
      </c>
      <c r="L95" t="b">
        <v>0</v>
      </c>
      <c r="M95" t="s">
        <v>50</v>
      </c>
      <c r="N95" t="s">
        <v>241</v>
      </c>
      <c r="P95" t="s">
        <v>33</v>
      </c>
      <c r="Q95">
        <v>1</v>
      </c>
      <c r="R95">
        <v>3</v>
      </c>
      <c r="S95">
        <v>86.527666309099999</v>
      </c>
      <c r="T95">
        <v>1290</v>
      </c>
      <c r="U95">
        <v>1500</v>
      </c>
      <c r="V95">
        <v>0.86</v>
      </c>
      <c r="W95">
        <v>286274.99</v>
      </c>
      <c r="X95">
        <v>45591363.049999967</v>
      </c>
      <c r="Y95">
        <v>45877638.039999977</v>
      </c>
      <c r="Z95" t="s">
        <v>2618</v>
      </c>
    </row>
    <row r="96" spans="1:26" x14ac:dyDescent="0.25">
      <c r="A96">
        <v>20</v>
      </c>
      <c r="B96" t="s">
        <v>25</v>
      </c>
      <c r="C96" t="s">
        <v>26</v>
      </c>
      <c r="D96" t="s">
        <v>2672</v>
      </c>
      <c r="E96">
        <v>131576</v>
      </c>
      <c r="G96" t="s">
        <v>2673</v>
      </c>
      <c r="H96" t="s">
        <v>1916</v>
      </c>
      <c r="I96" t="s">
        <v>2673</v>
      </c>
      <c r="L96" t="b">
        <v>0</v>
      </c>
      <c r="M96" t="s">
        <v>50</v>
      </c>
      <c r="N96" t="s">
        <v>241</v>
      </c>
      <c r="P96" t="s">
        <v>33</v>
      </c>
      <c r="Q96">
        <v>1</v>
      </c>
      <c r="R96">
        <v>3</v>
      </c>
      <c r="S96">
        <v>101.4851185898</v>
      </c>
      <c r="T96">
        <v>36000</v>
      </c>
      <c r="U96">
        <v>36000</v>
      </c>
      <c r="V96">
        <v>1</v>
      </c>
      <c r="W96">
        <v>20538508.57</v>
      </c>
      <c r="X96">
        <v>1492249698.53</v>
      </c>
      <c r="Y96">
        <v>1512788207.0999999</v>
      </c>
      <c r="Z96" t="s">
        <v>2618</v>
      </c>
    </row>
    <row r="97" spans="1:26" x14ac:dyDescent="0.25">
      <c r="A97">
        <v>20</v>
      </c>
      <c r="B97" t="s">
        <v>25</v>
      </c>
      <c r="C97" t="s">
        <v>26</v>
      </c>
      <c r="D97" t="s">
        <v>2674</v>
      </c>
      <c r="E97">
        <v>29441</v>
      </c>
      <c r="G97" t="s">
        <v>2675</v>
      </c>
      <c r="H97" t="s">
        <v>2676</v>
      </c>
      <c r="I97" t="s">
        <v>2675</v>
      </c>
      <c r="L97" t="b">
        <v>0</v>
      </c>
      <c r="M97" t="s">
        <v>50</v>
      </c>
      <c r="N97" t="s">
        <v>241</v>
      </c>
      <c r="P97" t="s">
        <v>33</v>
      </c>
      <c r="Q97">
        <v>1</v>
      </c>
      <c r="R97">
        <v>3</v>
      </c>
      <c r="S97">
        <v>101.6258687341</v>
      </c>
      <c r="T97">
        <v>1</v>
      </c>
      <c r="U97">
        <v>1</v>
      </c>
      <c r="V97">
        <v>1</v>
      </c>
      <c r="W97">
        <v>256.27</v>
      </c>
      <c r="X97">
        <v>41661.689999988383</v>
      </c>
      <c r="Y97">
        <v>41917.959999988372</v>
      </c>
      <c r="Z97" t="s">
        <v>2618</v>
      </c>
    </row>
    <row r="98" spans="1:26" x14ac:dyDescent="0.25">
      <c r="A98">
        <v>20</v>
      </c>
      <c r="B98" t="s">
        <v>25</v>
      </c>
      <c r="C98" t="s">
        <v>26</v>
      </c>
      <c r="D98" t="s">
        <v>2677</v>
      </c>
      <c r="E98">
        <v>150097</v>
      </c>
      <c r="G98" t="s">
        <v>2678</v>
      </c>
      <c r="H98" t="s">
        <v>2662</v>
      </c>
      <c r="I98" t="s">
        <v>2678</v>
      </c>
      <c r="L98" t="b">
        <v>0</v>
      </c>
      <c r="M98" t="s">
        <v>50</v>
      </c>
      <c r="N98" t="s">
        <v>32</v>
      </c>
      <c r="O98" s="8" t="s">
        <v>32</v>
      </c>
      <c r="P98" t="s">
        <v>33</v>
      </c>
      <c r="Q98">
        <v>1</v>
      </c>
      <c r="R98">
        <v>3</v>
      </c>
      <c r="S98">
        <v>96.346576726999999</v>
      </c>
      <c r="T98">
        <v>11164952</v>
      </c>
      <c r="U98">
        <v>11164952</v>
      </c>
      <c r="V98">
        <v>1</v>
      </c>
      <c r="W98">
        <v>14923540.779999999</v>
      </c>
      <c r="X98">
        <v>10013306678.68</v>
      </c>
      <c r="Y98">
        <v>10028230219.459999</v>
      </c>
      <c r="Z98" t="s">
        <v>2618</v>
      </c>
    </row>
    <row r="99" spans="1:26" x14ac:dyDescent="0.25">
      <c r="A99">
        <v>16</v>
      </c>
      <c r="B99" t="s">
        <v>578</v>
      </c>
      <c r="C99" t="s">
        <v>32</v>
      </c>
      <c r="D99" t="s">
        <v>2486</v>
      </c>
      <c r="E99">
        <v>177298</v>
      </c>
      <c r="G99" t="s">
        <v>2487</v>
      </c>
      <c r="H99" t="s">
        <v>987</v>
      </c>
      <c r="I99" t="s">
        <v>2487</v>
      </c>
      <c r="L99" t="b">
        <v>0</v>
      </c>
      <c r="M99" t="s">
        <v>112</v>
      </c>
      <c r="N99" t="s">
        <v>32</v>
      </c>
      <c r="P99" t="s">
        <v>579</v>
      </c>
      <c r="Q99">
        <v>1</v>
      </c>
      <c r="R99">
        <v>3</v>
      </c>
      <c r="S99">
        <v>0</v>
      </c>
      <c r="T99">
        <v>6902000</v>
      </c>
      <c r="U99">
        <v>6902000</v>
      </c>
      <c r="V99">
        <v>1</v>
      </c>
      <c r="W99">
        <v>8857.57</v>
      </c>
      <c r="X99">
        <v>0</v>
      </c>
      <c r="Y99">
        <v>8857.57</v>
      </c>
      <c r="Z99" t="s">
        <v>2438</v>
      </c>
    </row>
    <row r="100" spans="1:26" x14ac:dyDescent="0.25">
      <c r="A100">
        <v>11</v>
      </c>
      <c r="B100" t="s">
        <v>1781</v>
      </c>
      <c r="C100" t="s">
        <v>26</v>
      </c>
      <c r="D100" t="s">
        <v>2616</v>
      </c>
      <c r="E100">
        <v>138491</v>
      </c>
      <c r="G100" t="s">
        <v>2617</v>
      </c>
      <c r="H100" t="s">
        <v>1317</v>
      </c>
      <c r="I100" t="s">
        <v>2617</v>
      </c>
      <c r="L100" t="b">
        <v>0</v>
      </c>
      <c r="M100" t="s">
        <v>50</v>
      </c>
      <c r="N100" t="s">
        <v>26</v>
      </c>
      <c r="P100" t="s">
        <v>33</v>
      </c>
      <c r="Q100">
        <v>1</v>
      </c>
      <c r="R100">
        <v>3</v>
      </c>
      <c r="S100">
        <v>102.8789581068</v>
      </c>
      <c r="T100">
        <v>1772230668</v>
      </c>
      <c r="U100">
        <v>2044041360</v>
      </c>
      <c r="V100">
        <v>0.86699999999999999</v>
      </c>
      <c r="W100">
        <v>13739175.75</v>
      </c>
      <c r="X100">
        <v>1823252446.49</v>
      </c>
      <c r="Y100">
        <v>1836991622.24</v>
      </c>
      <c r="Z100" t="s">
        <v>2618</v>
      </c>
    </row>
    <row r="101" spans="1:26" x14ac:dyDescent="0.25">
      <c r="A101">
        <v>11</v>
      </c>
      <c r="B101" t="s">
        <v>1781</v>
      </c>
      <c r="C101" t="s">
        <v>26</v>
      </c>
      <c r="D101" t="s">
        <v>2621</v>
      </c>
      <c r="E101">
        <v>200006</v>
      </c>
      <c r="G101" t="s">
        <v>2622</v>
      </c>
      <c r="H101" t="s">
        <v>93</v>
      </c>
      <c r="I101" t="s">
        <v>2622</v>
      </c>
      <c r="L101" t="b">
        <v>0</v>
      </c>
      <c r="M101" t="s">
        <v>50</v>
      </c>
      <c r="N101" t="s">
        <v>26</v>
      </c>
      <c r="P101" t="s">
        <v>33</v>
      </c>
      <c r="Q101">
        <v>1</v>
      </c>
      <c r="R101">
        <v>3</v>
      </c>
      <c r="S101">
        <v>93.0898594879</v>
      </c>
      <c r="T101">
        <v>6604543792</v>
      </c>
      <c r="U101">
        <v>6604543792</v>
      </c>
      <c r="V101">
        <v>1</v>
      </c>
      <c r="W101">
        <v>60512297.899999999</v>
      </c>
      <c r="X101">
        <v>6148160535.7900009</v>
      </c>
      <c r="Y101">
        <v>6208672833.6900005</v>
      </c>
      <c r="Z101" t="s">
        <v>2618</v>
      </c>
    </row>
    <row r="102" spans="1:26" x14ac:dyDescent="0.25">
      <c r="A102">
        <v>11</v>
      </c>
      <c r="B102" t="s">
        <v>1781</v>
      </c>
      <c r="C102" t="s">
        <v>26</v>
      </c>
      <c r="D102" t="s">
        <v>2679</v>
      </c>
      <c r="E102">
        <v>227439</v>
      </c>
      <c r="G102" t="s">
        <v>2680</v>
      </c>
      <c r="H102" t="s">
        <v>1935</v>
      </c>
      <c r="I102" t="s">
        <v>2680</v>
      </c>
      <c r="L102" t="b">
        <v>0</v>
      </c>
      <c r="M102" t="s">
        <v>50</v>
      </c>
      <c r="N102" t="s">
        <v>26</v>
      </c>
      <c r="P102" t="s">
        <v>33</v>
      </c>
      <c r="Q102">
        <v>1</v>
      </c>
      <c r="R102">
        <v>3</v>
      </c>
      <c r="S102">
        <v>98.309099625000002</v>
      </c>
      <c r="T102">
        <v>1000000000</v>
      </c>
      <c r="U102">
        <v>1000000000</v>
      </c>
      <c r="V102">
        <v>1</v>
      </c>
      <c r="W102">
        <v>23420833.329999998</v>
      </c>
      <c r="X102">
        <v>983090996.25</v>
      </c>
      <c r="Y102">
        <v>1006511829.58</v>
      </c>
      <c r="Z102" t="s">
        <v>2618</v>
      </c>
    </row>
    <row r="103" spans="1:26" x14ac:dyDescent="0.25">
      <c r="A103">
        <v>11</v>
      </c>
      <c r="B103" t="s">
        <v>1781</v>
      </c>
      <c r="C103" t="s">
        <v>26</v>
      </c>
      <c r="D103" t="s">
        <v>2630</v>
      </c>
      <c r="E103">
        <v>16567</v>
      </c>
      <c r="G103" t="s">
        <v>2631</v>
      </c>
      <c r="H103" t="s">
        <v>2632</v>
      </c>
      <c r="I103" t="s">
        <v>2631</v>
      </c>
      <c r="L103" t="b">
        <v>0</v>
      </c>
      <c r="M103" t="s">
        <v>50</v>
      </c>
      <c r="N103" t="s">
        <v>26</v>
      </c>
      <c r="P103" t="s">
        <v>33</v>
      </c>
      <c r="Q103">
        <v>1</v>
      </c>
      <c r="R103">
        <v>3</v>
      </c>
      <c r="S103">
        <v>101.57470000000001</v>
      </c>
      <c r="T103">
        <v>600000000</v>
      </c>
      <c r="U103">
        <v>1000000000</v>
      </c>
      <c r="V103">
        <v>0.6</v>
      </c>
      <c r="W103">
        <v>0</v>
      </c>
      <c r="X103">
        <v>609448200</v>
      </c>
      <c r="Y103">
        <v>609448200</v>
      </c>
      <c r="Z103" t="s">
        <v>2618</v>
      </c>
    </row>
    <row r="104" spans="1:26" x14ac:dyDescent="0.25">
      <c r="A104">
        <v>11</v>
      </c>
      <c r="B104" t="s">
        <v>1781</v>
      </c>
      <c r="C104" t="s">
        <v>26</v>
      </c>
      <c r="D104" t="s">
        <v>2681</v>
      </c>
      <c r="E104">
        <v>17108</v>
      </c>
      <c r="G104" t="s">
        <v>2682</v>
      </c>
      <c r="H104" t="s">
        <v>2683</v>
      </c>
      <c r="I104" t="s">
        <v>2682</v>
      </c>
      <c r="L104" t="b">
        <v>0</v>
      </c>
      <c r="M104" t="s">
        <v>50</v>
      </c>
      <c r="N104" t="s">
        <v>241</v>
      </c>
      <c r="P104" t="s">
        <v>33</v>
      </c>
      <c r="Q104">
        <v>1</v>
      </c>
      <c r="R104">
        <v>3</v>
      </c>
      <c r="S104">
        <v>99.435356840799997</v>
      </c>
      <c r="T104">
        <v>60000</v>
      </c>
      <c r="U104">
        <v>60000</v>
      </c>
      <c r="V104">
        <v>1</v>
      </c>
      <c r="W104">
        <v>32418509.82</v>
      </c>
      <c r="X104">
        <v>2436849593.5999999</v>
      </c>
      <c r="Y104">
        <v>2469268103.420001</v>
      </c>
      <c r="Z104" t="s">
        <v>2618</v>
      </c>
    </row>
    <row r="105" spans="1:26" x14ac:dyDescent="0.25">
      <c r="A105">
        <v>11</v>
      </c>
      <c r="B105" t="s">
        <v>1781</v>
      </c>
      <c r="C105" t="s">
        <v>26</v>
      </c>
      <c r="D105" t="s">
        <v>2684</v>
      </c>
      <c r="E105">
        <v>176730</v>
      </c>
      <c r="G105" t="s">
        <v>2685</v>
      </c>
      <c r="H105" t="s">
        <v>2686</v>
      </c>
      <c r="I105" t="s">
        <v>2685</v>
      </c>
      <c r="L105" t="b">
        <v>0</v>
      </c>
      <c r="M105" t="s">
        <v>50</v>
      </c>
      <c r="N105" t="s">
        <v>241</v>
      </c>
      <c r="P105" t="s">
        <v>33</v>
      </c>
      <c r="Q105">
        <v>1</v>
      </c>
      <c r="R105">
        <v>3</v>
      </c>
      <c r="S105">
        <v>101.42343632639999</v>
      </c>
      <c r="T105">
        <v>140195</v>
      </c>
      <c r="U105">
        <v>155000</v>
      </c>
      <c r="V105">
        <v>0.90449999999999997</v>
      </c>
      <c r="W105">
        <v>72935950.200000003</v>
      </c>
      <c r="X105">
        <v>5807744380.0800009</v>
      </c>
      <c r="Y105">
        <v>5880680330.2800007</v>
      </c>
      <c r="Z105" t="s">
        <v>2618</v>
      </c>
    </row>
    <row r="106" spans="1:26" x14ac:dyDescent="0.25">
      <c r="A106">
        <v>11</v>
      </c>
      <c r="B106" t="s">
        <v>1781</v>
      </c>
      <c r="C106" t="s">
        <v>26</v>
      </c>
      <c r="D106" t="s">
        <v>2633</v>
      </c>
      <c r="E106">
        <v>3629</v>
      </c>
      <c r="G106" t="s">
        <v>2634</v>
      </c>
      <c r="H106" t="s">
        <v>2635</v>
      </c>
      <c r="I106" t="s">
        <v>2634</v>
      </c>
      <c r="L106" t="b">
        <v>0</v>
      </c>
      <c r="M106" t="s">
        <v>50</v>
      </c>
      <c r="N106" t="s">
        <v>241</v>
      </c>
      <c r="P106" t="s">
        <v>33</v>
      </c>
      <c r="Q106">
        <v>1</v>
      </c>
      <c r="R106">
        <v>3</v>
      </c>
      <c r="S106">
        <v>103.644351558</v>
      </c>
      <c r="T106">
        <v>6000</v>
      </c>
      <c r="U106">
        <v>6000</v>
      </c>
      <c r="V106">
        <v>1</v>
      </c>
      <c r="W106">
        <v>3163510.68</v>
      </c>
      <c r="X106">
        <v>253999861.78</v>
      </c>
      <c r="Y106">
        <v>257163372.46000001</v>
      </c>
      <c r="Z106" t="s">
        <v>2618</v>
      </c>
    </row>
    <row r="107" spans="1:26" x14ac:dyDescent="0.25">
      <c r="A107">
        <v>11</v>
      </c>
      <c r="B107" t="s">
        <v>1781</v>
      </c>
      <c r="C107" t="s">
        <v>26</v>
      </c>
      <c r="D107" t="s">
        <v>2687</v>
      </c>
      <c r="E107">
        <v>499</v>
      </c>
      <c r="G107" t="s">
        <v>2688</v>
      </c>
      <c r="H107" t="s">
        <v>1412</v>
      </c>
      <c r="I107" t="s">
        <v>2688</v>
      </c>
      <c r="L107" t="b">
        <v>0</v>
      </c>
      <c r="M107" t="s">
        <v>50</v>
      </c>
      <c r="N107" t="s">
        <v>241</v>
      </c>
      <c r="P107" t="s">
        <v>33</v>
      </c>
      <c r="Q107">
        <v>1</v>
      </c>
      <c r="R107">
        <v>3</v>
      </c>
      <c r="S107">
        <v>103.59229070089999</v>
      </c>
      <c r="T107">
        <v>18182</v>
      </c>
      <c r="U107">
        <v>20000</v>
      </c>
      <c r="V107">
        <v>0.90910000000000002</v>
      </c>
      <c r="W107">
        <v>4720219.66</v>
      </c>
      <c r="X107">
        <v>769317746.37</v>
      </c>
      <c r="Y107">
        <v>774037966.02999997</v>
      </c>
      <c r="Z107" t="s">
        <v>2618</v>
      </c>
    </row>
    <row r="108" spans="1:26" x14ac:dyDescent="0.25">
      <c r="A108">
        <v>11</v>
      </c>
      <c r="B108" t="s">
        <v>1781</v>
      </c>
      <c r="C108" t="s">
        <v>26</v>
      </c>
      <c r="D108" t="s">
        <v>2689</v>
      </c>
      <c r="E108">
        <v>504</v>
      </c>
      <c r="G108" t="s">
        <v>2690</v>
      </c>
      <c r="H108" t="s">
        <v>1558</v>
      </c>
      <c r="I108" t="s">
        <v>2690</v>
      </c>
      <c r="L108" t="b">
        <v>0</v>
      </c>
      <c r="M108" t="s">
        <v>50</v>
      </c>
      <c r="N108" t="s">
        <v>241</v>
      </c>
      <c r="P108" t="s">
        <v>33</v>
      </c>
      <c r="Q108">
        <v>1</v>
      </c>
      <c r="R108">
        <v>3</v>
      </c>
      <c r="S108">
        <v>102.4189052811</v>
      </c>
      <c r="T108">
        <v>29545.43</v>
      </c>
      <c r="U108">
        <v>50000</v>
      </c>
      <c r="V108">
        <v>0.59089999999999998</v>
      </c>
      <c r="W108">
        <v>18929803.890000001</v>
      </c>
      <c r="X108">
        <v>1235967838.3299999</v>
      </c>
      <c r="Y108">
        <v>1254897642.22</v>
      </c>
      <c r="Z108" t="s">
        <v>2618</v>
      </c>
    </row>
    <row r="109" spans="1:26" x14ac:dyDescent="0.25">
      <c r="A109">
        <v>11</v>
      </c>
      <c r="B109" t="s">
        <v>1781</v>
      </c>
      <c r="C109" t="s">
        <v>26</v>
      </c>
      <c r="D109" t="s">
        <v>2691</v>
      </c>
      <c r="E109">
        <v>506</v>
      </c>
      <c r="G109" t="s">
        <v>2692</v>
      </c>
      <c r="H109" t="s">
        <v>2693</v>
      </c>
      <c r="I109" t="s">
        <v>2692</v>
      </c>
      <c r="L109" t="b">
        <v>0</v>
      </c>
      <c r="M109" t="s">
        <v>50</v>
      </c>
      <c r="N109" t="s">
        <v>241</v>
      </c>
      <c r="P109" t="s">
        <v>33</v>
      </c>
      <c r="Q109">
        <v>1</v>
      </c>
      <c r="R109">
        <v>3</v>
      </c>
      <c r="S109">
        <v>104.39035137490001</v>
      </c>
      <c r="T109">
        <v>8000</v>
      </c>
      <c r="U109">
        <v>8000</v>
      </c>
      <c r="V109">
        <v>1</v>
      </c>
      <c r="W109">
        <v>4164425.87</v>
      </c>
      <c r="X109">
        <v>341104235.58999997</v>
      </c>
      <c r="Y109">
        <v>345268661.45999998</v>
      </c>
      <c r="Z109" t="s">
        <v>2618</v>
      </c>
    </row>
    <row r="110" spans="1:26" x14ac:dyDescent="0.25">
      <c r="A110">
        <v>11</v>
      </c>
      <c r="B110" t="s">
        <v>1781</v>
      </c>
      <c r="C110" t="s">
        <v>26</v>
      </c>
      <c r="D110" t="s">
        <v>2694</v>
      </c>
      <c r="E110">
        <v>520</v>
      </c>
      <c r="G110" t="s">
        <v>2695</v>
      </c>
      <c r="H110" t="s">
        <v>2696</v>
      </c>
      <c r="I110" t="s">
        <v>2695</v>
      </c>
      <c r="L110" t="b">
        <v>0</v>
      </c>
      <c r="M110" t="s">
        <v>50</v>
      </c>
      <c r="N110" t="s">
        <v>241</v>
      </c>
      <c r="P110" t="s">
        <v>33</v>
      </c>
      <c r="Q110">
        <v>1</v>
      </c>
      <c r="R110">
        <v>3</v>
      </c>
      <c r="S110">
        <v>104.0443304921</v>
      </c>
      <c r="T110">
        <v>10000</v>
      </c>
      <c r="U110">
        <v>10000</v>
      </c>
      <c r="V110">
        <v>1</v>
      </c>
      <c r="W110">
        <v>7047530.25</v>
      </c>
      <c r="X110">
        <v>424966758.42000002</v>
      </c>
      <c r="Y110">
        <v>432014288.67000002</v>
      </c>
      <c r="Z110" t="s">
        <v>2618</v>
      </c>
    </row>
    <row r="111" spans="1:26" x14ac:dyDescent="0.25">
      <c r="A111">
        <v>11</v>
      </c>
      <c r="B111" t="s">
        <v>1781</v>
      </c>
      <c r="C111" t="s">
        <v>26</v>
      </c>
      <c r="D111" t="s">
        <v>2697</v>
      </c>
      <c r="E111">
        <v>17115</v>
      </c>
      <c r="G111" t="s">
        <v>2698</v>
      </c>
      <c r="H111" t="s">
        <v>2696</v>
      </c>
      <c r="I111" t="s">
        <v>2698</v>
      </c>
      <c r="L111" t="b">
        <v>0</v>
      </c>
      <c r="M111" t="s">
        <v>50</v>
      </c>
      <c r="N111" t="s">
        <v>241</v>
      </c>
      <c r="P111" t="s">
        <v>33</v>
      </c>
      <c r="Q111">
        <v>1</v>
      </c>
      <c r="R111">
        <v>3</v>
      </c>
      <c r="S111">
        <v>103.8681841181</v>
      </c>
      <c r="T111">
        <v>14000</v>
      </c>
      <c r="U111">
        <v>14000</v>
      </c>
      <c r="V111">
        <v>1</v>
      </c>
      <c r="W111">
        <v>8852359.4100000001</v>
      </c>
      <c r="X111">
        <v>593946556.0200001</v>
      </c>
      <c r="Y111">
        <v>602798915.43000007</v>
      </c>
      <c r="Z111" t="s">
        <v>2618</v>
      </c>
    </row>
    <row r="112" spans="1:26" x14ac:dyDescent="0.25">
      <c r="A112">
        <v>11</v>
      </c>
      <c r="B112" t="s">
        <v>1781</v>
      </c>
      <c r="C112" t="s">
        <v>26</v>
      </c>
      <c r="D112" t="s">
        <v>2636</v>
      </c>
      <c r="E112">
        <v>172917</v>
      </c>
      <c r="G112" t="s">
        <v>2637</v>
      </c>
      <c r="H112" t="s">
        <v>2638</v>
      </c>
      <c r="I112" t="s">
        <v>2637</v>
      </c>
      <c r="L112" t="b">
        <v>0</v>
      </c>
      <c r="M112" t="s">
        <v>50</v>
      </c>
      <c r="N112" t="s">
        <v>241</v>
      </c>
      <c r="P112" t="s">
        <v>33</v>
      </c>
      <c r="Q112">
        <v>1</v>
      </c>
      <c r="R112">
        <v>3</v>
      </c>
      <c r="S112">
        <v>105.21445621140001</v>
      </c>
      <c r="T112">
        <v>58200</v>
      </c>
      <c r="U112">
        <v>60000</v>
      </c>
      <c r="V112">
        <v>0.97</v>
      </c>
      <c r="W112">
        <v>12909336.25</v>
      </c>
      <c r="X112">
        <v>2501122955.1399999</v>
      </c>
      <c r="Y112">
        <v>2514032291.3899999</v>
      </c>
      <c r="Z112" t="s">
        <v>2618</v>
      </c>
    </row>
    <row r="113" spans="1:26" x14ac:dyDescent="0.25">
      <c r="A113">
        <v>11</v>
      </c>
      <c r="B113" t="s">
        <v>1781</v>
      </c>
      <c r="C113" t="s">
        <v>26</v>
      </c>
      <c r="D113" t="s">
        <v>2699</v>
      </c>
      <c r="E113">
        <v>149871</v>
      </c>
      <c r="G113" t="s">
        <v>2700</v>
      </c>
      <c r="H113" t="s">
        <v>2701</v>
      </c>
      <c r="I113" t="s">
        <v>2700</v>
      </c>
      <c r="L113" t="b">
        <v>0</v>
      </c>
      <c r="M113" t="s">
        <v>50</v>
      </c>
      <c r="N113" t="s">
        <v>241</v>
      </c>
      <c r="P113" t="s">
        <v>33</v>
      </c>
      <c r="Q113">
        <v>1</v>
      </c>
      <c r="R113">
        <v>3</v>
      </c>
      <c r="S113">
        <v>102.788407599</v>
      </c>
      <c r="T113">
        <v>101241</v>
      </c>
      <c r="U113">
        <v>115000</v>
      </c>
      <c r="V113">
        <v>0.88039999999999996</v>
      </c>
      <c r="W113">
        <v>46200352.880000003</v>
      </c>
      <c r="X113">
        <v>4250472226.559999</v>
      </c>
      <c r="Y113">
        <v>4296672579.4399996</v>
      </c>
      <c r="Z113" t="s">
        <v>2618</v>
      </c>
    </row>
    <row r="114" spans="1:26" x14ac:dyDescent="0.25">
      <c r="A114">
        <v>11</v>
      </c>
      <c r="B114" t="s">
        <v>1781</v>
      </c>
      <c r="C114" t="s">
        <v>26</v>
      </c>
      <c r="D114" t="s">
        <v>2702</v>
      </c>
      <c r="E114">
        <v>173267</v>
      </c>
      <c r="G114" t="s">
        <v>2703</v>
      </c>
      <c r="H114" t="s">
        <v>2701</v>
      </c>
      <c r="I114" t="s">
        <v>2703</v>
      </c>
      <c r="L114" t="b">
        <v>0</v>
      </c>
      <c r="M114" t="s">
        <v>50</v>
      </c>
      <c r="N114" t="s">
        <v>241</v>
      </c>
      <c r="P114" t="s">
        <v>33</v>
      </c>
      <c r="Q114">
        <v>1</v>
      </c>
      <c r="R114">
        <v>3</v>
      </c>
      <c r="S114">
        <v>105.3885047735</v>
      </c>
      <c r="T114">
        <v>15000</v>
      </c>
      <c r="U114">
        <v>15000</v>
      </c>
      <c r="V114">
        <v>1</v>
      </c>
      <c r="W114">
        <v>7322347.6200000001</v>
      </c>
      <c r="X114">
        <v>645685876.86000001</v>
      </c>
      <c r="Y114">
        <v>653008224.48000002</v>
      </c>
      <c r="Z114" t="s">
        <v>2618</v>
      </c>
    </row>
    <row r="115" spans="1:26" x14ac:dyDescent="0.25">
      <c r="A115">
        <v>11</v>
      </c>
      <c r="B115" t="s">
        <v>1781</v>
      </c>
      <c r="C115" t="s">
        <v>26</v>
      </c>
      <c r="D115" t="s">
        <v>2704</v>
      </c>
      <c r="E115">
        <v>46043</v>
      </c>
      <c r="G115" t="s">
        <v>2705</v>
      </c>
      <c r="H115" t="s">
        <v>444</v>
      </c>
      <c r="I115" t="s">
        <v>2705</v>
      </c>
      <c r="L115" t="b">
        <v>0</v>
      </c>
      <c r="M115" t="s">
        <v>50</v>
      </c>
      <c r="N115" t="s">
        <v>241</v>
      </c>
      <c r="P115" t="s">
        <v>33</v>
      </c>
      <c r="Q115">
        <v>1</v>
      </c>
      <c r="R115">
        <v>3</v>
      </c>
      <c r="S115">
        <v>99.533258427000007</v>
      </c>
      <c r="T115">
        <v>25000</v>
      </c>
      <c r="U115">
        <v>25000</v>
      </c>
      <c r="V115">
        <v>1</v>
      </c>
      <c r="W115">
        <v>2552799.38</v>
      </c>
      <c r="X115">
        <v>1016353571.45</v>
      </c>
      <c r="Y115">
        <v>1018906370.83</v>
      </c>
      <c r="Z115" t="s">
        <v>2618</v>
      </c>
    </row>
    <row r="116" spans="1:26" x14ac:dyDescent="0.25">
      <c r="A116">
        <v>11</v>
      </c>
      <c r="B116" t="s">
        <v>1781</v>
      </c>
      <c r="C116" t="s">
        <v>26</v>
      </c>
      <c r="D116" t="s">
        <v>2639</v>
      </c>
      <c r="E116">
        <v>193918</v>
      </c>
      <c r="G116" t="s">
        <v>2640</v>
      </c>
      <c r="H116" t="s">
        <v>1449</v>
      </c>
      <c r="I116" t="s">
        <v>2640</v>
      </c>
      <c r="L116" t="b">
        <v>0</v>
      </c>
      <c r="M116" t="s">
        <v>50</v>
      </c>
      <c r="N116" t="s">
        <v>241</v>
      </c>
      <c r="P116" t="s">
        <v>33</v>
      </c>
      <c r="Q116">
        <v>1</v>
      </c>
      <c r="R116">
        <v>3</v>
      </c>
      <c r="S116">
        <v>102.2206736321</v>
      </c>
      <c r="T116">
        <v>208106</v>
      </c>
      <c r="U116">
        <v>208106</v>
      </c>
      <c r="V116">
        <v>1</v>
      </c>
      <c r="W116">
        <v>11900064.210000001</v>
      </c>
      <c r="X116">
        <v>8688804346.4499989</v>
      </c>
      <c r="Y116">
        <v>8700704410.6599979</v>
      </c>
      <c r="Z116" t="s">
        <v>2618</v>
      </c>
    </row>
    <row r="117" spans="1:26" x14ac:dyDescent="0.25">
      <c r="A117">
        <v>11</v>
      </c>
      <c r="B117" t="s">
        <v>1781</v>
      </c>
      <c r="C117" t="s">
        <v>26</v>
      </c>
      <c r="D117" t="s">
        <v>2706</v>
      </c>
      <c r="E117">
        <v>154582</v>
      </c>
      <c r="G117" t="s">
        <v>2707</v>
      </c>
      <c r="H117" t="s">
        <v>2708</v>
      </c>
      <c r="I117" t="s">
        <v>2707</v>
      </c>
      <c r="L117" t="b">
        <v>0</v>
      </c>
      <c r="M117" t="s">
        <v>50</v>
      </c>
      <c r="N117" t="s">
        <v>241</v>
      </c>
      <c r="P117" t="s">
        <v>33</v>
      </c>
      <c r="Q117">
        <v>1</v>
      </c>
      <c r="R117">
        <v>3</v>
      </c>
      <c r="S117">
        <v>100.60857701179999</v>
      </c>
      <c r="T117">
        <v>39500</v>
      </c>
      <c r="U117">
        <v>39500</v>
      </c>
      <c r="V117">
        <v>1</v>
      </c>
      <c r="W117">
        <v>14145967.41</v>
      </c>
      <c r="X117">
        <v>1623187884.0699999</v>
      </c>
      <c r="Y117">
        <v>1637333851.48</v>
      </c>
      <c r="Z117" t="s">
        <v>2618</v>
      </c>
    </row>
    <row r="118" spans="1:26" x14ac:dyDescent="0.25">
      <c r="A118">
        <v>11</v>
      </c>
      <c r="B118" t="s">
        <v>1781</v>
      </c>
      <c r="C118" t="s">
        <v>26</v>
      </c>
      <c r="D118" t="s">
        <v>2641</v>
      </c>
      <c r="E118">
        <v>160761</v>
      </c>
      <c r="G118" t="s">
        <v>2642</v>
      </c>
      <c r="H118" t="s">
        <v>2632</v>
      </c>
      <c r="I118" t="s">
        <v>2642</v>
      </c>
      <c r="L118" t="b">
        <v>0</v>
      </c>
      <c r="M118" t="s">
        <v>50</v>
      </c>
      <c r="N118" t="s">
        <v>241</v>
      </c>
      <c r="P118" t="s">
        <v>33</v>
      </c>
      <c r="Q118">
        <v>1</v>
      </c>
      <c r="R118">
        <v>3</v>
      </c>
      <c r="S118">
        <v>103.83037126000001</v>
      </c>
      <c r="T118">
        <v>39261</v>
      </c>
      <c r="U118">
        <v>45000</v>
      </c>
      <c r="V118">
        <v>0.87250000000000005</v>
      </c>
      <c r="W118">
        <v>13200093.49</v>
      </c>
      <c r="X118">
        <v>1665031329.1800001</v>
      </c>
      <c r="Y118">
        <v>1678231422.6700001</v>
      </c>
      <c r="Z118" t="s">
        <v>2618</v>
      </c>
    </row>
    <row r="119" spans="1:26" x14ac:dyDescent="0.25">
      <c r="A119">
        <v>11</v>
      </c>
      <c r="B119" t="s">
        <v>1781</v>
      </c>
      <c r="C119" t="s">
        <v>26</v>
      </c>
      <c r="D119" t="s">
        <v>2643</v>
      </c>
      <c r="E119">
        <v>128457</v>
      </c>
      <c r="G119" t="s">
        <v>2644</v>
      </c>
      <c r="H119" t="s">
        <v>2645</v>
      </c>
      <c r="I119" t="s">
        <v>2644</v>
      </c>
      <c r="L119" t="b">
        <v>0</v>
      </c>
      <c r="M119" t="s">
        <v>50</v>
      </c>
      <c r="N119" t="s">
        <v>241</v>
      </c>
      <c r="P119" t="s">
        <v>33</v>
      </c>
      <c r="Q119">
        <v>1</v>
      </c>
      <c r="R119">
        <v>3</v>
      </c>
      <c r="S119">
        <v>105.4185264724</v>
      </c>
      <c r="T119">
        <v>8000</v>
      </c>
      <c r="U119">
        <v>8000</v>
      </c>
      <c r="V119">
        <v>1</v>
      </c>
      <c r="W119">
        <v>6923736.5</v>
      </c>
      <c r="X119">
        <v>344463719.56999999</v>
      </c>
      <c r="Y119">
        <v>351387456.06999999</v>
      </c>
      <c r="Z119" t="s">
        <v>2618</v>
      </c>
    </row>
    <row r="120" spans="1:26" x14ac:dyDescent="0.25">
      <c r="A120">
        <v>11</v>
      </c>
      <c r="B120" t="s">
        <v>1781</v>
      </c>
      <c r="C120" t="s">
        <v>26</v>
      </c>
      <c r="D120" t="s">
        <v>2709</v>
      </c>
      <c r="E120">
        <v>46076</v>
      </c>
      <c r="G120" t="s">
        <v>2710</v>
      </c>
      <c r="H120" t="s">
        <v>2645</v>
      </c>
      <c r="I120" t="s">
        <v>2710</v>
      </c>
      <c r="L120" t="b">
        <v>0</v>
      </c>
      <c r="M120" t="s">
        <v>50</v>
      </c>
      <c r="N120" t="s">
        <v>241</v>
      </c>
      <c r="P120" t="s">
        <v>33</v>
      </c>
      <c r="Q120">
        <v>1</v>
      </c>
      <c r="R120">
        <v>3</v>
      </c>
      <c r="S120">
        <v>100.4775831796</v>
      </c>
      <c r="T120">
        <v>40000</v>
      </c>
      <c r="U120">
        <v>40000</v>
      </c>
      <c r="V120">
        <v>1</v>
      </c>
      <c r="W120">
        <v>23036461.559999999</v>
      </c>
      <c r="X120">
        <v>1641594180.23</v>
      </c>
      <c r="Y120">
        <v>1664630641.79</v>
      </c>
      <c r="Z120" t="s">
        <v>2618</v>
      </c>
    </row>
    <row r="121" spans="1:26" x14ac:dyDescent="0.25">
      <c r="A121">
        <v>11</v>
      </c>
      <c r="B121" t="s">
        <v>1781</v>
      </c>
      <c r="C121" t="s">
        <v>26</v>
      </c>
      <c r="D121" t="s">
        <v>2646</v>
      </c>
      <c r="E121">
        <v>135584</v>
      </c>
      <c r="G121" t="s">
        <v>2647</v>
      </c>
      <c r="H121" t="s">
        <v>2645</v>
      </c>
      <c r="I121" t="s">
        <v>2647</v>
      </c>
      <c r="L121" t="b">
        <v>0</v>
      </c>
      <c r="M121" t="s">
        <v>50</v>
      </c>
      <c r="N121" t="s">
        <v>241</v>
      </c>
      <c r="P121" t="s">
        <v>33</v>
      </c>
      <c r="Q121">
        <v>1</v>
      </c>
      <c r="R121">
        <v>3</v>
      </c>
      <c r="S121">
        <v>102.9547483928</v>
      </c>
      <c r="T121">
        <v>55500</v>
      </c>
      <c r="U121">
        <v>55500</v>
      </c>
      <c r="V121">
        <v>1</v>
      </c>
      <c r="W121">
        <v>28353188.050000001</v>
      </c>
      <c r="X121">
        <v>2333866399.23</v>
      </c>
      <c r="Y121">
        <v>2362219587.2800012</v>
      </c>
      <c r="Z121" t="s">
        <v>2618</v>
      </c>
    </row>
    <row r="122" spans="1:26" x14ac:dyDescent="0.25">
      <c r="A122">
        <v>11</v>
      </c>
      <c r="B122" t="s">
        <v>1781</v>
      </c>
      <c r="C122" t="s">
        <v>26</v>
      </c>
      <c r="D122" t="s">
        <v>2711</v>
      </c>
      <c r="E122">
        <v>16617</v>
      </c>
      <c r="G122" t="s">
        <v>2712</v>
      </c>
      <c r="H122" t="s">
        <v>2018</v>
      </c>
      <c r="I122" t="s">
        <v>2712</v>
      </c>
      <c r="L122" t="b">
        <v>0</v>
      </c>
      <c r="M122" t="s">
        <v>50</v>
      </c>
      <c r="N122" t="s">
        <v>241</v>
      </c>
      <c r="P122" t="s">
        <v>33</v>
      </c>
      <c r="Q122">
        <v>1</v>
      </c>
      <c r="R122">
        <v>3</v>
      </c>
      <c r="S122">
        <v>102.20663004799999</v>
      </c>
      <c r="T122">
        <v>25000</v>
      </c>
      <c r="U122">
        <v>25000</v>
      </c>
      <c r="V122">
        <v>1</v>
      </c>
      <c r="W122">
        <v>12980474.26</v>
      </c>
      <c r="X122">
        <v>1043652186.85</v>
      </c>
      <c r="Y122">
        <v>1056632661.11</v>
      </c>
      <c r="Z122" t="s">
        <v>2618</v>
      </c>
    </row>
    <row r="123" spans="1:26" x14ac:dyDescent="0.25">
      <c r="A123">
        <v>11</v>
      </c>
      <c r="B123" t="s">
        <v>1781</v>
      </c>
      <c r="C123" t="s">
        <v>26</v>
      </c>
      <c r="D123" t="s">
        <v>2713</v>
      </c>
      <c r="E123">
        <v>16620</v>
      </c>
      <c r="G123" t="s">
        <v>2714</v>
      </c>
      <c r="H123" t="s">
        <v>2018</v>
      </c>
      <c r="I123" t="s">
        <v>2714</v>
      </c>
      <c r="L123" t="b">
        <v>0</v>
      </c>
      <c r="M123" t="s">
        <v>50</v>
      </c>
      <c r="N123" t="s">
        <v>241</v>
      </c>
      <c r="P123" t="s">
        <v>33</v>
      </c>
      <c r="Q123">
        <v>1</v>
      </c>
      <c r="R123">
        <v>3</v>
      </c>
      <c r="S123">
        <v>103.03094091129999</v>
      </c>
      <c r="T123">
        <v>28000</v>
      </c>
      <c r="U123">
        <v>28000</v>
      </c>
      <c r="V123">
        <v>1</v>
      </c>
      <c r="W123">
        <v>7423814.7000000002</v>
      </c>
      <c r="X123">
        <v>1178317459.48</v>
      </c>
      <c r="Y123">
        <v>1185741274.1800001</v>
      </c>
      <c r="Z123" t="s">
        <v>2618</v>
      </c>
    </row>
    <row r="124" spans="1:26" x14ac:dyDescent="0.25">
      <c r="A124">
        <v>11</v>
      </c>
      <c r="B124" t="s">
        <v>1781</v>
      </c>
      <c r="C124" t="s">
        <v>26</v>
      </c>
      <c r="D124" t="s">
        <v>2715</v>
      </c>
      <c r="E124">
        <v>16619</v>
      </c>
      <c r="G124" t="s">
        <v>2716</v>
      </c>
      <c r="H124" t="s">
        <v>2018</v>
      </c>
      <c r="I124" t="s">
        <v>2716</v>
      </c>
      <c r="L124" t="b">
        <v>0</v>
      </c>
      <c r="M124" t="s">
        <v>50</v>
      </c>
      <c r="N124" t="s">
        <v>241</v>
      </c>
      <c r="P124" t="s">
        <v>33</v>
      </c>
      <c r="Q124">
        <v>1</v>
      </c>
      <c r="R124">
        <v>3</v>
      </c>
      <c r="S124">
        <v>102.3326103326</v>
      </c>
      <c r="T124">
        <v>23335</v>
      </c>
      <c r="U124">
        <v>40000</v>
      </c>
      <c r="V124">
        <v>0.58340000000000003</v>
      </c>
      <c r="W124">
        <v>20691133.91</v>
      </c>
      <c r="X124">
        <v>975345402.28999996</v>
      </c>
      <c r="Y124">
        <v>996036536.19999993</v>
      </c>
      <c r="Z124" t="s">
        <v>2618</v>
      </c>
    </row>
    <row r="125" spans="1:26" x14ac:dyDescent="0.25">
      <c r="A125">
        <v>11</v>
      </c>
      <c r="B125" t="s">
        <v>1781</v>
      </c>
      <c r="C125" t="s">
        <v>26</v>
      </c>
      <c r="D125" t="s">
        <v>2717</v>
      </c>
      <c r="E125">
        <v>46079</v>
      </c>
      <c r="G125" t="s">
        <v>2718</v>
      </c>
      <c r="H125" t="s">
        <v>1857</v>
      </c>
      <c r="I125" t="s">
        <v>2718</v>
      </c>
      <c r="L125" t="b">
        <v>0</v>
      </c>
      <c r="M125" t="s">
        <v>50</v>
      </c>
      <c r="N125" t="s">
        <v>241</v>
      </c>
      <c r="P125" t="s">
        <v>33</v>
      </c>
      <c r="Q125">
        <v>1</v>
      </c>
      <c r="R125">
        <v>3</v>
      </c>
      <c r="S125">
        <v>100.9879273503</v>
      </c>
      <c r="T125">
        <v>25000</v>
      </c>
      <c r="U125">
        <v>25000</v>
      </c>
      <c r="V125">
        <v>1</v>
      </c>
      <c r="W125">
        <v>15231702.939999999</v>
      </c>
      <c r="X125">
        <v>1031207596.23</v>
      </c>
      <c r="Y125">
        <v>1046439299.17</v>
      </c>
      <c r="Z125" t="s">
        <v>2618</v>
      </c>
    </row>
    <row r="126" spans="1:26" x14ac:dyDescent="0.25">
      <c r="A126">
        <v>11</v>
      </c>
      <c r="B126" t="s">
        <v>1781</v>
      </c>
      <c r="C126" t="s">
        <v>26</v>
      </c>
      <c r="D126" t="s">
        <v>2719</v>
      </c>
      <c r="E126">
        <v>6535</v>
      </c>
      <c r="G126" t="s">
        <v>2720</v>
      </c>
      <c r="H126" t="s">
        <v>1857</v>
      </c>
      <c r="I126" t="s">
        <v>2720</v>
      </c>
      <c r="L126" t="b">
        <v>0</v>
      </c>
      <c r="M126" t="s">
        <v>50</v>
      </c>
      <c r="N126" t="s">
        <v>241</v>
      </c>
      <c r="P126" t="s">
        <v>33</v>
      </c>
      <c r="Q126">
        <v>1</v>
      </c>
      <c r="R126">
        <v>3</v>
      </c>
      <c r="S126">
        <v>100.9377087685</v>
      </c>
      <c r="T126">
        <v>10000</v>
      </c>
      <c r="U126">
        <v>10000</v>
      </c>
      <c r="V126">
        <v>1</v>
      </c>
      <c r="W126">
        <v>4084479</v>
      </c>
      <c r="X126">
        <v>412277915.95999998</v>
      </c>
      <c r="Y126">
        <v>416362394.95999998</v>
      </c>
      <c r="Z126" t="s">
        <v>2618</v>
      </c>
    </row>
    <row r="127" spans="1:26" x14ac:dyDescent="0.25">
      <c r="A127">
        <v>11</v>
      </c>
      <c r="B127" t="s">
        <v>1781</v>
      </c>
      <c r="C127" t="s">
        <v>26</v>
      </c>
      <c r="D127" t="s">
        <v>2721</v>
      </c>
      <c r="E127">
        <v>46081</v>
      </c>
      <c r="G127" t="s">
        <v>2722</v>
      </c>
      <c r="H127" t="s">
        <v>1857</v>
      </c>
      <c r="I127" t="s">
        <v>2722</v>
      </c>
      <c r="L127" t="b">
        <v>0</v>
      </c>
      <c r="M127" t="s">
        <v>50</v>
      </c>
      <c r="N127" t="s">
        <v>241</v>
      </c>
      <c r="P127" t="s">
        <v>33</v>
      </c>
      <c r="Q127">
        <v>1</v>
      </c>
      <c r="R127">
        <v>3</v>
      </c>
      <c r="S127">
        <v>100.89926709949999</v>
      </c>
      <c r="T127">
        <v>20000</v>
      </c>
      <c r="U127">
        <v>20000</v>
      </c>
      <c r="V127">
        <v>1</v>
      </c>
      <c r="W127">
        <v>12495682.91</v>
      </c>
      <c r="X127">
        <v>824241735.48000002</v>
      </c>
      <c r="Y127">
        <v>836737418.38999999</v>
      </c>
      <c r="Z127" t="s">
        <v>2618</v>
      </c>
    </row>
    <row r="128" spans="1:26" x14ac:dyDescent="0.25">
      <c r="A128">
        <v>11</v>
      </c>
      <c r="B128" t="s">
        <v>1781</v>
      </c>
      <c r="C128" t="s">
        <v>26</v>
      </c>
      <c r="D128" t="s">
        <v>2723</v>
      </c>
      <c r="E128">
        <v>97742</v>
      </c>
      <c r="G128" t="s">
        <v>2724</v>
      </c>
      <c r="H128" t="s">
        <v>1857</v>
      </c>
      <c r="I128" t="s">
        <v>2724</v>
      </c>
      <c r="L128" t="b">
        <v>0</v>
      </c>
      <c r="M128" t="s">
        <v>50</v>
      </c>
      <c r="N128" t="s">
        <v>241</v>
      </c>
      <c r="P128" t="s">
        <v>33</v>
      </c>
      <c r="Q128">
        <v>1</v>
      </c>
      <c r="R128">
        <v>3</v>
      </c>
      <c r="S128">
        <v>100.7735766645</v>
      </c>
      <c r="T128">
        <v>35000</v>
      </c>
      <c r="U128">
        <v>35000</v>
      </c>
      <c r="V128">
        <v>1</v>
      </c>
      <c r="W128">
        <v>7329869.8600000003</v>
      </c>
      <c r="X128">
        <v>1440626376.8900001</v>
      </c>
      <c r="Y128">
        <v>1447956246.75</v>
      </c>
      <c r="Z128" t="s">
        <v>2618</v>
      </c>
    </row>
    <row r="129" spans="1:26" x14ac:dyDescent="0.25">
      <c r="A129">
        <v>11</v>
      </c>
      <c r="B129" t="s">
        <v>1781</v>
      </c>
      <c r="C129" t="s">
        <v>26</v>
      </c>
      <c r="D129" t="s">
        <v>2648</v>
      </c>
      <c r="E129">
        <v>186267</v>
      </c>
      <c r="G129" t="s">
        <v>2649</v>
      </c>
      <c r="H129" t="s">
        <v>218</v>
      </c>
      <c r="I129" t="s">
        <v>2649</v>
      </c>
      <c r="L129" t="b">
        <v>0</v>
      </c>
      <c r="M129" t="s">
        <v>50</v>
      </c>
      <c r="N129" t="s">
        <v>241</v>
      </c>
      <c r="P129" t="s">
        <v>33</v>
      </c>
      <c r="Q129">
        <v>1</v>
      </c>
      <c r="R129">
        <v>3</v>
      </c>
      <c r="S129">
        <v>100.6289239972</v>
      </c>
      <c r="T129">
        <v>140000</v>
      </c>
      <c r="U129">
        <v>140000</v>
      </c>
      <c r="V129">
        <v>1</v>
      </c>
      <c r="W129">
        <v>48767857.829999998</v>
      </c>
      <c r="X129">
        <v>5754234029.1500006</v>
      </c>
      <c r="Y129">
        <v>5803001886.9799995</v>
      </c>
      <c r="Z129" t="s">
        <v>2618</v>
      </c>
    </row>
    <row r="130" spans="1:26" x14ac:dyDescent="0.25">
      <c r="A130">
        <v>11</v>
      </c>
      <c r="B130" t="s">
        <v>1781</v>
      </c>
      <c r="C130" t="s">
        <v>26</v>
      </c>
      <c r="D130" t="s">
        <v>2725</v>
      </c>
      <c r="E130">
        <v>52889</v>
      </c>
      <c r="G130" t="s">
        <v>2726</v>
      </c>
      <c r="H130" t="s">
        <v>1795</v>
      </c>
      <c r="I130" t="s">
        <v>2726</v>
      </c>
      <c r="L130" t="b">
        <v>0</v>
      </c>
      <c r="M130" t="s">
        <v>50</v>
      </c>
      <c r="N130" t="s">
        <v>241</v>
      </c>
      <c r="P130" t="s">
        <v>33</v>
      </c>
      <c r="Q130">
        <v>1</v>
      </c>
      <c r="R130">
        <v>3</v>
      </c>
      <c r="S130">
        <v>93.299797342399998</v>
      </c>
      <c r="T130">
        <v>20000</v>
      </c>
      <c r="U130">
        <v>20000</v>
      </c>
      <c r="V130">
        <v>1</v>
      </c>
      <c r="W130">
        <v>5241453.0599999996</v>
      </c>
      <c r="X130">
        <v>762162147.61000001</v>
      </c>
      <c r="Y130">
        <v>767403600.66999996</v>
      </c>
      <c r="Z130" t="s">
        <v>2618</v>
      </c>
    </row>
    <row r="131" spans="1:26" x14ac:dyDescent="0.25">
      <c r="A131">
        <v>11</v>
      </c>
      <c r="B131" t="s">
        <v>1781</v>
      </c>
      <c r="C131" t="s">
        <v>26</v>
      </c>
      <c r="D131" t="s">
        <v>2727</v>
      </c>
      <c r="E131">
        <v>580</v>
      </c>
      <c r="G131" t="s">
        <v>2728</v>
      </c>
      <c r="H131" t="s">
        <v>2729</v>
      </c>
      <c r="I131" t="s">
        <v>2728</v>
      </c>
      <c r="L131" t="b">
        <v>0</v>
      </c>
      <c r="M131" t="s">
        <v>50</v>
      </c>
      <c r="N131" t="s">
        <v>241</v>
      </c>
      <c r="P131" t="s">
        <v>33</v>
      </c>
      <c r="Q131">
        <v>1</v>
      </c>
      <c r="R131">
        <v>3</v>
      </c>
      <c r="S131">
        <v>103.0134080185</v>
      </c>
      <c r="T131">
        <v>380.95</v>
      </c>
      <c r="U131">
        <v>1000</v>
      </c>
      <c r="V131">
        <v>0.38100000000000001</v>
      </c>
      <c r="W131">
        <v>34614.42</v>
      </c>
      <c r="X131">
        <v>16028720.939999999</v>
      </c>
      <c r="Y131">
        <v>16063335.359999999</v>
      </c>
      <c r="Z131" t="s">
        <v>2618</v>
      </c>
    </row>
    <row r="132" spans="1:26" x14ac:dyDescent="0.25">
      <c r="A132">
        <v>11</v>
      </c>
      <c r="B132" t="s">
        <v>1781</v>
      </c>
      <c r="C132" t="s">
        <v>26</v>
      </c>
      <c r="D132" t="s">
        <v>2650</v>
      </c>
      <c r="E132">
        <v>198616</v>
      </c>
      <c r="G132" t="s">
        <v>2651</v>
      </c>
      <c r="H132" t="s">
        <v>2652</v>
      </c>
      <c r="I132" t="s">
        <v>2651</v>
      </c>
      <c r="L132" t="b">
        <v>0</v>
      </c>
      <c r="M132" t="s">
        <v>50</v>
      </c>
      <c r="N132" t="s">
        <v>241</v>
      </c>
      <c r="P132" t="s">
        <v>33</v>
      </c>
      <c r="Q132">
        <v>1</v>
      </c>
      <c r="R132">
        <v>3</v>
      </c>
      <c r="S132">
        <v>99.906165285900002</v>
      </c>
      <c r="T132">
        <v>60000</v>
      </c>
      <c r="U132">
        <v>60000</v>
      </c>
      <c r="V132">
        <v>1</v>
      </c>
      <c r="W132">
        <v>26564879.59</v>
      </c>
      <c r="X132">
        <v>2448387838.3200002</v>
      </c>
      <c r="Y132">
        <v>2474952717.9099998</v>
      </c>
      <c r="Z132" t="s">
        <v>2618</v>
      </c>
    </row>
    <row r="133" spans="1:26" x14ac:dyDescent="0.25">
      <c r="A133">
        <v>11</v>
      </c>
      <c r="B133" t="s">
        <v>1781</v>
      </c>
      <c r="C133" t="s">
        <v>26</v>
      </c>
      <c r="D133" t="s">
        <v>2730</v>
      </c>
      <c r="E133">
        <v>17095</v>
      </c>
      <c r="G133" t="s">
        <v>2731</v>
      </c>
      <c r="H133" t="s">
        <v>2732</v>
      </c>
      <c r="I133" t="s">
        <v>2731</v>
      </c>
      <c r="L133" t="b">
        <v>0</v>
      </c>
      <c r="M133" t="s">
        <v>50</v>
      </c>
      <c r="N133" t="s">
        <v>241</v>
      </c>
      <c r="P133" t="s">
        <v>33</v>
      </c>
      <c r="Q133">
        <v>1</v>
      </c>
      <c r="R133">
        <v>3</v>
      </c>
      <c r="S133">
        <v>100.84203175170001</v>
      </c>
      <c r="T133">
        <v>42394</v>
      </c>
      <c r="U133">
        <v>179000</v>
      </c>
      <c r="V133">
        <v>0.23680000000000001</v>
      </c>
      <c r="W133">
        <v>28772052.140000001</v>
      </c>
      <c r="X133">
        <v>1746154391.95</v>
      </c>
      <c r="Y133">
        <v>1774926444.0899999</v>
      </c>
      <c r="Z133" t="s">
        <v>2618</v>
      </c>
    </row>
    <row r="134" spans="1:26" x14ac:dyDescent="0.25">
      <c r="A134">
        <v>11</v>
      </c>
      <c r="B134" t="s">
        <v>1781</v>
      </c>
      <c r="C134" t="s">
        <v>26</v>
      </c>
      <c r="D134" t="s">
        <v>2733</v>
      </c>
      <c r="E134">
        <v>138841</v>
      </c>
      <c r="G134" t="s">
        <v>2734</v>
      </c>
      <c r="H134" t="s">
        <v>2676</v>
      </c>
      <c r="I134" t="s">
        <v>2734</v>
      </c>
      <c r="L134" t="b">
        <v>0</v>
      </c>
      <c r="M134" t="s">
        <v>50</v>
      </c>
      <c r="N134" t="s">
        <v>241</v>
      </c>
      <c r="P134" t="s">
        <v>33</v>
      </c>
      <c r="Q134">
        <v>1</v>
      </c>
      <c r="R134">
        <v>3</v>
      </c>
      <c r="S134">
        <v>104.05361381100001</v>
      </c>
      <c r="T134">
        <v>27000</v>
      </c>
      <c r="U134">
        <v>27000</v>
      </c>
      <c r="V134">
        <v>1</v>
      </c>
      <c r="W134">
        <v>8266818.0300000003</v>
      </c>
      <c r="X134">
        <v>1147513135.76</v>
      </c>
      <c r="Y134">
        <v>1155779953.79</v>
      </c>
      <c r="Z134" t="s">
        <v>2618</v>
      </c>
    </row>
    <row r="135" spans="1:26" x14ac:dyDescent="0.25">
      <c r="A135">
        <v>11</v>
      </c>
      <c r="B135" t="s">
        <v>1781</v>
      </c>
      <c r="C135" t="s">
        <v>26</v>
      </c>
      <c r="D135" t="s">
        <v>2735</v>
      </c>
      <c r="E135">
        <v>595</v>
      </c>
      <c r="G135" t="s">
        <v>2736</v>
      </c>
      <c r="H135" t="s">
        <v>2737</v>
      </c>
      <c r="I135" t="s">
        <v>2736</v>
      </c>
      <c r="L135" t="b">
        <v>0</v>
      </c>
      <c r="M135" t="s">
        <v>50</v>
      </c>
      <c r="N135" t="s">
        <v>241</v>
      </c>
      <c r="P135" t="s">
        <v>33</v>
      </c>
      <c r="Q135">
        <v>1</v>
      </c>
      <c r="R135">
        <v>3</v>
      </c>
      <c r="S135">
        <v>104.2098232412</v>
      </c>
      <c r="T135">
        <v>22153.85</v>
      </c>
      <c r="U135">
        <v>48000</v>
      </c>
      <c r="V135">
        <v>0.46150000000000002</v>
      </c>
      <c r="W135">
        <v>1829123.01</v>
      </c>
      <c r="X135">
        <v>942962835.8900001</v>
      </c>
      <c r="Y135">
        <v>944791958.9000001</v>
      </c>
      <c r="Z135" t="s">
        <v>2618</v>
      </c>
    </row>
    <row r="136" spans="1:26" x14ac:dyDescent="0.25">
      <c r="A136">
        <v>11</v>
      </c>
      <c r="B136" t="s">
        <v>1781</v>
      </c>
      <c r="C136" t="s">
        <v>26</v>
      </c>
      <c r="D136" t="s">
        <v>2738</v>
      </c>
      <c r="E136">
        <v>191967</v>
      </c>
      <c r="G136" t="s">
        <v>2739</v>
      </c>
      <c r="H136" t="s">
        <v>1898</v>
      </c>
      <c r="I136" t="s">
        <v>2739</v>
      </c>
      <c r="L136" t="b">
        <v>0</v>
      </c>
      <c r="M136" t="s">
        <v>50</v>
      </c>
      <c r="N136" t="s">
        <v>241</v>
      </c>
      <c r="P136" t="s">
        <v>33</v>
      </c>
      <c r="Q136">
        <v>1</v>
      </c>
      <c r="R136">
        <v>3</v>
      </c>
      <c r="S136">
        <v>99.807690764200004</v>
      </c>
      <c r="T136">
        <v>50000</v>
      </c>
      <c r="U136">
        <v>50000</v>
      </c>
      <c r="V136">
        <v>1</v>
      </c>
      <c r="W136">
        <v>24500066.539999999</v>
      </c>
      <c r="X136">
        <v>2038312273.4400001</v>
      </c>
      <c r="Y136">
        <v>2062812339.98</v>
      </c>
      <c r="Z136" t="s">
        <v>2618</v>
      </c>
    </row>
    <row r="137" spans="1:26" x14ac:dyDescent="0.25">
      <c r="A137">
        <v>11</v>
      </c>
      <c r="B137" t="s">
        <v>1781</v>
      </c>
      <c r="C137" t="s">
        <v>26</v>
      </c>
      <c r="D137" t="s">
        <v>2740</v>
      </c>
      <c r="E137">
        <v>169007</v>
      </c>
      <c r="G137" t="s">
        <v>2741</v>
      </c>
      <c r="H137" t="s">
        <v>1893</v>
      </c>
      <c r="I137" t="s">
        <v>2741</v>
      </c>
      <c r="L137" t="b">
        <v>0</v>
      </c>
      <c r="M137" t="s">
        <v>50</v>
      </c>
      <c r="N137" t="s">
        <v>241</v>
      </c>
      <c r="P137" t="s">
        <v>33</v>
      </c>
      <c r="Q137">
        <v>1</v>
      </c>
      <c r="R137">
        <v>3</v>
      </c>
      <c r="S137">
        <v>101.5533849808</v>
      </c>
      <c r="T137">
        <v>30000</v>
      </c>
      <c r="U137">
        <v>30000</v>
      </c>
      <c r="V137">
        <v>1</v>
      </c>
      <c r="W137">
        <v>13109400.84</v>
      </c>
      <c r="X137">
        <v>1244378189.04</v>
      </c>
      <c r="Y137">
        <v>1257487589.8800001</v>
      </c>
      <c r="Z137" t="s">
        <v>2618</v>
      </c>
    </row>
    <row r="138" spans="1:26" x14ac:dyDescent="0.25">
      <c r="A138">
        <v>11</v>
      </c>
      <c r="B138" t="s">
        <v>1781</v>
      </c>
      <c r="C138" t="s">
        <v>26</v>
      </c>
      <c r="D138" t="s">
        <v>2742</v>
      </c>
      <c r="E138">
        <v>169008</v>
      </c>
      <c r="G138" t="s">
        <v>2743</v>
      </c>
      <c r="H138" t="s">
        <v>1893</v>
      </c>
      <c r="I138" t="s">
        <v>2743</v>
      </c>
      <c r="L138" t="b">
        <v>0</v>
      </c>
      <c r="M138" t="s">
        <v>50</v>
      </c>
      <c r="N138" t="s">
        <v>241</v>
      </c>
      <c r="P138" t="s">
        <v>33</v>
      </c>
      <c r="Q138">
        <v>1</v>
      </c>
      <c r="R138">
        <v>3</v>
      </c>
      <c r="S138">
        <v>101.5018680339</v>
      </c>
      <c r="T138">
        <v>20000</v>
      </c>
      <c r="U138">
        <v>20000</v>
      </c>
      <c r="V138">
        <v>1</v>
      </c>
      <c r="W138">
        <v>8987446.75</v>
      </c>
      <c r="X138">
        <v>829164349.57000005</v>
      </c>
      <c r="Y138">
        <v>838151796.32000005</v>
      </c>
      <c r="Z138" t="s">
        <v>2618</v>
      </c>
    </row>
    <row r="139" spans="1:26" x14ac:dyDescent="0.25">
      <c r="A139">
        <v>11</v>
      </c>
      <c r="B139" t="s">
        <v>1781</v>
      </c>
      <c r="C139" t="s">
        <v>26</v>
      </c>
      <c r="D139" t="s">
        <v>2744</v>
      </c>
      <c r="E139">
        <v>52891</v>
      </c>
      <c r="G139" t="s">
        <v>2745</v>
      </c>
      <c r="H139" t="s">
        <v>887</v>
      </c>
      <c r="I139" t="s">
        <v>2745</v>
      </c>
      <c r="L139" t="b">
        <v>0</v>
      </c>
      <c r="M139" t="s">
        <v>50</v>
      </c>
      <c r="N139" t="s">
        <v>241</v>
      </c>
      <c r="P139" t="s">
        <v>33</v>
      </c>
      <c r="Q139">
        <v>1</v>
      </c>
      <c r="R139">
        <v>3</v>
      </c>
      <c r="S139">
        <v>97.551299847999999</v>
      </c>
      <c r="T139">
        <v>20000</v>
      </c>
      <c r="U139">
        <v>20000</v>
      </c>
      <c r="V139">
        <v>1</v>
      </c>
      <c r="W139">
        <v>6807465</v>
      </c>
      <c r="X139">
        <v>796892472.54999995</v>
      </c>
      <c r="Y139">
        <v>803699937.54999995</v>
      </c>
      <c r="Z139" t="s">
        <v>2618</v>
      </c>
    </row>
    <row r="140" spans="1:26" x14ac:dyDescent="0.25">
      <c r="A140">
        <v>11</v>
      </c>
      <c r="B140" t="s">
        <v>1781</v>
      </c>
      <c r="C140" t="s">
        <v>26</v>
      </c>
      <c r="D140" t="s">
        <v>2746</v>
      </c>
      <c r="E140">
        <v>156830</v>
      </c>
      <c r="G140" t="s">
        <v>2747</v>
      </c>
      <c r="H140" t="s">
        <v>1916</v>
      </c>
      <c r="I140" t="s">
        <v>2747</v>
      </c>
      <c r="L140" t="b">
        <v>0</v>
      </c>
      <c r="M140" t="s">
        <v>50</v>
      </c>
      <c r="N140" t="s">
        <v>241</v>
      </c>
      <c r="P140" t="s">
        <v>33</v>
      </c>
      <c r="Q140">
        <v>1</v>
      </c>
      <c r="R140">
        <v>3</v>
      </c>
      <c r="S140">
        <v>101.1039826098</v>
      </c>
      <c r="T140">
        <v>30000</v>
      </c>
      <c r="U140">
        <v>30000</v>
      </c>
      <c r="V140">
        <v>1</v>
      </c>
      <c r="W140">
        <v>16847250.530000001</v>
      </c>
      <c r="X140">
        <v>1238871086</v>
      </c>
      <c r="Y140">
        <v>1255718336.53</v>
      </c>
      <c r="Z140" t="s">
        <v>2618</v>
      </c>
    </row>
    <row r="141" spans="1:26" x14ac:dyDescent="0.25">
      <c r="A141">
        <v>11</v>
      </c>
      <c r="B141" t="s">
        <v>1781</v>
      </c>
      <c r="C141" t="s">
        <v>26</v>
      </c>
      <c r="D141" t="s">
        <v>2748</v>
      </c>
      <c r="E141">
        <v>149419</v>
      </c>
      <c r="G141" t="s">
        <v>2749</v>
      </c>
      <c r="H141" t="s">
        <v>1916</v>
      </c>
      <c r="I141" t="s">
        <v>2749</v>
      </c>
      <c r="L141" t="b">
        <v>0</v>
      </c>
      <c r="M141" t="s">
        <v>50</v>
      </c>
      <c r="N141" t="s">
        <v>241</v>
      </c>
      <c r="P141" t="s">
        <v>33</v>
      </c>
      <c r="Q141">
        <v>1</v>
      </c>
      <c r="R141">
        <v>3</v>
      </c>
      <c r="S141">
        <v>102.8077427945</v>
      </c>
      <c r="T141">
        <v>40000</v>
      </c>
      <c r="U141">
        <v>40000</v>
      </c>
      <c r="V141">
        <v>1</v>
      </c>
      <c r="W141">
        <v>24446460.02</v>
      </c>
      <c r="X141">
        <v>1679664383.6500001</v>
      </c>
      <c r="Y141">
        <v>1704110843.6700001</v>
      </c>
      <c r="Z141" t="s">
        <v>2618</v>
      </c>
    </row>
    <row r="142" spans="1:26" x14ac:dyDescent="0.25">
      <c r="A142">
        <v>11</v>
      </c>
      <c r="B142" t="s">
        <v>1781</v>
      </c>
      <c r="C142" t="s">
        <v>26</v>
      </c>
      <c r="D142" t="s">
        <v>2750</v>
      </c>
      <c r="E142">
        <v>174458</v>
      </c>
      <c r="G142" t="s">
        <v>2751</v>
      </c>
      <c r="H142" t="s">
        <v>2752</v>
      </c>
      <c r="I142" t="s">
        <v>2751</v>
      </c>
      <c r="L142" t="b">
        <v>0</v>
      </c>
      <c r="M142" t="s">
        <v>50</v>
      </c>
      <c r="N142" t="s">
        <v>241</v>
      </c>
      <c r="P142" t="s">
        <v>33</v>
      </c>
      <c r="Q142">
        <v>1</v>
      </c>
      <c r="R142">
        <v>3</v>
      </c>
      <c r="S142">
        <v>99.781328982199994</v>
      </c>
      <c r="T142">
        <v>50000</v>
      </c>
      <c r="U142">
        <v>50000</v>
      </c>
      <c r="V142">
        <v>1</v>
      </c>
      <c r="W142">
        <v>11459278.130000001</v>
      </c>
      <c r="X142">
        <v>2037773530.6600001</v>
      </c>
      <c r="Y142">
        <v>2049232808.79</v>
      </c>
      <c r="Z142" t="s">
        <v>2618</v>
      </c>
    </row>
    <row r="143" spans="1:26" x14ac:dyDescent="0.25">
      <c r="A143">
        <v>11</v>
      </c>
      <c r="B143" t="s">
        <v>1781</v>
      </c>
      <c r="C143" t="s">
        <v>26</v>
      </c>
      <c r="D143" t="s">
        <v>2753</v>
      </c>
      <c r="E143">
        <v>612</v>
      </c>
      <c r="G143" t="s">
        <v>2754</v>
      </c>
      <c r="H143" t="s">
        <v>2755</v>
      </c>
      <c r="I143" t="s">
        <v>2754</v>
      </c>
      <c r="L143" t="b">
        <v>0</v>
      </c>
      <c r="M143" t="s">
        <v>50</v>
      </c>
      <c r="N143" t="s">
        <v>241</v>
      </c>
      <c r="P143" t="s">
        <v>33</v>
      </c>
      <c r="Q143">
        <v>1</v>
      </c>
      <c r="R143">
        <v>3</v>
      </c>
      <c r="S143">
        <v>97.248965860799998</v>
      </c>
      <c r="T143">
        <v>50000</v>
      </c>
      <c r="U143">
        <v>50000</v>
      </c>
      <c r="V143">
        <v>1</v>
      </c>
      <c r="W143">
        <v>29904513</v>
      </c>
      <c r="X143">
        <v>1986056674.46</v>
      </c>
      <c r="Y143">
        <v>2015961187.46</v>
      </c>
      <c r="Z143" t="s">
        <v>2618</v>
      </c>
    </row>
    <row r="144" spans="1:26" x14ac:dyDescent="0.25">
      <c r="A144">
        <v>11</v>
      </c>
      <c r="B144" t="s">
        <v>1781</v>
      </c>
      <c r="C144" t="s">
        <v>26</v>
      </c>
      <c r="D144" t="s">
        <v>2756</v>
      </c>
      <c r="E144">
        <v>129272</v>
      </c>
      <c r="G144" t="s">
        <v>2757</v>
      </c>
      <c r="H144" t="s">
        <v>2758</v>
      </c>
      <c r="I144" t="s">
        <v>2757</v>
      </c>
      <c r="L144" t="b">
        <v>0</v>
      </c>
      <c r="M144" t="s">
        <v>50</v>
      </c>
      <c r="N144" t="s">
        <v>241</v>
      </c>
      <c r="P144" t="s">
        <v>33</v>
      </c>
      <c r="Q144">
        <v>1</v>
      </c>
      <c r="R144">
        <v>3</v>
      </c>
      <c r="S144">
        <v>102.5819900832</v>
      </c>
      <c r="T144">
        <v>83500</v>
      </c>
      <c r="U144">
        <v>83500</v>
      </c>
      <c r="V144">
        <v>1</v>
      </c>
      <c r="W144">
        <v>27105228.48</v>
      </c>
      <c r="X144">
        <v>3498599698.4499998</v>
      </c>
      <c r="Y144">
        <v>3525704926.9299998</v>
      </c>
      <c r="Z144" t="s">
        <v>2618</v>
      </c>
    </row>
    <row r="145" spans="1:26" x14ac:dyDescent="0.25">
      <c r="A145">
        <v>11</v>
      </c>
      <c r="B145" t="s">
        <v>1781</v>
      </c>
      <c r="C145" t="s">
        <v>26</v>
      </c>
      <c r="D145" t="s">
        <v>2759</v>
      </c>
      <c r="E145">
        <v>129271</v>
      </c>
      <c r="G145" t="s">
        <v>2760</v>
      </c>
      <c r="H145" t="s">
        <v>2758</v>
      </c>
      <c r="I145" t="s">
        <v>2760</v>
      </c>
      <c r="L145" t="b">
        <v>0</v>
      </c>
      <c r="M145" t="s">
        <v>50</v>
      </c>
      <c r="N145" t="s">
        <v>241</v>
      </c>
      <c r="P145" t="s">
        <v>33</v>
      </c>
      <c r="Q145">
        <v>1</v>
      </c>
      <c r="R145">
        <v>3</v>
      </c>
      <c r="S145">
        <v>103.0571236974</v>
      </c>
      <c r="T145">
        <v>60000</v>
      </c>
      <c r="U145">
        <v>60000</v>
      </c>
      <c r="V145">
        <v>1</v>
      </c>
      <c r="W145">
        <v>19476810.879999999</v>
      </c>
      <c r="X145">
        <v>2525607772.9499998</v>
      </c>
      <c r="Y145">
        <v>2545084583.8299999</v>
      </c>
      <c r="Z145" t="s">
        <v>2618</v>
      </c>
    </row>
    <row r="146" spans="1:26" x14ac:dyDescent="0.25">
      <c r="A146">
        <v>11</v>
      </c>
      <c r="B146" t="s">
        <v>1781</v>
      </c>
      <c r="C146" t="s">
        <v>26</v>
      </c>
      <c r="D146" t="s">
        <v>2653</v>
      </c>
      <c r="E146">
        <v>138369</v>
      </c>
      <c r="G146" t="s">
        <v>2654</v>
      </c>
      <c r="H146" t="s">
        <v>1435</v>
      </c>
      <c r="I146" t="s">
        <v>2654</v>
      </c>
      <c r="L146" t="b">
        <v>0</v>
      </c>
      <c r="M146" t="s">
        <v>50</v>
      </c>
      <c r="N146" t="s">
        <v>241</v>
      </c>
      <c r="P146" t="s">
        <v>33</v>
      </c>
      <c r="Q146">
        <v>1</v>
      </c>
      <c r="R146">
        <v>3</v>
      </c>
      <c r="S146">
        <v>104.37280140990001</v>
      </c>
      <c r="T146">
        <v>28000</v>
      </c>
      <c r="U146">
        <v>28000</v>
      </c>
      <c r="V146">
        <v>1</v>
      </c>
      <c r="W146">
        <v>6932284.8600000003</v>
      </c>
      <c r="X146">
        <v>1193663663.98</v>
      </c>
      <c r="Y146">
        <v>1200595948.8399999</v>
      </c>
      <c r="Z146" t="s">
        <v>2618</v>
      </c>
    </row>
    <row r="147" spans="1:26" x14ac:dyDescent="0.25">
      <c r="A147">
        <v>11</v>
      </c>
      <c r="B147" t="s">
        <v>1781</v>
      </c>
      <c r="C147" t="s">
        <v>26</v>
      </c>
      <c r="D147" t="s">
        <v>2655</v>
      </c>
      <c r="E147">
        <v>132025</v>
      </c>
      <c r="G147" t="s">
        <v>2656</v>
      </c>
      <c r="H147" t="s">
        <v>2657</v>
      </c>
      <c r="I147" t="s">
        <v>2656</v>
      </c>
      <c r="L147" t="b">
        <v>0</v>
      </c>
      <c r="M147" t="s">
        <v>50</v>
      </c>
      <c r="N147" t="s">
        <v>241</v>
      </c>
      <c r="P147" t="s">
        <v>33</v>
      </c>
      <c r="Q147">
        <v>1</v>
      </c>
      <c r="R147">
        <v>3</v>
      </c>
      <c r="S147">
        <v>101.81414426720001</v>
      </c>
      <c r="T147">
        <v>40000</v>
      </c>
      <c r="U147">
        <v>40000</v>
      </c>
      <c r="V147">
        <v>1</v>
      </c>
      <c r="W147">
        <v>19952625.460000001</v>
      </c>
      <c r="X147">
        <v>1663431030.3099999</v>
      </c>
      <c r="Y147">
        <v>1683383655.77</v>
      </c>
      <c r="Z147" t="s">
        <v>2618</v>
      </c>
    </row>
    <row r="148" spans="1:26" x14ac:dyDescent="0.25">
      <c r="A148">
        <v>11</v>
      </c>
      <c r="B148" t="s">
        <v>1781</v>
      </c>
      <c r="C148" t="s">
        <v>26</v>
      </c>
      <c r="D148" t="s">
        <v>2761</v>
      </c>
      <c r="E148">
        <v>226687</v>
      </c>
      <c r="G148" t="s">
        <v>2762</v>
      </c>
      <c r="H148" t="s">
        <v>1935</v>
      </c>
      <c r="I148" t="s">
        <v>2762</v>
      </c>
      <c r="L148" t="b">
        <v>0</v>
      </c>
      <c r="M148" t="s">
        <v>50</v>
      </c>
      <c r="N148" t="s">
        <v>241</v>
      </c>
      <c r="P148" t="s">
        <v>33</v>
      </c>
      <c r="Q148">
        <v>1</v>
      </c>
      <c r="R148">
        <v>3</v>
      </c>
      <c r="S148">
        <v>98.480460616000002</v>
      </c>
      <c r="T148">
        <v>60000</v>
      </c>
      <c r="U148">
        <v>60000</v>
      </c>
      <c r="V148">
        <v>1</v>
      </c>
      <c r="W148">
        <v>11168013.939999999</v>
      </c>
      <c r="X148">
        <v>2413448388.0599999</v>
      </c>
      <c r="Y148">
        <v>2424616402</v>
      </c>
      <c r="Z148" t="s">
        <v>2618</v>
      </c>
    </row>
    <row r="149" spans="1:26" x14ac:dyDescent="0.25">
      <c r="A149">
        <v>11</v>
      </c>
      <c r="B149" t="s">
        <v>1781</v>
      </c>
      <c r="C149" t="s">
        <v>26</v>
      </c>
      <c r="D149" t="s">
        <v>2658</v>
      </c>
      <c r="E149">
        <v>3371</v>
      </c>
      <c r="G149" t="s">
        <v>2659</v>
      </c>
      <c r="H149" t="s">
        <v>1449</v>
      </c>
      <c r="I149" t="s">
        <v>2659</v>
      </c>
      <c r="L149" t="b">
        <v>0</v>
      </c>
      <c r="M149" t="s">
        <v>50</v>
      </c>
      <c r="N149" t="s">
        <v>241</v>
      </c>
      <c r="P149" t="s">
        <v>33</v>
      </c>
      <c r="Q149">
        <v>1</v>
      </c>
      <c r="R149">
        <v>3</v>
      </c>
      <c r="S149">
        <v>91.058000616100003</v>
      </c>
      <c r="T149">
        <v>11590.905000000001</v>
      </c>
      <c r="U149">
        <v>15000</v>
      </c>
      <c r="V149">
        <v>0.77270000000000005</v>
      </c>
      <c r="W149">
        <v>3086561.71</v>
      </c>
      <c r="X149">
        <v>431094293.82000011</v>
      </c>
      <c r="Y149">
        <v>434180855.52999997</v>
      </c>
      <c r="Z149" t="s">
        <v>2618</v>
      </c>
    </row>
    <row r="150" spans="1:26" x14ac:dyDescent="0.25">
      <c r="A150">
        <v>11</v>
      </c>
      <c r="B150" t="s">
        <v>1781</v>
      </c>
      <c r="C150" t="s">
        <v>26</v>
      </c>
      <c r="D150" t="s">
        <v>2660</v>
      </c>
      <c r="E150">
        <v>198727</v>
      </c>
      <c r="G150" t="s">
        <v>2661</v>
      </c>
      <c r="H150" t="s">
        <v>2662</v>
      </c>
      <c r="I150" t="s">
        <v>2661</v>
      </c>
      <c r="L150" t="b">
        <v>0</v>
      </c>
      <c r="M150" t="s">
        <v>50</v>
      </c>
      <c r="N150" t="s">
        <v>241</v>
      </c>
      <c r="P150" t="s">
        <v>33</v>
      </c>
      <c r="Q150">
        <v>1</v>
      </c>
      <c r="R150">
        <v>3</v>
      </c>
      <c r="S150">
        <v>92.8398473763</v>
      </c>
      <c r="T150">
        <v>67830</v>
      </c>
      <c r="U150">
        <v>67830</v>
      </c>
      <c r="V150">
        <v>1</v>
      </c>
      <c r="W150">
        <v>21083336.32</v>
      </c>
      <c r="X150">
        <v>2572129988.7600002</v>
      </c>
      <c r="Y150">
        <v>2593213325.0799999</v>
      </c>
      <c r="Z150" t="s">
        <v>2618</v>
      </c>
    </row>
    <row r="151" spans="1:26" x14ac:dyDescent="0.25">
      <c r="A151">
        <v>11</v>
      </c>
      <c r="B151" t="s">
        <v>1781</v>
      </c>
      <c r="C151" t="s">
        <v>26</v>
      </c>
      <c r="D151" t="s">
        <v>2763</v>
      </c>
      <c r="E151">
        <v>173300</v>
      </c>
      <c r="G151" t="s">
        <v>2764</v>
      </c>
      <c r="H151" t="s">
        <v>2765</v>
      </c>
      <c r="I151" t="s">
        <v>2764</v>
      </c>
      <c r="L151" t="b">
        <v>0</v>
      </c>
      <c r="M151" t="s">
        <v>50</v>
      </c>
      <c r="N151" t="s">
        <v>241</v>
      </c>
      <c r="P151" t="s">
        <v>33</v>
      </c>
      <c r="Q151">
        <v>1</v>
      </c>
      <c r="R151">
        <v>3</v>
      </c>
      <c r="S151">
        <v>100.85099419079999</v>
      </c>
      <c r="T151">
        <v>100000</v>
      </c>
      <c r="U151">
        <v>100000</v>
      </c>
      <c r="V151">
        <v>1</v>
      </c>
      <c r="W151">
        <v>44320200.439999998</v>
      </c>
      <c r="X151">
        <v>4119237507.8400002</v>
      </c>
      <c r="Y151">
        <v>4163557708.2800002</v>
      </c>
      <c r="Z151" t="s">
        <v>2618</v>
      </c>
    </row>
    <row r="152" spans="1:26" x14ac:dyDescent="0.25">
      <c r="A152">
        <v>11</v>
      </c>
      <c r="B152" t="s">
        <v>1781</v>
      </c>
      <c r="C152" t="s">
        <v>26</v>
      </c>
      <c r="D152" t="s">
        <v>2663</v>
      </c>
      <c r="E152">
        <v>217389</v>
      </c>
      <c r="G152" t="s">
        <v>2664</v>
      </c>
      <c r="H152" t="s">
        <v>2665</v>
      </c>
      <c r="I152" t="s">
        <v>2664</v>
      </c>
      <c r="L152" t="b">
        <v>0</v>
      </c>
      <c r="M152" t="s">
        <v>50</v>
      </c>
      <c r="N152" t="s">
        <v>241</v>
      </c>
      <c r="P152" t="s">
        <v>33</v>
      </c>
      <c r="Q152">
        <v>1</v>
      </c>
      <c r="R152">
        <v>3</v>
      </c>
      <c r="S152">
        <v>97.119761033499998</v>
      </c>
      <c r="T152">
        <v>130000</v>
      </c>
      <c r="U152">
        <v>130000</v>
      </c>
      <c r="V152">
        <v>1</v>
      </c>
      <c r="W152">
        <v>57933705.539999999</v>
      </c>
      <c r="X152">
        <v>5156887144.3600006</v>
      </c>
      <c r="Y152">
        <v>5214820849.9000006</v>
      </c>
      <c r="Z152" t="s">
        <v>2618</v>
      </c>
    </row>
    <row r="153" spans="1:26" x14ac:dyDescent="0.25">
      <c r="A153">
        <v>11</v>
      </c>
      <c r="B153" t="s">
        <v>1781</v>
      </c>
      <c r="C153" t="s">
        <v>26</v>
      </c>
      <c r="D153" t="s">
        <v>2766</v>
      </c>
      <c r="E153">
        <v>29728</v>
      </c>
      <c r="G153" t="s">
        <v>2767</v>
      </c>
      <c r="H153" t="s">
        <v>2768</v>
      </c>
      <c r="I153" t="s">
        <v>2767</v>
      </c>
      <c r="L153" t="b">
        <v>0</v>
      </c>
      <c r="M153" t="s">
        <v>50</v>
      </c>
      <c r="N153" t="s">
        <v>241</v>
      </c>
      <c r="P153" t="s">
        <v>33</v>
      </c>
      <c r="Q153">
        <v>1</v>
      </c>
      <c r="R153">
        <v>3</v>
      </c>
      <c r="S153">
        <v>107.6811442585</v>
      </c>
      <c r="T153">
        <v>61000</v>
      </c>
      <c r="U153">
        <v>61000</v>
      </c>
      <c r="V153">
        <v>1</v>
      </c>
      <c r="W153">
        <v>58768337.280000001</v>
      </c>
      <c r="X153">
        <v>2682910045.0999999</v>
      </c>
      <c r="Y153">
        <v>2741678382.3800011</v>
      </c>
      <c r="Z153" t="s">
        <v>2618</v>
      </c>
    </row>
    <row r="154" spans="1:26" x14ac:dyDescent="0.25">
      <c r="A154">
        <v>11</v>
      </c>
      <c r="B154" t="s">
        <v>1781</v>
      </c>
      <c r="C154" t="s">
        <v>26</v>
      </c>
      <c r="D154" t="s">
        <v>2769</v>
      </c>
      <c r="E154">
        <v>3407</v>
      </c>
      <c r="G154" t="s">
        <v>2770</v>
      </c>
      <c r="H154" t="s">
        <v>2771</v>
      </c>
      <c r="I154" t="s">
        <v>2770</v>
      </c>
      <c r="L154" t="b">
        <v>0</v>
      </c>
      <c r="M154" t="s">
        <v>50</v>
      </c>
      <c r="N154" t="s">
        <v>241</v>
      </c>
      <c r="P154" t="s">
        <v>33</v>
      </c>
      <c r="Q154">
        <v>1</v>
      </c>
      <c r="R154">
        <v>3</v>
      </c>
      <c r="S154">
        <v>93.673480538099994</v>
      </c>
      <c r="T154">
        <v>20000</v>
      </c>
      <c r="U154">
        <v>20000</v>
      </c>
      <c r="V154">
        <v>1</v>
      </c>
      <c r="W154">
        <v>1352570.68</v>
      </c>
      <c r="X154">
        <v>765214887.21000004</v>
      </c>
      <c r="Y154">
        <v>766567457.88999999</v>
      </c>
      <c r="Z154" t="s">
        <v>2618</v>
      </c>
    </row>
    <row r="155" spans="1:26" x14ac:dyDescent="0.25">
      <c r="A155">
        <v>11</v>
      </c>
      <c r="B155" t="s">
        <v>1781</v>
      </c>
      <c r="C155" t="s">
        <v>26</v>
      </c>
      <c r="D155" t="s">
        <v>2772</v>
      </c>
      <c r="E155">
        <v>154742</v>
      </c>
      <c r="G155" t="s">
        <v>2773</v>
      </c>
      <c r="H155" t="s">
        <v>2774</v>
      </c>
      <c r="I155" t="s">
        <v>2773</v>
      </c>
      <c r="L155" t="b">
        <v>0</v>
      </c>
      <c r="M155" t="s">
        <v>50</v>
      </c>
      <c r="N155" t="s">
        <v>241</v>
      </c>
      <c r="P155" t="s">
        <v>33</v>
      </c>
      <c r="Q155">
        <v>1</v>
      </c>
      <c r="R155">
        <v>3</v>
      </c>
      <c r="S155">
        <v>99.829702676400004</v>
      </c>
      <c r="T155">
        <v>57000</v>
      </c>
      <c r="U155">
        <v>57000</v>
      </c>
      <c r="V155">
        <v>1</v>
      </c>
      <c r="W155">
        <v>27151748.43</v>
      </c>
      <c r="X155">
        <v>2324188226.23</v>
      </c>
      <c r="Y155">
        <v>2351339974.6599989</v>
      </c>
      <c r="Z155" t="s">
        <v>2618</v>
      </c>
    </row>
    <row r="156" spans="1:26" x14ac:dyDescent="0.25">
      <c r="A156">
        <v>11</v>
      </c>
      <c r="B156" t="s">
        <v>1781</v>
      </c>
      <c r="C156" t="s">
        <v>26</v>
      </c>
      <c r="D156" t="s">
        <v>2775</v>
      </c>
      <c r="E156">
        <v>189922</v>
      </c>
      <c r="G156" t="s">
        <v>2776</v>
      </c>
      <c r="H156" t="s">
        <v>2774</v>
      </c>
      <c r="I156" t="s">
        <v>2776</v>
      </c>
      <c r="L156" t="b">
        <v>0</v>
      </c>
      <c r="M156" t="s">
        <v>50</v>
      </c>
      <c r="N156" t="s">
        <v>241</v>
      </c>
      <c r="P156" t="s">
        <v>33</v>
      </c>
      <c r="Q156">
        <v>1</v>
      </c>
      <c r="R156">
        <v>3</v>
      </c>
      <c r="S156">
        <v>99.000764703100003</v>
      </c>
      <c r="T156">
        <v>40000</v>
      </c>
      <c r="U156">
        <v>40000</v>
      </c>
      <c r="V156">
        <v>1</v>
      </c>
      <c r="W156">
        <v>0</v>
      </c>
      <c r="X156">
        <v>1617466345.8800001</v>
      </c>
      <c r="Y156">
        <v>1617466345.8800001</v>
      </c>
      <c r="Z156" t="s">
        <v>2618</v>
      </c>
    </row>
    <row r="157" spans="1:26" x14ac:dyDescent="0.25">
      <c r="A157">
        <v>11</v>
      </c>
      <c r="B157" t="s">
        <v>1781</v>
      </c>
      <c r="C157" t="s">
        <v>26</v>
      </c>
      <c r="D157" t="s">
        <v>2777</v>
      </c>
      <c r="E157">
        <v>28533</v>
      </c>
      <c r="G157" t="s">
        <v>2778</v>
      </c>
      <c r="H157" t="s">
        <v>1996</v>
      </c>
      <c r="I157" t="s">
        <v>2778</v>
      </c>
      <c r="L157" t="b">
        <v>0</v>
      </c>
      <c r="M157" t="s">
        <v>50</v>
      </c>
      <c r="N157" t="s">
        <v>241</v>
      </c>
      <c r="P157" t="s">
        <v>33</v>
      </c>
      <c r="Q157">
        <v>1</v>
      </c>
      <c r="R157">
        <v>3</v>
      </c>
      <c r="S157">
        <v>103.4390507629</v>
      </c>
      <c r="T157">
        <v>48000</v>
      </c>
      <c r="U157">
        <v>48000</v>
      </c>
      <c r="V157">
        <v>1</v>
      </c>
      <c r="W157">
        <v>19460042.510000002</v>
      </c>
      <c r="X157">
        <v>2027974048.6400001</v>
      </c>
      <c r="Y157">
        <v>2047434091.1500001</v>
      </c>
      <c r="Z157" t="s">
        <v>2618</v>
      </c>
    </row>
    <row r="158" spans="1:26" x14ac:dyDescent="0.25">
      <c r="A158">
        <v>11</v>
      </c>
      <c r="B158" t="s">
        <v>1781</v>
      </c>
      <c r="C158" t="s">
        <v>26</v>
      </c>
      <c r="D158" t="s">
        <v>2779</v>
      </c>
      <c r="E158">
        <v>28532</v>
      </c>
      <c r="G158" t="s">
        <v>2780</v>
      </c>
      <c r="H158" t="s">
        <v>1996</v>
      </c>
      <c r="I158" t="s">
        <v>2780</v>
      </c>
      <c r="L158" t="b">
        <v>0</v>
      </c>
      <c r="M158" t="s">
        <v>50</v>
      </c>
      <c r="N158" t="s">
        <v>241</v>
      </c>
      <c r="P158" t="s">
        <v>33</v>
      </c>
      <c r="Q158">
        <v>1</v>
      </c>
      <c r="R158">
        <v>3</v>
      </c>
      <c r="S158">
        <v>104.6351649169</v>
      </c>
      <c r="T158">
        <v>30000</v>
      </c>
      <c r="U158">
        <v>30000</v>
      </c>
      <c r="V158">
        <v>1</v>
      </c>
      <c r="W158">
        <v>8151299.4400000004</v>
      </c>
      <c r="X158">
        <v>1282140422.73</v>
      </c>
      <c r="Y158">
        <v>1290291722.1700001</v>
      </c>
      <c r="Z158" t="s">
        <v>2618</v>
      </c>
    </row>
    <row r="159" spans="1:26" x14ac:dyDescent="0.25">
      <c r="A159">
        <v>11</v>
      </c>
      <c r="B159" t="s">
        <v>1781</v>
      </c>
      <c r="C159" t="s">
        <v>26</v>
      </c>
      <c r="D159" t="s">
        <v>2781</v>
      </c>
      <c r="E159">
        <v>664</v>
      </c>
      <c r="G159" t="s">
        <v>2782</v>
      </c>
      <c r="H159" t="s">
        <v>2783</v>
      </c>
      <c r="I159" t="s">
        <v>2782</v>
      </c>
      <c r="L159" t="b">
        <v>0</v>
      </c>
      <c r="M159" t="s">
        <v>50</v>
      </c>
      <c r="N159" t="s">
        <v>241</v>
      </c>
      <c r="P159" t="s">
        <v>33</v>
      </c>
      <c r="Q159">
        <v>1</v>
      </c>
      <c r="R159">
        <v>3</v>
      </c>
      <c r="S159">
        <v>106.5070868703</v>
      </c>
      <c r="T159">
        <v>5000</v>
      </c>
      <c r="U159">
        <v>5000</v>
      </c>
      <c r="V159">
        <v>1</v>
      </c>
      <c r="W159">
        <v>674071.87</v>
      </c>
      <c r="X159">
        <v>217512802.43000001</v>
      </c>
      <c r="Y159">
        <v>218186874.30000001</v>
      </c>
      <c r="Z159" t="s">
        <v>2618</v>
      </c>
    </row>
    <row r="160" spans="1:26" x14ac:dyDescent="0.25">
      <c r="A160">
        <v>11</v>
      </c>
      <c r="B160" t="s">
        <v>1781</v>
      </c>
      <c r="C160" t="s">
        <v>26</v>
      </c>
      <c r="D160" t="s">
        <v>2784</v>
      </c>
      <c r="E160">
        <v>668</v>
      </c>
      <c r="G160" t="s">
        <v>2785</v>
      </c>
      <c r="H160" t="s">
        <v>2050</v>
      </c>
      <c r="I160" t="s">
        <v>2785</v>
      </c>
      <c r="L160" t="b">
        <v>0</v>
      </c>
      <c r="M160" t="s">
        <v>50</v>
      </c>
      <c r="N160" t="s">
        <v>241</v>
      </c>
      <c r="P160" t="s">
        <v>33</v>
      </c>
      <c r="Q160">
        <v>1</v>
      </c>
      <c r="R160">
        <v>3</v>
      </c>
      <c r="S160">
        <v>101.0507273801</v>
      </c>
      <c r="T160">
        <v>40000</v>
      </c>
      <c r="U160">
        <v>40000</v>
      </c>
      <c r="V160">
        <v>1</v>
      </c>
      <c r="W160">
        <v>2341041.83</v>
      </c>
      <c r="X160">
        <v>1650958256.79</v>
      </c>
      <c r="Y160">
        <v>1653299298.6199999</v>
      </c>
      <c r="Z160" t="s">
        <v>2618</v>
      </c>
    </row>
    <row r="161" spans="1:26" x14ac:dyDescent="0.25">
      <c r="A161">
        <v>11</v>
      </c>
      <c r="B161" t="s">
        <v>1781</v>
      </c>
      <c r="C161" t="s">
        <v>26</v>
      </c>
      <c r="D161" t="s">
        <v>2666</v>
      </c>
      <c r="E161">
        <v>219598</v>
      </c>
      <c r="G161" t="s">
        <v>2667</v>
      </c>
      <c r="H161" t="s">
        <v>1442</v>
      </c>
      <c r="I161" t="s">
        <v>2667</v>
      </c>
      <c r="L161" t="b">
        <v>0</v>
      </c>
      <c r="M161" t="s">
        <v>50</v>
      </c>
      <c r="N161" t="s">
        <v>241</v>
      </c>
      <c r="P161" t="s">
        <v>33</v>
      </c>
      <c r="Q161">
        <v>1</v>
      </c>
      <c r="R161">
        <v>3</v>
      </c>
      <c r="S161">
        <v>99.412244641000001</v>
      </c>
      <c r="T161">
        <v>110000</v>
      </c>
      <c r="U161">
        <v>110000</v>
      </c>
      <c r="V161">
        <v>1</v>
      </c>
      <c r="W161">
        <v>29513764.609999999</v>
      </c>
      <c r="X161">
        <v>4466519517.9199991</v>
      </c>
      <c r="Y161">
        <v>4496033282.5299988</v>
      </c>
      <c r="Z161" t="s">
        <v>2618</v>
      </c>
    </row>
    <row r="162" spans="1:26" x14ac:dyDescent="0.25">
      <c r="A162">
        <v>11</v>
      </c>
      <c r="B162" t="s">
        <v>1781</v>
      </c>
      <c r="C162" t="s">
        <v>26</v>
      </c>
      <c r="D162" t="s">
        <v>2668</v>
      </c>
      <c r="E162">
        <v>219599</v>
      </c>
      <c r="G162" t="s">
        <v>2669</v>
      </c>
      <c r="H162" t="s">
        <v>1442</v>
      </c>
      <c r="I162" t="s">
        <v>2669</v>
      </c>
      <c r="L162" t="b">
        <v>0</v>
      </c>
      <c r="M162" t="s">
        <v>50</v>
      </c>
      <c r="N162" t="s">
        <v>241</v>
      </c>
      <c r="P162" t="s">
        <v>33</v>
      </c>
      <c r="Q162">
        <v>1</v>
      </c>
      <c r="R162">
        <v>3</v>
      </c>
      <c r="S162">
        <v>95.181630522099994</v>
      </c>
      <c r="T162">
        <v>40000</v>
      </c>
      <c r="U162">
        <v>40000</v>
      </c>
      <c r="V162">
        <v>1</v>
      </c>
      <c r="W162">
        <v>14677081.01</v>
      </c>
      <c r="X162">
        <v>1555069393.99</v>
      </c>
      <c r="Y162">
        <v>1569746475</v>
      </c>
      <c r="Z162" t="s">
        <v>2618</v>
      </c>
    </row>
    <row r="163" spans="1:26" x14ac:dyDescent="0.25">
      <c r="A163">
        <v>11</v>
      </c>
      <c r="B163" t="s">
        <v>1781</v>
      </c>
      <c r="C163" t="s">
        <v>26</v>
      </c>
      <c r="D163" t="s">
        <v>2670</v>
      </c>
      <c r="E163">
        <v>29738</v>
      </c>
      <c r="G163" t="s">
        <v>2671</v>
      </c>
      <c r="H163" t="s">
        <v>1442</v>
      </c>
      <c r="I163" t="s">
        <v>2671</v>
      </c>
      <c r="L163" t="b">
        <v>0</v>
      </c>
      <c r="M163" t="s">
        <v>50</v>
      </c>
      <c r="N163" t="s">
        <v>241</v>
      </c>
      <c r="P163" t="s">
        <v>33</v>
      </c>
      <c r="Q163">
        <v>1</v>
      </c>
      <c r="R163">
        <v>3</v>
      </c>
      <c r="S163">
        <v>86.527666309099999</v>
      </c>
      <c r="T163">
        <v>9893</v>
      </c>
      <c r="U163">
        <v>11500</v>
      </c>
      <c r="V163">
        <v>0.86029999999999995</v>
      </c>
      <c r="W163">
        <v>2195440.65</v>
      </c>
      <c r="X163">
        <v>349639162.91000003</v>
      </c>
      <c r="Y163">
        <v>351834603.56</v>
      </c>
      <c r="Z163" t="s">
        <v>2618</v>
      </c>
    </row>
    <row r="164" spans="1:26" x14ac:dyDescent="0.25">
      <c r="A164">
        <v>11</v>
      </c>
      <c r="B164" t="s">
        <v>1781</v>
      </c>
      <c r="C164" t="s">
        <v>26</v>
      </c>
      <c r="D164" t="s">
        <v>2786</v>
      </c>
      <c r="E164">
        <v>16601</v>
      </c>
      <c r="G164" t="s">
        <v>2787</v>
      </c>
      <c r="H164" t="s">
        <v>1634</v>
      </c>
      <c r="I164" t="s">
        <v>2787</v>
      </c>
      <c r="L164" t="b">
        <v>0</v>
      </c>
      <c r="M164" t="s">
        <v>50</v>
      </c>
      <c r="N164" t="s">
        <v>241</v>
      </c>
      <c r="P164" t="s">
        <v>33</v>
      </c>
      <c r="Q164">
        <v>1</v>
      </c>
      <c r="R164">
        <v>3</v>
      </c>
      <c r="S164">
        <v>102.6665584605</v>
      </c>
      <c r="T164">
        <v>42000</v>
      </c>
      <c r="U164">
        <v>42000</v>
      </c>
      <c r="V164">
        <v>1</v>
      </c>
      <c r="W164">
        <v>20403933.149999999</v>
      </c>
      <c r="X164">
        <v>1761225302.5599999</v>
      </c>
      <c r="Y164">
        <v>1781629235.71</v>
      </c>
      <c r="Z164" t="s">
        <v>2618</v>
      </c>
    </row>
    <row r="165" spans="1:26" x14ac:dyDescent="0.25">
      <c r="A165">
        <v>11</v>
      </c>
      <c r="B165" t="s">
        <v>1781</v>
      </c>
      <c r="C165" t="s">
        <v>26</v>
      </c>
      <c r="D165" t="s">
        <v>2788</v>
      </c>
      <c r="E165">
        <v>194061</v>
      </c>
      <c r="G165" t="s">
        <v>2789</v>
      </c>
      <c r="H165" t="s">
        <v>1634</v>
      </c>
      <c r="I165" t="s">
        <v>2789</v>
      </c>
      <c r="L165" t="b">
        <v>0</v>
      </c>
      <c r="M165" t="s">
        <v>50</v>
      </c>
      <c r="N165" t="s">
        <v>241</v>
      </c>
      <c r="P165" t="s">
        <v>33</v>
      </c>
      <c r="Q165">
        <v>1</v>
      </c>
      <c r="R165">
        <v>3</v>
      </c>
      <c r="S165">
        <v>100.8929466199</v>
      </c>
      <c r="T165">
        <v>50000</v>
      </c>
      <c r="U165">
        <v>50000</v>
      </c>
      <c r="V165">
        <v>1</v>
      </c>
      <c r="W165">
        <v>5841984.9299999997</v>
      </c>
      <c r="X165">
        <v>2060475473.3900001</v>
      </c>
      <c r="Y165">
        <v>2066317458.3199999</v>
      </c>
      <c r="Z165" t="s">
        <v>2618</v>
      </c>
    </row>
    <row r="166" spans="1:26" x14ac:dyDescent="0.25">
      <c r="A166">
        <v>11</v>
      </c>
      <c r="B166" t="s">
        <v>1781</v>
      </c>
      <c r="C166" t="s">
        <v>26</v>
      </c>
      <c r="D166" t="s">
        <v>2790</v>
      </c>
      <c r="E166">
        <v>16600</v>
      </c>
      <c r="G166" t="s">
        <v>2791</v>
      </c>
      <c r="H166" t="s">
        <v>1634</v>
      </c>
      <c r="I166" t="s">
        <v>2791</v>
      </c>
      <c r="L166" t="b">
        <v>0</v>
      </c>
      <c r="M166" t="s">
        <v>50</v>
      </c>
      <c r="N166" t="s">
        <v>241</v>
      </c>
      <c r="P166" t="s">
        <v>33</v>
      </c>
      <c r="Q166">
        <v>1</v>
      </c>
      <c r="R166">
        <v>3</v>
      </c>
      <c r="S166">
        <v>102.6411186078</v>
      </c>
      <c r="T166">
        <v>25455</v>
      </c>
      <c r="U166">
        <v>80000</v>
      </c>
      <c r="V166">
        <v>0.31819999999999998</v>
      </c>
      <c r="W166">
        <v>11046856.380000001</v>
      </c>
      <c r="X166">
        <v>1067164081.77</v>
      </c>
      <c r="Y166">
        <v>1078210938.1500001</v>
      </c>
      <c r="Z166" t="s">
        <v>2618</v>
      </c>
    </row>
    <row r="167" spans="1:26" x14ac:dyDescent="0.25">
      <c r="A167">
        <v>11</v>
      </c>
      <c r="B167" t="s">
        <v>1781</v>
      </c>
      <c r="C167" t="s">
        <v>26</v>
      </c>
      <c r="D167" t="s">
        <v>2792</v>
      </c>
      <c r="E167">
        <v>16606</v>
      </c>
      <c r="G167" t="s">
        <v>2793</v>
      </c>
      <c r="H167" t="s">
        <v>1639</v>
      </c>
      <c r="I167" t="s">
        <v>2793</v>
      </c>
      <c r="L167" t="b">
        <v>0</v>
      </c>
      <c r="M167" t="s">
        <v>50</v>
      </c>
      <c r="N167" t="s">
        <v>241</v>
      </c>
      <c r="P167" t="s">
        <v>33</v>
      </c>
      <c r="Q167">
        <v>1</v>
      </c>
      <c r="R167">
        <v>3</v>
      </c>
      <c r="S167">
        <v>102.37357617230001</v>
      </c>
      <c r="T167">
        <v>40000</v>
      </c>
      <c r="U167">
        <v>40000</v>
      </c>
      <c r="V167">
        <v>1</v>
      </c>
      <c r="W167">
        <v>15099284.130000001</v>
      </c>
      <c r="X167">
        <v>1672570868.97</v>
      </c>
      <c r="Y167">
        <v>1687670153.0999999</v>
      </c>
      <c r="Z167" t="s">
        <v>2618</v>
      </c>
    </row>
    <row r="168" spans="1:26" x14ac:dyDescent="0.25">
      <c r="A168">
        <v>11</v>
      </c>
      <c r="B168" t="s">
        <v>1781</v>
      </c>
      <c r="C168" t="s">
        <v>26</v>
      </c>
      <c r="D168" t="s">
        <v>2794</v>
      </c>
      <c r="E168">
        <v>561</v>
      </c>
      <c r="G168" t="s">
        <v>2795</v>
      </c>
      <c r="H168" t="s">
        <v>1853</v>
      </c>
      <c r="I168" t="s">
        <v>2795</v>
      </c>
      <c r="L168" t="b">
        <v>0</v>
      </c>
      <c r="M168" t="s">
        <v>50</v>
      </c>
      <c r="N168" t="s">
        <v>241</v>
      </c>
      <c r="P168" t="s">
        <v>33</v>
      </c>
      <c r="Q168">
        <v>1</v>
      </c>
      <c r="R168">
        <v>3</v>
      </c>
      <c r="S168">
        <v>102.9608720746</v>
      </c>
      <c r="T168">
        <v>31272.723999999998</v>
      </c>
      <c r="U168">
        <v>43000</v>
      </c>
      <c r="V168">
        <v>0.72729999999999995</v>
      </c>
      <c r="W168">
        <v>16446021.77</v>
      </c>
      <c r="X168">
        <v>1315147505.98</v>
      </c>
      <c r="Y168">
        <v>1331593527.75</v>
      </c>
      <c r="Z168" t="s">
        <v>2618</v>
      </c>
    </row>
    <row r="169" spans="1:26" x14ac:dyDescent="0.25">
      <c r="A169">
        <v>11</v>
      </c>
      <c r="B169" t="s">
        <v>1781</v>
      </c>
      <c r="C169" t="s">
        <v>26</v>
      </c>
      <c r="D169" t="s">
        <v>2796</v>
      </c>
      <c r="E169">
        <v>573</v>
      </c>
      <c r="G169" t="s">
        <v>2797</v>
      </c>
      <c r="H169" t="s">
        <v>218</v>
      </c>
      <c r="I169" t="s">
        <v>2797</v>
      </c>
      <c r="L169" t="b">
        <v>0</v>
      </c>
      <c r="M169" t="s">
        <v>50</v>
      </c>
      <c r="N169" t="s">
        <v>241</v>
      </c>
      <c r="P169" t="s">
        <v>33</v>
      </c>
      <c r="Q169">
        <v>1</v>
      </c>
      <c r="R169">
        <v>3</v>
      </c>
      <c r="S169">
        <v>99.006198752200007</v>
      </c>
      <c r="T169">
        <v>85000</v>
      </c>
      <c r="U169">
        <v>85000</v>
      </c>
      <c r="V169">
        <v>1</v>
      </c>
      <c r="W169">
        <v>5908244.2599999998</v>
      </c>
      <c r="X169">
        <v>3437304330.54</v>
      </c>
      <c r="Y169">
        <v>3443212574.8000002</v>
      </c>
      <c r="Z169" t="s">
        <v>2618</v>
      </c>
    </row>
    <row r="170" spans="1:26" x14ac:dyDescent="0.25">
      <c r="A170">
        <v>11</v>
      </c>
      <c r="B170" t="s">
        <v>1781</v>
      </c>
      <c r="C170" t="s">
        <v>26</v>
      </c>
      <c r="D170" t="s">
        <v>2798</v>
      </c>
      <c r="E170">
        <v>17027</v>
      </c>
      <c r="G170" t="s">
        <v>2799</v>
      </c>
      <c r="H170" t="s">
        <v>218</v>
      </c>
      <c r="I170" t="s">
        <v>2799</v>
      </c>
      <c r="L170" t="b">
        <v>0</v>
      </c>
      <c r="M170" t="s">
        <v>50</v>
      </c>
      <c r="N170" t="s">
        <v>241</v>
      </c>
      <c r="P170" t="s">
        <v>33</v>
      </c>
      <c r="Q170">
        <v>1</v>
      </c>
      <c r="R170">
        <v>3</v>
      </c>
      <c r="S170">
        <v>104.1512986717</v>
      </c>
      <c r="T170">
        <v>70000</v>
      </c>
      <c r="U170">
        <v>70000</v>
      </c>
      <c r="V170">
        <v>1</v>
      </c>
      <c r="W170">
        <v>42915589.079999998</v>
      </c>
      <c r="X170">
        <v>2977826583.71</v>
      </c>
      <c r="Y170">
        <v>3020742172.79</v>
      </c>
      <c r="Z170" t="s">
        <v>2618</v>
      </c>
    </row>
    <row r="171" spans="1:26" x14ac:dyDescent="0.25">
      <c r="A171">
        <v>11</v>
      </c>
      <c r="B171" t="s">
        <v>1781</v>
      </c>
      <c r="C171" t="s">
        <v>26</v>
      </c>
      <c r="D171" t="s">
        <v>2800</v>
      </c>
      <c r="E171">
        <v>593</v>
      </c>
      <c r="G171" t="s">
        <v>2801</v>
      </c>
      <c r="H171" t="s">
        <v>2026</v>
      </c>
      <c r="I171" t="s">
        <v>2801</v>
      </c>
      <c r="L171" t="b">
        <v>0</v>
      </c>
      <c r="M171" t="s">
        <v>50</v>
      </c>
      <c r="N171" t="s">
        <v>241</v>
      </c>
      <c r="P171" t="s">
        <v>33</v>
      </c>
      <c r="Q171">
        <v>1</v>
      </c>
      <c r="R171">
        <v>3</v>
      </c>
      <c r="S171">
        <v>99.799246954400004</v>
      </c>
      <c r="T171">
        <v>3000</v>
      </c>
      <c r="U171">
        <v>3000</v>
      </c>
      <c r="V171">
        <v>1</v>
      </c>
      <c r="W171">
        <v>1058669.73</v>
      </c>
      <c r="X171">
        <v>122288484.36</v>
      </c>
      <c r="Y171">
        <v>123347154.09</v>
      </c>
      <c r="Z171" t="s">
        <v>2618</v>
      </c>
    </row>
    <row r="172" spans="1:26" x14ac:dyDescent="0.25">
      <c r="A172">
        <v>11</v>
      </c>
      <c r="B172" t="s">
        <v>1781</v>
      </c>
      <c r="C172" t="s">
        <v>26</v>
      </c>
      <c r="D172" t="s">
        <v>2802</v>
      </c>
      <c r="E172">
        <v>17087</v>
      </c>
      <c r="G172" t="s">
        <v>2803</v>
      </c>
      <c r="H172" t="s">
        <v>2026</v>
      </c>
      <c r="I172" t="s">
        <v>2803</v>
      </c>
      <c r="L172" t="b">
        <v>0</v>
      </c>
      <c r="M172" t="s">
        <v>50</v>
      </c>
      <c r="N172" t="s">
        <v>241</v>
      </c>
      <c r="P172" t="s">
        <v>33</v>
      </c>
      <c r="Q172">
        <v>1</v>
      </c>
      <c r="R172">
        <v>3</v>
      </c>
      <c r="S172">
        <v>104.93827396019999</v>
      </c>
      <c r="T172">
        <v>60000</v>
      </c>
      <c r="U172">
        <v>60000</v>
      </c>
      <c r="V172">
        <v>1</v>
      </c>
      <c r="W172">
        <v>17751118.5</v>
      </c>
      <c r="X172">
        <v>2571708878.98</v>
      </c>
      <c r="Y172">
        <v>2589459997.48</v>
      </c>
      <c r="Z172" t="s">
        <v>2618</v>
      </c>
    </row>
    <row r="173" spans="1:26" x14ac:dyDescent="0.25">
      <c r="A173">
        <v>11</v>
      </c>
      <c r="B173" t="s">
        <v>1781</v>
      </c>
      <c r="C173" t="s">
        <v>26</v>
      </c>
      <c r="D173" t="s">
        <v>2804</v>
      </c>
      <c r="E173">
        <v>27521</v>
      </c>
      <c r="G173" t="s">
        <v>2805</v>
      </c>
      <c r="H173" t="s">
        <v>1810</v>
      </c>
      <c r="I173" t="s">
        <v>2805</v>
      </c>
      <c r="L173" t="b">
        <v>0</v>
      </c>
      <c r="M173" t="s">
        <v>50</v>
      </c>
      <c r="N173" t="s">
        <v>241</v>
      </c>
      <c r="P173" t="s">
        <v>33</v>
      </c>
      <c r="Q173">
        <v>1</v>
      </c>
      <c r="R173">
        <v>3</v>
      </c>
      <c r="S173">
        <v>113.997924885</v>
      </c>
      <c r="T173">
        <v>30000</v>
      </c>
      <c r="U173">
        <v>30000</v>
      </c>
      <c r="V173">
        <v>1</v>
      </c>
      <c r="W173">
        <v>28686657.510000002</v>
      </c>
      <c r="X173">
        <v>1396866494.23</v>
      </c>
      <c r="Y173">
        <v>1425553151.74</v>
      </c>
      <c r="Z173" t="s">
        <v>2618</v>
      </c>
    </row>
    <row r="174" spans="1:26" x14ac:dyDescent="0.25">
      <c r="A174">
        <v>11</v>
      </c>
      <c r="B174" t="s">
        <v>1781</v>
      </c>
      <c r="C174" t="s">
        <v>26</v>
      </c>
      <c r="D174" t="s">
        <v>2806</v>
      </c>
      <c r="E174">
        <v>17113</v>
      </c>
      <c r="G174" t="s">
        <v>2807</v>
      </c>
      <c r="H174" t="s">
        <v>2696</v>
      </c>
      <c r="I174" t="s">
        <v>2807</v>
      </c>
      <c r="L174" t="b">
        <v>0</v>
      </c>
      <c r="M174" t="s">
        <v>50</v>
      </c>
      <c r="N174" t="s">
        <v>241</v>
      </c>
      <c r="P174" t="s">
        <v>33</v>
      </c>
      <c r="Q174">
        <v>1</v>
      </c>
      <c r="R174">
        <v>3</v>
      </c>
      <c r="S174">
        <v>102.761048495</v>
      </c>
      <c r="T174">
        <v>29999.964</v>
      </c>
      <c r="U174">
        <v>60000</v>
      </c>
      <c r="V174">
        <v>0.5</v>
      </c>
      <c r="W174">
        <v>22379159.309999999</v>
      </c>
      <c r="X174">
        <v>1259174622.6600001</v>
      </c>
      <c r="Y174">
        <v>1281553781.97</v>
      </c>
      <c r="Z174" t="s">
        <v>2618</v>
      </c>
    </row>
    <row r="175" spans="1:26" x14ac:dyDescent="0.25">
      <c r="A175">
        <v>11</v>
      </c>
      <c r="B175" t="s">
        <v>1781</v>
      </c>
      <c r="C175" t="s">
        <v>26</v>
      </c>
      <c r="D175" t="s">
        <v>2808</v>
      </c>
      <c r="E175">
        <v>597</v>
      </c>
      <c r="G175" t="s">
        <v>2809</v>
      </c>
      <c r="H175" t="s">
        <v>1902</v>
      </c>
      <c r="I175" t="s">
        <v>2809</v>
      </c>
      <c r="L175" t="b">
        <v>0</v>
      </c>
      <c r="M175" t="s">
        <v>50</v>
      </c>
      <c r="N175" t="s">
        <v>241</v>
      </c>
      <c r="P175" t="s">
        <v>33</v>
      </c>
      <c r="Q175">
        <v>1</v>
      </c>
      <c r="R175">
        <v>3</v>
      </c>
      <c r="S175">
        <v>103.8660209911</v>
      </c>
      <c r="T175">
        <v>96000</v>
      </c>
      <c r="U175">
        <v>96000</v>
      </c>
      <c r="V175">
        <v>1</v>
      </c>
      <c r="W175">
        <v>47921068.18</v>
      </c>
      <c r="X175">
        <v>4072690785.1599998</v>
      </c>
      <c r="Y175">
        <v>4120611853.3400002</v>
      </c>
      <c r="Z175" t="s">
        <v>2618</v>
      </c>
    </row>
    <row r="176" spans="1:26" x14ac:dyDescent="0.25">
      <c r="A176">
        <v>11</v>
      </c>
      <c r="B176" t="s">
        <v>1781</v>
      </c>
      <c r="C176" t="s">
        <v>26</v>
      </c>
      <c r="D176" t="s">
        <v>2810</v>
      </c>
      <c r="E176">
        <v>17141</v>
      </c>
      <c r="G176" t="s">
        <v>2811</v>
      </c>
      <c r="H176" t="s">
        <v>1893</v>
      </c>
      <c r="I176" t="s">
        <v>2811</v>
      </c>
      <c r="L176" t="b">
        <v>0</v>
      </c>
      <c r="M176" t="s">
        <v>50</v>
      </c>
      <c r="N176" t="s">
        <v>241</v>
      </c>
      <c r="P176" t="s">
        <v>33</v>
      </c>
      <c r="Q176">
        <v>1</v>
      </c>
      <c r="R176">
        <v>3</v>
      </c>
      <c r="S176">
        <v>100.4862571517</v>
      </c>
      <c r="T176">
        <v>75000</v>
      </c>
      <c r="U176">
        <v>75000</v>
      </c>
      <c r="V176">
        <v>1</v>
      </c>
      <c r="W176">
        <v>17715914.5</v>
      </c>
      <c r="X176">
        <v>3078254936.46</v>
      </c>
      <c r="Y176">
        <v>3095970850.96</v>
      </c>
      <c r="Z176" t="s">
        <v>2618</v>
      </c>
    </row>
    <row r="177" spans="1:26" x14ac:dyDescent="0.25">
      <c r="A177">
        <v>11</v>
      </c>
      <c r="B177" t="s">
        <v>1781</v>
      </c>
      <c r="C177" t="s">
        <v>26</v>
      </c>
      <c r="D177" t="s">
        <v>2812</v>
      </c>
      <c r="E177">
        <v>53447</v>
      </c>
      <c r="G177" t="s">
        <v>2813</v>
      </c>
      <c r="H177" t="s">
        <v>1916</v>
      </c>
      <c r="I177" t="s">
        <v>2813</v>
      </c>
      <c r="L177" t="b">
        <v>0</v>
      </c>
      <c r="M177" t="s">
        <v>50</v>
      </c>
      <c r="N177" t="s">
        <v>241</v>
      </c>
      <c r="P177" t="s">
        <v>33</v>
      </c>
      <c r="Q177">
        <v>1</v>
      </c>
      <c r="R177">
        <v>3</v>
      </c>
      <c r="S177">
        <v>102.43951097759999</v>
      </c>
      <c r="T177">
        <v>35000</v>
      </c>
      <c r="U177">
        <v>35000</v>
      </c>
      <c r="V177">
        <v>1</v>
      </c>
      <c r="W177">
        <v>7306679.0999999996</v>
      </c>
      <c r="X177">
        <v>1464442157.05</v>
      </c>
      <c r="Y177">
        <v>1471748836.1500001</v>
      </c>
      <c r="Z177" t="s">
        <v>2618</v>
      </c>
    </row>
    <row r="178" spans="1:26" x14ac:dyDescent="0.25">
      <c r="A178">
        <v>11</v>
      </c>
      <c r="B178" t="s">
        <v>1781</v>
      </c>
      <c r="C178" t="s">
        <v>26</v>
      </c>
      <c r="D178" t="s">
        <v>2672</v>
      </c>
      <c r="E178">
        <v>131576</v>
      </c>
      <c r="G178" t="s">
        <v>2673</v>
      </c>
      <c r="H178" t="s">
        <v>1916</v>
      </c>
      <c r="I178" t="s">
        <v>2673</v>
      </c>
      <c r="L178" t="b">
        <v>0</v>
      </c>
      <c r="M178" t="s">
        <v>50</v>
      </c>
      <c r="N178" t="s">
        <v>241</v>
      </c>
      <c r="P178" t="s">
        <v>33</v>
      </c>
      <c r="Q178">
        <v>1</v>
      </c>
      <c r="R178">
        <v>3</v>
      </c>
      <c r="S178">
        <v>101.4851185898</v>
      </c>
      <c r="T178">
        <v>20000</v>
      </c>
      <c r="U178">
        <v>20000</v>
      </c>
      <c r="V178">
        <v>1</v>
      </c>
      <c r="W178">
        <v>11410282.539999999</v>
      </c>
      <c r="X178">
        <v>829027519.52999997</v>
      </c>
      <c r="Y178">
        <v>840437802.06999993</v>
      </c>
      <c r="Z178" t="s">
        <v>2618</v>
      </c>
    </row>
    <row r="179" spans="1:26" x14ac:dyDescent="0.25">
      <c r="A179">
        <v>11</v>
      </c>
      <c r="B179" t="s">
        <v>1781</v>
      </c>
      <c r="C179" t="s">
        <v>26</v>
      </c>
      <c r="D179" t="s">
        <v>2814</v>
      </c>
      <c r="E179">
        <v>654</v>
      </c>
      <c r="G179" t="s">
        <v>2815</v>
      </c>
      <c r="H179" t="s">
        <v>2042</v>
      </c>
      <c r="I179" t="s">
        <v>2815</v>
      </c>
      <c r="L179" t="b">
        <v>0</v>
      </c>
      <c r="M179" t="s">
        <v>50</v>
      </c>
      <c r="N179" t="s">
        <v>241</v>
      </c>
      <c r="P179" t="s">
        <v>33</v>
      </c>
      <c r="Q179">
        <v>1</v>
      </c>
      <c r="R179">
        <v>3</v>
      </c>
      <c r="S179">
        <v>94.647302378399999</v>
      </c>
      <c r="T179">
        <v>15000</v>
      </c>
      <c r="U179">
        <v>15000</v>
      </c>
      <c r="V179">
        <v>1</v>
      </c>
      <c r="W179">
        <v>5063463.95</v>
      </c>
      <c r="X179">
        <v>579877568.11000001</v>
      </c>
      <c r="Y179">
        <v>584941032.06000006</v>
      </c>
      <c r="Z179" t="s">
        <v>2618</v>
      </c>
    </row>
    <row r="180" spans="1:26" x14ac:dyDescent="0.25">
      <c r="A180">
        <v>11</v>
      </c>
      <c r="B180" t="s">
        <v>1781</v>
      </c>
      <c r="C180" t="s">
        <v>26</v>
      </c>
      <c r="D180" t="s">
        <v>2816</v>
      </c>
      <c r="E180">
        <v>662</v>
      </c>
      <c r="G180" t="s">
        <v>2817</v>
      </c>
      <c r="H180" t="s">
        <v>2818</v>
      </c>
      <c r="I180" t="s">
        <v>2817</v>
      </c>
      <c r="L180" t="b">
        <v>0</v>
      </c>
      <c r="M180" t="s">
        <v>50</v>
      </c>
      <c r="N180" t="s">
        <v>241</v>
      </c>
      <c r="P180" t="s">
        <v>33</v>
      </c>
      <c r="Q180">
        <v>1</v>
      </c>
      <c r="R180">
        <v>3</v>
      </c>
      <c r="S180">
        <v>96.801334648999998</v>
      </c>
      <c r="T180">
        <v>20392</v>
      </c>
      <c r="U180">
        <v>34000</v>
      </c>
      <c r="V180">
        <v>0.5998</v>
      </c>
      <c r="W180">
        <v>2262175.2999999998</v>
      </c>
      <c r="X180">
        <v>806265126.50999987</v>
      </c>
      <c r="Y180">
        <v>808527301.80999982</v>
      </c>
      <c r="Z180" t="s">
        <v>2618</v>
      </c>
    </row>
    <row r="181" spans="1:26" x14ac:dyDescent="0.25">
      <c r="A181">
        <v>11</v>
      </c>
      <c r="B181" t="s">
        <v>1781</v>
      </c>
      <c r="C181" t="s">
        <v>26</v>
      </c>
      <c r="D181" t="s">
        <v>2819</v>
      </c>
      <c r="E181">
        <v>663</v>
      </c>
      <c r="G181" t="s">
        <v>2820</v>
      </c>
      <c r="H181" t="s">
        <v>2818</v>
      </c>
      <c r="I181" t="s">
        <v>2820</v>
      </c>
      <c r="L181" t="b">
        <v>0</v>
      </c>
      <c r="M181" t="s">
        <v>50</v>
      </c>
      <c r="N181" t="s">
        <v>241</v>
      </c>
      <c r="P181" t="s">
        <v>33</v>
      </c>
      <c r="Q181">
        <v>1</v>
      </c>
      <c r="R181">
        <v>3</v>
      </c>
      <c r="S181">
        <v>96.5492425857</v>
      </c>
      <c r="T181">
        <v>144923</v>
      </c>
      <c r="U181">
        <v>213000</v>
      </c>
      <c r="V181">
        <v>0.6804</v>
      </c>
      <c r="W181">
        <v>16079478.83</v>
      </c>
      <c r="X181">
        <v>5715087157.0699987</v>
      </c>
      <c r="Y181">
        <v>5731166635.8999987</v>
      </c>
      <c r="Z181" t="s">
        <v>2618</v>
      </c>
    </row>
    <row r="182" spans="1:26" x14ac:dyDescent="0.25">
      <c r="A182">
        <v>11</v>
      </c>
      <c r="B182" t="s">
        <v>1781</v>
      </c>
      <c r="C182" t="s">
        <v>26</v>
      </c>
      <c r="D182" t="s">
        <v>2821</v>
      </c>
      <c r="E182">
        <v>1127</v>
      </c>
      <c r="G182" t="s">
        <v>2822</v>
      </c>
      <c r="H182" t="s">
        <v>2000</v>
      </c>
      <c r="I182" t="s">
        <v>2822</v>
      </c>
      <c r="L182" t="b">
        <v>0</v>
      </c>
      <c r="M182" t="s">
        <v>50</v>
      </c>
      <c r="N182" t="s">
        <v>241</v>
      </c>
      <c r="P182" t="s">
        <v>33</v>
      </c>
      <c r="Q182">
        <v>1</v>
      </c>
      <c r="R182">
        <v>3</v>
      </c>
      <c r="S182">
        <v>105.6594129384</v>
      </c>
      <c r="T182">
        <v>1000</v>
      </c>
      <c r="U182">
        <v>1000</v>
      </c>
      <c r="V182">
        <v>1</v>
      </c>
      <c r="W182">
        <v>539246.53</v>
      </c>
      <c r="X182">
        <v>43156196.670000002</v>
      </c>
      <c r="Y182">
        <v>43695443.200000003</v>
      </c>
      <c r="Z182" t="s">
        <v>2618</v>
      </c>
    </row>
    <row r="183" spans="1:26" x14ac:dyDescent="0.25">
      <c r="A183">
        <v>11</v>
      </c>
      <c r="B183" t="s">
        <v>1781</v>
      </c>
      <c r="C183" t="s">
        <v>26</v>
      </c>
      <c r="D183" t="s">
        <v>2823</v>
      </c>
      <c r="E183">
        <v>29436</v>
      </c>
      <c r="G183" t="s">
        <v>2824</v>
      </c>
      <c r="H183" t="s">
        <v>2825</v>
      </c>
      <c r="I183" t="s">
        <v>2824</v>
      </c>
      <c r="L183" t="b">
        <v>0</v>
      </c>
      <c r="M183" t="s">
        <v>50</v>
      </c>
      <c r="N183" t="s">
        <v>241</v>
      </c>
      <c r="P183" t="s">
        <v>33</v>
      </c>
      <c r="Q183">
        <v>1</v>
      </c>
      <c r="R183">
        <v>3</v>
      </c>
      <c r="S183">
        <v>103.0197767925</v>
      </c>
      <c r="T183">
        <v>19727.272000000001</v>
      </c>
      <c r="U183">
        <v>31000</v>
      </c>
      <c r="V183">
        <v>0.63639999999999997</v>
      </c>
      <c r="W183">
        <v>12056549.15</v>
      </c>
      <c r="X183">
        <v>830088258.71999991</v>
      </c>
      <c r="Y183">
        <v>842144807.86999989</v>
      </c>
      <c r="Z183" t="s">
        <v>2618</v>
      </c>
    </row>
    <row r="184" spans="1:26" x14ac:dyDescent="0.25">
      <c r="A184">
        <v>11</v>
      </c>
      <c r="B184" t="s">
        <v>1781</v>
      </c>
      <c r="C184" t="s">
        <v>26</v>
      </c>
      <c r="D184" t="s">
        <v>2826</v>
      </c>
      <c r="E184">
        <v>28602</v>
      </c>
      <c r="G184" t="s">
        <v>2827</v>
      </c>
      <c r="H184" t="s">
        <v>2828</v>
      </c>
      <c r="I184" t="s">
        <v>2827</v>
      </c>
      <c r="L184" t="b">
        <v>0</v>
      </c>
      <c r="M184" t="s">
        <v>50</v>
      </c>
      <c r="N184" t="s">
        <v>241</v>
      </c>
      <c r="P184" t="s">
        <v>33</v>
      </c>
      <c r="Q184">
        <v>1</v>
      </c>
      <c r="R184">
        <v>3</v>
      </c>
      <c r="S184">
        <v>100.0145981708</v>
      </c>
      <c r="T184">
        <v>17181.817999999999</v>
      </c>
      <c r="U184">
        <v>42000</v>
      </c>
      <c r="V184">
        <v>0.40910000000000002</v>
      </c>
      <c r="W184">
        <v>11539400.039999999</v>
      </c>
      <c r="X184">
        <v>701890350.13999975</v>
      </c>
      <c r="Y184">
        <v>713429750.17999971</v>
      </c>
      <c r="Z184" t="s">
        <v>2618</v>
      </c>
    </row>
    <row r="185" spans="1:26" x14ac:dyDescent="0.25">
      <c r="A185">
        <v>11</v>
      </c>
      <c r="B185" t="s">
        <v>1781</v>
      </c>
      <c r="C185" t="s">
        <v>26</v>
      </c>
      <c r="D185" t="s">
        <v>2829</v>
      </c>
      <c r="E185">
        <v>640</v>
      </c>
      <c r="G185" t="s">
        <v>2830</v>
      </c>
      <c r="H185" t="s">
        <v>2768</v>
      </c>
      <c r="I185" t="s">
        <v>2830</v>
      </c>
      <c r="L185" t="b">
        <v>0</v>
      </c>
      <c r="M185" t="s">
        <v>50</v>
      </c>
      <c r="N185" t="s">
        <v>241</v>
      </c>
      <c r="P185" t="s">
        <v>33</v>
      </c>
      <c r="Q185">
        <v>1</v>
      </c>
      <c r="R185">
        <v>3</v>
      </c>
      <c r="S185">
        <v>101.8335921374</v>
      </c>
      <c r="T185">
        <v>1000</v>
      </c>
      <c r="U185">
        <v>1000</v>
      </c>
      <c r="V185">
        <v>1</v>
      </c>
      <c r="W185">
        <v>219501.96</v>
      </c>
      <c r="X185">
        <v>41593883.450000003</v>
      </c>
      <c r="Y185">
        <v>41813385.409999996</v>
      </c>
      <c r="Z185" t="s">
        <v>2618</v>
      </c>
    </row>
    <row r="186" spans="1:26" x14ac:dyDescent="0.25">
      <c r="A186">
        <v>11</v>
      </c>
      <c r="B186" t="s">
        <v>1781</v>
      </c>
      <c r="C186" t="s">
        <v>26</v>
      </c>
      <c r="D186" t="s">
        <v>2831</v>
      </c>
      <c r="E186">
        <v>5688</v>
      </c>
      <c r="G186" t="s">
        <v>2832</v>
      </c>
      <c r="H186" t="s">
        <v>1857</v>
      </c>
      <c r="I186" t="s">
        <v>2832</v>
      </c>
      <c r="L186" t="b">
        <v>0</v>
      </c>
      <c r="M186" t="s">
        <v>50</v>
      </c>
      <c r="N186" t="s">
        <v>241</v>
      </c>
      <c r="P186" t="s">
        <v>33</v>
      </c>
      <c r="Q186">
        <v>1</v>
      </c>
      <c r="R186">
        <v>3</v>
      </c>
      <c r="S186">
        <v>109.5085105049</v>
      </c>
      <c r="T186">
        <v>30000</v>
      </c>
      <c r="U186">
        <v>30000</v>
      </c>
      <c r="V186">
        <v>1</v>
      </c>
      <c r="W186">
        <v>13178734.869999999</v>
      </c>
      <c r="X186">
        <v>1341855505.71</v>
      </c>
      <c r="Y186">
        <v>1355034240.5799999</v>
      </c>
      <c r="Z186" t="s">
        <v>2618</v>
      </c>
    </row>
    <row r="187" spans="1:26" x14ac:dyDescent="0.25">
      <c r="A187">
        <v>11</v>
      </c>
      <c r="B187" t="s">
        <v>1781</v>
      </c>
      <c r="C187" t="s">
        <v>26</v>
      </c>
      <c r="D187" t="s">
        <v>2833</v>
      </c>
      <c r="E187">
        <v>1115</v>
      </c>
      <c r="G187" t="s">
        <v>2834</v>
      </c>
      <c r="H187" t="s">
        <v>1795</v>
      </c>
      <c r="I187" t="s">
        <v>2834</v>
      </c>
      <c r="L187" t="b">
        <v>0</v>
      </c>
      <c r="M187" t="s">
        <v>50</v>
      </c>
      <c r="N187" t="s">
        <v>241</v>
      </c>
      <c r="P187" t="s">
        <v>33</v>
      </c>
      <c r="Q187">
        <v>1</v>
      </c>
      <c r="R187">
        <v>3</v>
      </c>
      <c r="S187">
        <v>98.149126962500006</v>
      </c>
      <c r="T187">
        <v>10000</v>
      </c>
      <c r="U187">
        <v>10000</v>
      </c>
      <c r="V187">
        <v>1</v>
      </c>
      <c r="W187">
        <v>994588.79</v>
      </c>
      <c r="X187">
        <v>400887937.82000011</v>
      </c>
      <c r="Y187">
        <v>401882526.61000007</v>
      </c>
      <c r="Z187" t="s">
        <v>2618</v>
      </c>
    </row>
    <row r="188" spans="1:26" x14ac:dyDescent="0.25">
      <c r="A188">
        <v>11</v>
      </c>
      <c r="B188" t="s">
        <v>1781</v>
      </c>
      <c r="C188" t="s">
        <v>26</v>
      </c>
      <c r="D188" t="s">
        <v>2835</v>
      </c>
      <c r="E188">
        <v>1117</v>
      </c>
      <c r="G188" t="s">
        <v>2836</v>
      </c>
      <c r="H188" t="s">
        <v>1935</v>
      </c>
      <c r="I188" t="s">
        <v>2836</v>
      </c>
      <c r="L188" t="b">
        <v>0</v>
      </c>
      <c r="M188" t="s">
        <v>50</v>
      </c>
      <c r="N188" t="s">
        <v>241</v>
      </c>
      <c r="P188" t="s">
        <v>33</v>
      </c>
      <c r="Q188">
        <v>1</v>
      </c>
      <c r="R188">
        <v>3</v>
      </c>
      <c r="S188">
        <v>102.9674684382</v>
      </c>
      <c r="T188">
        <v>500</v>
      </c>
      <c r="U188">
        <v>1000</v>
      </c>
      <c r="V188">
        <v>0.5</v>
      </c>
      <c r="W188">
        <v>35950.53</v>
      </c>
      <c r="X188">
        <v>21028531.68</v>
      </c>
      <c r="Y188">
        <v>21064482.210000001</v>
      </c>
      <c r="Z188" t="s">
        <v>2618</v>
      </c>
    </row>
    <row r="189" spans="1:26" x14ac:dyDescent="0.25">
      <c r="A189">
        <v>11</v>
      </c>
      <c r="B189" t="s">
        <v>1781</v>
      </c>
      <c r="C189" t="s">
        <v>26</v>
      </c>
      <c r="D189" t="s">
        <v>2837</v>
      </c>
      <c r="E189">
        <v>564</v>
      </c>
      <c r="G189" t="s">
        <v>2838</v>
      </c>
      <c r="H189" t="s">
        <v>2839</v>
      </c>
      <c r="I189" t="s">
        <v>2838</v>
      </c>
      <c r="L189" t="b">
        <v>0</v>
      </c>
      <c r="M189" t="s">
        <v>50</v>
      </c>
      <c r="N189" t="s">
        <v>241</v>
      </c>
      <c r="P189" t="s">
        <v>33</v>
      </c>
      <c r="Q189">
        <v>1</v>
      </c>
      <c r="R189">
        <v>3</v>
      </c>
      <c r="S189">
        <v>103.8999463331</v>
      </c>
      <c r="T189">
        <v>454.54599999999999</v>
      </c>
      <c r="U189">
        <v>1000</v>
      </c>
      <c r="V189">
        <v>0.45450000000000002</v>
      </c>
      <c r="W189">
        <v>315619.21000000002</v>
      </c>
      <c r="X189">
        <v>19289768.969999999</v>
      </c>
      <c r="Y189">
        <v>19605388.18</v>
      </c>
      <c r="Z189" t="s">
        <v>2618</v>
      </c>
    </row>
    <row r="190" spans="1:26" x14ac:dyDescent="0.25">
      <c r="A190">
        <v>11</v>
      </c>
      <c r="B190" t="s">
        <v>1781</v>
      </c>
      <c r="C190" t="s">
        <v>26</v>
      </c>
      <c r="D190" t="s">
        <v>2840</v>
      </c>
      <c r="E190">
        <v>706</v>
      </c>
      <c r="G190" t="s">
        <v>2841</v>
      </c>
      <c r="H190" t="s">
        <v>2842</v>
      </c>
      <c r="I190" t="s">
        <v>2841</v>
      </c>
      <c r="L190" t="b">
        <v>0</v>
      </c>
      <c r="M190" t="s">
        <v>50</v>
      </c>
      <c r="N190" t="s">
        <v>241</v>
      </c>
      <c r="P190" t="s">
        <v>33</v>
      </c>
      <c r="Q190">
        <v>1</v>
      </c>
      <c r="R190">
        <v>3</v>
      </c>
      <c r="S190">
        <v>103.3454661693</v>
      </c>
      <c r="T190">
        <v>2500</v>
      </c>
      <c r="U190">
        <v>5000</v>
      </c>
      <c r="V190">
        <v>0.5</v>
      </c>
      <c r="W190">
        <v>1414863.53</v>
      </c>
      <c r="X190">
        <v>105528233.23999999</v>
      </c>
      <c r="Y190">
        <v>106943096.77</v>
      </c>
      <c r="Z190" t="s">
        <v>2618</v>
      </c>
    </row>
    <row r="191" spans="1:26" x14ac:dyDescent="0.25">
      <c r="A191">
        <v>11</v>
      </c>
      <c r="B191" t="s">
        <v>1781</v>
      </c>
      <c r="C191" t="s">
        <v>26</v>
      </c>
      <c r="D191" t="s">
        <v>2843</v>
      </c>
      <c r="E191">
        <v>707</v>
      </c>
      <c r="G191" t="s">
        <v>2844</v>
      </c>
      <c r="H191" t="s">
        <v>2842</v>
      </c>
      <c r="I191" t="s">
        <v>2844</v>
      </c>
      <c r="L191" t="b">
        <v>0</v>
      </c>
      <c r="M191" t="s">
        <v>50</v>
      </c>
      <c r="N191" t="s">
        <v>241</v>
      </c>
      <c r="P191" t="s">
        <v>33</v>
      </c>
      <c r="Q191">
        <v>1</v>
      </c>
      <c r="R191">
        <v>3</v>
      </c>
      <c r="S191">
        <v>106.4457060963</v>
      </c>
      <c r="T191">
        <v>17000</v>
      </c>
      <c r="U191">
        <v>17000</v>
      </c>
      <c r="V191">
        <v>1</v>
      </c>
      <c r="W191">
        <v>6093345.5800000001</v>
      </c>
      <c r="X191">
        <v>739117925.53999996</v>
      </c>
      <c r="Y191">
        <v>745211271.12</v>
      </c>
      <c r="Z191" t="s">
        <v>2618</v>
      </c>
    </row>
    <row r="192" spans="1:26" x14ac:dyDescent="0.25">
      <c r="A192">
        <v>11</v>
      </c>
      <c r="B192" t="s">
        <v>1781</v>
      </c>
      <c r="C192" t="s">
        <v>26</v>
      </c>
      <c r="D192" t="s">
        <v>2845</v>
      </c>
      <c r="E192">
        <v>204686</v>
      </c>
      <c r="G192" t="s">
        <v>2846</v>
      </c>
      <c r="H192" t="s">
        <v>104</v>
      </c>
      <c r="I192" t="s">
        <v>2846</v>
      </c>
      <c r="L192" t="b">
        <v>0</v>
      </c>
      <c r="M192" t="s">
        <v>50</v>
      </c>
      <c r="N192" t="s">
        <v>26</v>
      </c>
      <c r="P192" t="s">
        <v>33</v>
      </c>
      <c r="Q192">
        <v>1</v>
      </c>
      <c r="R192">
        <v>3</v>
      </c>
      <c r="S192">
        <v>98.479814031999993</v>
      </c>
      <c r="T192">
        <v>5000000000</v>
      </c>
      <c r="U192">
        <v>5000000000</v>
      </c>
      <c r="V192">
        <v>1</v>
      </c>
      <c r="W192">
        <v>11777777.779999999</v>
      </c>
      <c r="X192">
        <v>4923990701.6000004</v>
      </c>
      <c r="Y192">
        <v>4935768479.3800001</v>
      </c>
      <c r="Z192" t="s">
        <v>2618</v>
      </c>
    </row>
    <row r="193" spans="1:26" x14ac:dyDescent="0.25">
      <c r="A193">
        <v>11</v>
      </c>
      <c r="B193" t="s">
        <v>1781</v>
      </c>
      <c r="C193" t="s">
        <v>26</v>
      </c>
      <c r="D193" t="s">
        <v>2847</v>
      </c>
      <c r="E193">
        <v>204687</v>
      </c>
      <c r="G193" t="s">
        <v>2848</v>
      </c>
      <c r="H193" t="s">
        <v>104</v>
      </c>
      <c r="I193" t="s">
        <v>2848</v>
      </c>
      <c r="L193" t="b">
        <v>0</v>
      </c>
      <c r="M193" t="s">
        <v>50</v>
      </c>
      <c r="N193" t="s">
        <v>241</v>
      </c>
      <c r="P193" t="s">
        <v>33</v>
      </c>
      <c r="Q193">
        <v>1</v>
      </c>
      <c r="R193">
        <v>3</v>
      </c>
      <c r="S193">
        <v>99.714535580700002</v>
      </c>
      <c r="T193">
        <v>235000</v>
      </c>
      <c r="U193">
        <v>235000</v>
      </c>
      <c r="V193">
        <v>1</v>
      </c>
      <c r="W193">
        <v>9811826.2200000007</v>
      </c>
      <c r="X193">
        <v>9571125331.0700016</v>
      </c>
      <c r="Y193">
        <v>9580937157.2900009</v>
      </c>
      <c r="Z193" t="s">
        <v>2618</v>
      </c>
    </row>
    <row r="194" spans="1:26" x14ac:dyDescent="0.25">
      <c r="A194">
        <v>11</v>
      </c>
      <c r="B194" t="s">
        <v>1781</v>
      </c>
      <c r="C194" t="s">
        <v>26</v>
      </c>
      <c r="D194" t="s">
        <v>2849</v>
      </c>
      <c r="E194">
        <v>804</v>
      </c>
      <c r="G194" t="s">
        <v>2850</v>
      </c>
      <c r="H194" t="s">
        <v>887</v>
      </c>
      <c r="I194" t="s">
        <v>2850</v>
      </c>
      <c r="L194" t="b">
        <v>0</v>
      </c>
      <c r="M194" t="s">
        <v>50</v>
      </c>
      <c r="N194" t="s">
        <v>241</v>
      </c>
      <c r="P194" t="s">
        <v>33</v>
      </c>
      <c r="Q194">
        <v>1</v>
      </c>
      <c r="R194">
        <v>6</v>
      </c>
      <c r="S194">
        <v>104.88018422819999</v>
      </c>
      <c r="T194">
        <v>706</v>
      </c>
      <c r="U194">
        <v>1870</v>
      </c>
      <c r="V194">
        <v>0.3775</v>
      </c>
      <c r="W194">
        <v>115345.69</v>
      </c>
      <c r="X194">
        <v>30243524.760000002</v>
      </c>
      <c r="Y194">
        <v>30358870.449999999</v>
      </c>
      <c r="Z194" t="s">
        <v>2438</v>
      </c>
    </row>
    <row r="195" spans="1:26" x14ac:dyDescent="0.25">
      <c r="A195">
        <v>11</v>
      </c>
      <c r="B195" t="s">
        <v>1781</v>
      </c>
      <c r="C195" t="s">
        <v>26</v>
      </c>
      <c r="D195" t="s">
        <v>2851</v>
      </c>
      <c r="E195">
        <v>805</v>
      </c>
      <c r="G195" t="s">
        <v>2852</v>
      </c>
      <c r="H195" t="s">
        <v>887</v>
      </c>
      <c r="I195" t="s">
        <v>2852</v>
      </c>
      <c r="L195" t="b">
        <v>0</v>
      </c>
      <c r="M195" t="s">
        <v>50</v>
      </c>
      <c r="N195" t="s">
        <v>241</v>
      </c>
      <c r="P195" t="s">
        <v>33</v>
      </c>
      <c r="Q195">
        <v>1</v>
      </c>
      <c r="R195">
        <v>6</v>
      </c>
      <c r="S195">
        <v>102.1612951063</v>
      </c>
      <c r="T195">
        <v>61.973999999999997</v>
      </c>
      <c r="U195">
        <v>330</v>
      </c>
      <c r="V195">
        <v>0.18779999999999999</v>
      </c>
      <c r="W195">
        <v>10151.530000000001</v>
      </c>
      <c r="X195">
        <v>2585883.649999999</v>
      </c>
      <c r="Y195">
        <v>2596035.1799999988</v>
      </c>
      <c r="Z195" t="s">
        <v>2438</v>
      </c>
    </row>
    <row r="196" spans="1:26" x14ac:dyDescent="0.25">
      <c r="A196">
        <v>11</v>
      </c>
      <c r="B196" t="s">
        <v>1781</v>
      </c>
      <c r="C196" t="s">
        <v>26</v>
      </c>
      <c r="D196" t="s">
        <v>2853</v>
      </c>
      <c r="E196">
        <v>808</v>
      </c>
      <c r="G196" t="s">
        <v>2854</v>
      </c>
      <c r="H196" t="s">
        <v>887</v>
      </c>
      <c r="I196" t="s">
        <v>2854</v>
      </c>
      <c r="L196" t="b">
        <v>0</v>
      </c>
      <c r="M196" t="s">
        <v>50</v>
      </c>
      <c r="N196" t="s">
        <v>241</v>
      </c>
      <c r="P196" t="s">
        <v>33</v>
      </c>
      <c r="Q196">
        <v>1</v>
      </c>
      <c r="R196">
        <v>6</v>
      </c>
      <c r="S196">
        <v>96.774343763499999</v>
      </c>
      <c r="T196">
        <v>27363.588</v>
      </c>
      <c r="U196">
        <v>40890</v>
      </c>
      <c r="V196">
        <v>0.66920000000000002</v>
      </c>
      <c r="W196">
        <v>4619661.3600000003</v>
      </c>
      <c r="X196">
        <v>1081608024.8499999</v>
      </c>
      <c r="Y196">
        <v>1086227686.21</v>
      </c>
      <c r="Z196" t="s">
        <v>2438</v>
      </c>
    </row>
    <row r="197" spans="1:26" x14ac:dyDescent="0.25">
      <c r="A197">
        <v>11</v>
      </c>
      <c r="B197" t="s">
        <v>1781</v>
      </c>
      <c r="C197" t="s">
        <v>26</v>
      </c>
      <c r="D197" t="s">
        <v>2855</v>
      </c>
      <c r="E197">
        <v>10616</v>
      </c>
      <c r="G197" t="s">
        <v>2856</v>
      </c>
      <c r="H197" t="s">
        <v>887</v>
      </c>
      <c r="I197" t="s">
        <v>2856</v>
      </c>
      <c r="L197" t="b">
        <v>0</v>
      </c>
      <c r="M197" t="s">
        <v>50</v>
      </c>
      <c r="N197" t="s">
        <v>241</v>
      </c>
      <c r="P197" t="s">
        <v>33</v>
      </c>
      <c r="Q197">
        <v>1</v>
      </c>
      <c r="R197">
        <v>6</v>
      </c>
      <c r="S197">
        <v>98.858008621400003</v>
      </c>
      <c r="T197">
        <v>19293</v>
      </c>
      <c r="U197">
        <v>28330</v>
      </c>
      <c r="V197">
        <v>0.68100000000000005</v>
      </c>
      <c r="W197">
        <v>4866014.4400000004</v>
      </c>
      <c r="X197">
        <v>779019609.33999979</v>
      </c>
      <c r="Y197">
        <v>783885623.77999985</v>
      </c>
      <c r="Z197" t="s">
        <v>2438</v>
      </c>
    </row>
    <row r="198" spans="1:26" x14ac:dyDescent="0.25">
      <c r="A198">
        <v>11</v>
      </c>
      <c r="B198" t="s">
        <v>1781</v>
      </c>
      <c r="C198" t="s">
        <v>26</v>
      </c>
      <c r="D198" t="s">
        <v>2857</v>
      </c>
      <c r="E198">
        <v>10656</v>
      </c>
      <c r="G198" t="s">
        <v>2858</v>
      </c>
      <c r="H198" t="s">
        <v>887</v>
      </c>
      <c r="I198" t="s">
        <v>2858</v>
      </c>
      <c r="L198" t="b">
        <v>0</v>
      </c>
      <c r="M198" t="s">
        <v>50</v>
      </c>
      <c r="N198" t="s">
        <v>241</v>
      </c>
      <c r="P198" t="s">
        <v>33</v>
      </c>
      <c r="Q198">
        <v>1</v>
      </c>
      <c r="R198">
        <v>6</v>
      </c>
      <c r="S198">
        <v>98.842386937499995</v>
      </c>
      <c r="T198">
        <v>1491.171</v>
      </c>
      <c r="U198">
        <v>2190</v>
      </c>
      <c r="V198">
        <v>0.68089999999999995</v>
      </c>
      <c r="W198">
        <v>250732.03</v>
      </c>
      <c r="X198">
        <v>60201544.429999977</v>
      </c>
      <c r="Y198">
        <v>60452276.459999993</v>
      </c>
      <c r="Z198" t="s">
        <v>2438</v>
      </c>
    </row>
    <row r="199" spans="1:26" x14ac:dyDescent="0.25">
      <c r="A199">
        <v>11</v>
      </c>
      <c r="B199" t="s">
        <v>1781</v>
      </c>
      <c r="C199" t="s">
        <v>26</v>
      </c>
      <c r="D199" t="s">
        <v>2859</v>
      </c>
      <c r="E199">
        <v>227577</v>
      </c>
      <c r="G199" t="s">
        <v>2860</v>
      </c>
      <c r="H199" t="s">
        <v>104</v>
      </c>
      <c r="I199" t="s">
        <v>2860</v>
      </c>
      <c r="L199" t="b">
        <v>0</v>
      </c>
      <c r="M199" t="s">
        <v>50</v>
      </c>
      <c r="N199" t="s">
        <v>26</v>
      </c>
      <c r="P199" t="s">
        <v>33</v>
      </c>
      <c r="Q199">
        <v>1</v>
      </c>
      <c r="R199">
        <v>8</v>
      </c>
      <c r="S199">
        <v>99.913499999999999</v>
      </c>
      <c r="T199">
        <v>8000000000</v>
      </c>
      <c r="U199">
        <v>8000000000</v>
      </c>
      <c r="V199">
        <v>1</v>
      </c>
      <c r="W199">
        <v>0</v>
      </c>
      <c r="X199">
        <v>7993080000</v>
      </c>
      <c r="Y199">
        <v>7993080000</v>
      </c>
      <c r="Z199" t="s">
        <v>2438</v>
      </c>
    </row>
    <row r="200" spans="1:26" x14ac:dyDescent="0.25">
      <c r="A200">
        <v>11</v>
      </c>
      <c r="B200" t="s">
        <v>1781</v>
      </c>
      <c r="C200" t="s">
        <v>26</v>
      </c>
      <c r="D200" t="s">
        <v>2614</v>
      </c>
      <c r="E200">
        <v>227578</v>
      </c>
      <c r="G200" t="s">
        <v>2615</v>
      </c>
      <c r="H200" t="s">
        <v>104</v>
      </c>
      <c r="I200" t="s">
        <v>2615</v>
      </c>
      <c r="L200" t="b">
        <v>0</v>
      </c>
      <c r="M200" t="s">
        <v>50</v>
      </c>
      <c r="N200" t="s">
        <v>26</v>
      </c>
      <c r="P200" t="s">
        <v>33</v>
      </c>
      <c r="Q200">
        <v>1</v>
      </c>
      <c r="R200">
        <v>8</v>
      </c>
      <c r="S200">
        <v>99.876199999999997</v>
      </c>
      <c r="T200">
        <v>2000000000</v>
      </c>
      <c r="U200">
        <v>2000000000</v>
      </c>
      <c r="V200">
        <v>1</v>
      </c>
      <c r="W200">
        <v>0</v>
      </c>
      <c r="X200">
        <v>1997524000</v>
      </c>
      <c r="Y200">
        <v>1997524000</v>
      </c>
      <c r="Z200" t="s">
        <v>2438</v>
      </c>
    </row>
    <row r="201" spans="1:26" x14ac:dyDescent="0.25">
      <c r="A201">
        <v>11</v>
      </c>
      <c r="B201" t="s">
        <v>1781</v>
      </c>
      <c r="C201" t="s">
        <v>26</v>
      </c>
      <c r="D201" t="s">
        <v>2584</v>
      </c>
      <c r="E201">
        <v>36211</v>
      </c>
      <c r="G201" t="s">
        <v>2585</v>
      </c>
      <c r="H201" t="s">
        <v>1795</v>
      </c>
      <c r="I201" t="s">
        <v>2585</v>
      </c>
      <c r="L201" t="b">
        <v>0</v>
      </c>
      <c r="M201" t="s">
        <v>50</v>
      </c>
      <c r="N201" t="s">
        <v>26</v>
      </c>
      <c r="P201" t="s">
        <v>33</v>
      </c>
      <c r="Q201">
        <v>1</v>
      </c>
      <c r="R201">
        <v>7</v>
      </c>
      <c r="S201">
        <v>100</v>
      </c>
      <c r="T201">
        <v>4000000000</v>
      </c>
      <c r="U201">
        <v>4000000000</v>
      </c>
      <c r="V201">
        <v>1</v>
      </c>
      <c r="W201">
        <v>15853333.33</v>
      </c>
      <c r="X201">
        <v>4000000000</v>
      </c>
      <c r="Y201">
        <v>4015853333.3299999</v>
      </c>
      <c r="Z201" t="s">
        <v>2438</v>
      </c>
    </row>
    <row r="202" spans="1:26" x14ac:dyDescent="0.25">
      <c r="A202">
        <v>11</v>
      </c>
      <c r="B202" t="s">
        <v>1781</v>
      </c>
      <c r="C202" t="s">
        <v>26</v>
      </c>
      <c r="D202" t="s">
        <v>2586</v>
      </c>
      <c r="E202">
        <v>176729</v>
      </c>
      <c r="G202" t="s">
        <v>2587</v>
      </c>
      <c r="H202" t="s">
        <v>2588</v>
      </c>
      <c r="I202" t="s">
        <v>2587</v>
      </c>
      <c r="L202" t="b">
        <v>0</v>
      </c>
      <c r="M202" t="s">
        <v>50</v>
      </c>
      <c r="N202" t="s">
        <v>26</v>
      </c>
      <c r="P202" t="s">
        <v>33</v>
      </c>
      <c r="Q202">
        <v>1</v>
      </c>
      <c r="R202">
        <v>7</v>
      </c>
      <c r="S202">
        <v>100</v>
      </c>
      <c r="T202">
        <v>1450000000</v>
      </c>
      <c r="U202">
        <v>1450000000</v>
      </c>
      <c r="V202">
        <v>1</v>
      </c>
      <c r="W202">
        <v>227166.67</v>
      </c>
      <c r="X202">
        <v>1450000000</v>
      </c>
      <c r="Y202">
        <v>1450227166.6700001</v>
      </c>
      <c r="Z202" t="s">
        <v>2438</v>
      </c>
    </row>
    <row r="203" spans="1:26" x14ac:dyDescent="0.25">
      <c r="A203">
        <v>68</v>
      </c>
      <c r="B203" t="s">
        <v>1545</v>
      </c>
      <c r="C203" t="s">
        <v>32</v>
      </c>
      <c r="D203" t="s">
        <v>2486</v>
      </c>
      <c r="E203">
        <v>177298</v>
      </c>
      <c r="G203" t="s">
        <v>2487</v>
      </c>
      <c r="H203" t="s">
        <v>987</v>
      </c>
      <c r="I203" t="s">
        <v>2487</v>
      </c>
      <c r="L203" t="b">
        <v>0</v>
      </c>
      <c r="M203" t="s">
        <v>112</v>
      </c>
      <c r="N203" t="s">
        <v>32</v>
      </c>
      <c r="P203" t="s">
        <v>579</v>
      </c>
      <c r="Q203">
        <v>1</v>
      </c>
      <c r="R203">
        <v>3</v>
      </c>
      <c r="S203">
        <v>0</v>
      </c>
      <c r="T203">
        <v>1228000</v>
      </c>
      <c r="U203">
        <v>1228000</v>
      </c>
      <c r="V203">
        <v>1</v>
      </c>
      <c r="W203">
        <v>1510.27</v>
      </c>
      <c r="X203">
        <v>0</v>
      </c>
      <c r="Y203">
        <v>1510.27</v>
      </c>
      <c r="Z203" t="s">
        <v>2438</v>
      </c>
    </row>
    <row r="204" spans="1:26" x14ac:dyDescent="0.25">
      <c r="A204">
        <v>2</v>
      </c>
      <c r="B204" t="s">
        <v>2174</v>
      </c>
      <c r="C204" t="s">
        <v>32</v>
      </c>
      <c r="D204" t="s">
        <v>2462</v>
      </c>
      <c r="E204">
        <v>216349</v>
      </c>
      <c r="G204" t="s">
        <v>2463</v>
      </c>
      <c r="H204" t="s">
        <v>2464</v>
      </c>
      <c r="I204" t="s">
        <v>2463</v>
      </c>
      <c r="L204" t="b">
        <v>0</v>
      </c>
      <c r="M204" t="s">
        <v>81</v>
      </c>
      <c r="N204" t="s">
        <v>32</v>
      </c>
      <c r="P204" t="s">
        <v>579</v>
      </c>
      <c r="Q204">
        <v>1</v>
      </c>
      <c r="R204">
        <v>2</v>
      </c>
      <c r="S204">
        <v>0.99670000000000003</v>
      </c>
      <c r="T204">
        <v>5004076</v>
      </c>
      <c r="U204">
        <v>5004076</v>
      </c>
      <c r="V204">
        <v>1</v>
      </c>
      <c r="W204">
        <v>0</v>
      </c>
      <c r="X204">
        <v>4987562.55</v>
      </c>
      <c r="Y204">
        <v>4987562.55</v>
      </c>
      <c r="Z204" t="s">
        <v>2438</v>
      </c>
    </row>
    <row r="205" spans="1:26" x14ac:dyDescent="0.25">
      <c r="A205">
        <v>2</v>
      </c>
      <c r="B205" t="s">
        <v>2174</v>
      </c>
      <c r="C205" t="s">
        <v>32</v>
      </c>
      <c r="D205" t="s">
        <v>2480</v>
      </c>
      <c r="E205">
        <v>177159</v>
      </c>
      <c r="G205" t="s">
        <v>2481</v>
      </c>
      <c r="H205" t="s">
        <v>2482</v>
      </c>
      <c r="I205" t="s">
        <v>2481</v>
      </c>
      <c r="L205" t="b">
        <v>0</v>
      </c>
      <c r="M205" t="s">
        <v>31</v>
      </c>
      <c r="N205" t="s">
        <v>32</v>
      </c>
      <c r="P205" t="s">
        <v>579</v>
      </c>
      <c r="Q205">
        <v>1</v>
      </c>
      <c r="R205">
        <v>2</v>
      </c>
      <c r="S205">
        <v>100</v>
      </c>
      <c r="T205">
        <v>8300000</v>
      </c>
      <c r="U205">
        <v>8300000</v>
      </c>
      <c r="V205">
        <v>1</v>
      </c>
      <c r="W205">
        <v>38700.53</v>
      </c>
      <c r="X205">
        <v>8300000</v>
      </c>
      <c r="Y205">
        <v>8338700.5300000003</v>
      </c>
      <c r="Z205" t="s">
        <v>2438</v>
      </c>
    </row>
    <row r="206" spans="1:26" x14ac:dyDescent="0.25">
      <c r="A206">
        <v>2</v>
      </c>
      <c r="B206" t="s">
        <v>2174</v>
      </c>
      <c r="C206" t="s">
        <v>32</v>
      </c>
      <c r="D206" t="s">
        <v>2861</v>
      </c>
      <c r="E206">
        <v>116574</v>
      </c>
      <c r="G206" t="s">
        <v>2862</v>
      </c>
      <c r="H206" t="s">
        <v>2611</v>
      </c>
      <c r="I206" t="s">
        <v>2862</v>
      </c>
      <c r="L206" t="b">
        <v>0</v>
      </c>
      <c r="M206" t="s">
        <v>81</v>
      </c>
      <c r="N206" t="s">
        <v>32</v>
      </c>
      <c r="P206" t="s">
        <v>579</v>
      </c>
      <c r="Q206">
        <v>1</v>
      </c>
      <c r="R206">
        <v>3</v>
      </c>
      <c r="S206">
        <v>98.43</v>
      </c>
      <c r="T206">
        <v>17500000</v>
      </c>
      <c r="U206">
        <v>17500000</v>
      </c>
      <c r="V206">
        <v>1</v>
      </c>
      <c r="W206">
        <v>2654166.67</v>
      </c>
      <c r="X206">
        <v>8612625</v>
      </c>
      <c r="Y206">
        <v>11266791.67</v>
      </c>
      <c r="Z206" t="s">
        <v>2438</v>
      </c>
    </row>
    <row r="207" spans="1:26" x14ac:dyDescent="0.25">
      <c r="A207">
        <v>2</v>
      </c>
      <c r="B207" t="s">
        <v>2174</v>
      </c>
      <c r="C207" t="s">
        <v>32</v>
      </c>
      <c r="D207" t="s">
        <v>2486</v>
      </c>
      <c r="E207">
        <v>177298</v>
      </c>
      <c r="G207" t="s">
        <v>2487</v>
      </c>
      <c r="H207" t="s">
        <v>987</v>
      </c>
      <c r="I207" t="s">
        <v>2487</v>
      </c>
      <c r="L207" t="b">
        <v>0</v>
      </c>
      <c r="M207" t="s">
        <v>112</v>
      </c>
      <c r="N207" t="s">
        <v>32</v>
      </c>
      <c r="P207" t="s">
        <v>579</v>
      </c>
      <c r="Q207">
        <v>1</v>
      </c>
      <c r="R207">
        <v>3</v>
      </c>
      <c r="S207">
        <v>0</v>
      </c>
      <c r="T207">
        <v>3570000</v>
      </c>
      <c r="U207">
        <v>3570000</v>
      </c>
      <c r="V207">
        <v>1</v>
      </c>
      <c r="W207">
        <v>4963.29</v>
      </c>
      <c r="X207">
        <v>0</v>
      </c>
      <c r="Y207">
        <v>4963.29</v>
      </c>
      <c r="Z207" t="s">
        <v>2438</v>
      </c>
    </row>
    <row r="208" spans="1:26" x14ac:dyDescent="0.25">
      <c r="A208">
        <v>59</v>
      </c>
      <c r="B208" t="s">
        <v>2200</v>
      </c>
      <c r="C208" t="s">
        <v>32</v>
      </c>
      <c r="D208" t="s">
        <v>2486</v>
      </c>
      <c r="E208">
        <v>177298</v>
      </c>
      <c r="G208" t="s">
        <v>2487</v>
      </c>
      <c r="H208" t="s">
        <v>987</v>
      </c>
      <c r="I208" t="s">
        <v>2487</v>
      </c>
      <c r="L208" t="b">
        <v>0</v>
      </c>
      <c r="M208" t="s">
        <v>112</v>
      </c>
      <c r="N208" t="s">
        <v>32</v>
      </c>
      <c r="P208" t="s">
        <v>579</v>
      </c>
      <c r="Q208">
        <v>1</v>
      </c>
      <c r="R208">
        <v>3</v>
      </c>
      <c r="S208">
        <v>0</v>
      </c>
      <c r="T208">
        <v>30086000</v>
      </c>
      <c r="U208">
        <v>30086000</v>
      </c>
      <c r="V208">
        <v>1</v>
      </c>
      <c r="W208">
        <v>38610.370000000003</v>
      </c>
      <c r="X208">
        <v>0</v>
      </c>
      <c r="Y208">
        <v>38610.370000000003</v>
      </c>
      <c r="Z208" t="s">
        <v>2438</v>
      </c>
    </row>
    <row r="209" spans="1:26" x14ac:dyDescent="0.25">
      <c r="A209">
        <v>17</v>
      </c>
      <c r="B209" t="s">
        <v>124</v>
      </c>
      <c r="C209" t="s">
        <v>32</v>
      </c>
      <c r="D209" t="s">
        <v>2616</v>
      </c>
      <c r="E209">
        <v>138491</v>
      </c>
      <c r="G209" t="s">
        <v>2617</v>
      </c>
      <c r="H209" t="s">
        <v>1317</v>
      </c>
      <c r="I209" t="s">
        <v>2617</v>
      </c>
      <c r="L209" t="b">
        <v>0</v>
      </c>
      <c r="M209" t="s">
        <v>50</v>
      </c>
      <c r="N209" t="s">
        <v>26</v>
      </c>
      <c r="P209" t="s">
        <v>33</v>
      </c>
      <c r="Q209">
        <v>1</v>
      </c>
      <c r="R209">
        <v>3</v>
      </c>
      <c r="S209">
        <v>102.8789581068</v>
      </c>
      <c r="T209">
        <v>925792140</v>
      </c>
      <c r="U209">
        <v>1067782800</v>
      </c>
      <c r="V209">
        <v>0.86699999999999999</v>
      </c>
      <c r="W209">
        <v>7730.53</v>
      </c>
      <c r="X209">
        <v>1025877.63</v>
      </c>
      <c r="Y209">
        <v>1033608.16</v>
      </c>
      <c r="Z209" t="s">
        <v>2618</v>
      </c>
    </row>
    <row r="210" spans="1:26" x14ac:dyDescent="0.25">
      <c r="A210">
        <v>17</v>
      </c>
      <c r="B210" t="s">
        <v>124</v>
      </c>
      <c r="C210" t="s">
        <v>32</v>
      </c>
      <c r="D210" t="s">
        <v>2621</v>
      </c>
      <c r="E210">
        <v>200006</v>
      </c>
      <c r="G210" t="s">
        <v>2622</v>
      </c>
      <c r="H210" t="s">
        <v>93</v>
      </c>
      <c r="I210" t="s">
        <v>2622</v>
      </c>
      <c r="L210" t="b">
        <v>0</v>
      </c>
      <c r="M210" t="s">
        <v>50</v>
      </c>
      <c r="N210" t="s">
        <v>26</v>
      </c>
      <c r="P210" t="s">
        <v>33</v>
      </c>
      <c r="Q210">
        <v>1</v>
      </c>
      <c r="R210">
        <v>3</v>
      </c>
      <c r="S210">
        <v>93.0898594879</v>
      </c>
      <c r="T210">
        <v>7000000000</v>
      </c>
      <c r="U210">
        <v>7000000000</v>
      </c>
      <c r="V210">
        <v>1</v>
      </c>
      <c r="W210">
        <v>69080.33</v>
      </c>
      <c r="X210">
        <v>7018687.8399999989</v>
      </c>
      <c r="Y210">
        <v>7087768.169999999</v>
      </c>
      <c r="Z210" t="s">
        <v>2618</v>
      </c>
    </row>
    <row r="211" spans="1:26" x14ac:dyDescent="0.25">
      <c r="A211">
        <v>17</v>
      </c>
      <c r="B211" t="s">
        <v>124</v>
      </c>
      <c r="C211" t="s">
        <v>32</v>
      </c>
      <c r="D211" t="s">
        <v>2684</v>
      </c>
      <c r="E211">
        <v>176730</v>
      </c>
      <c r="G211" t="s">
        <v>2685</v>
      </c>
      <c r="H211" t="s">
        <v>2686</v>
      </c>
      <c r="I211" t="s">
        <v>2685</v>
      </c>
      <c r="L211" t="b">
        <v>0</v>
      </c>
      <c r="M211" t="s">
        <v>50</v>
      </c>
      <c r="N211" t="s">
        <v>241</v>
      </c>
      <c r="P211" t="s">
        <v>33</v>
      </c>
      <c r="Q211">
        <v>1</v>
      </c>
      <c r="R211">
        <v>3</v>
      </c>
      <c r="S211">
        <v>101.42343632639999</v>
      </c>
      <c r="T211">
        <v>13567</v>
      </c>
      <c r="U211">
        <v>15000</v>
      </c>
      <c r="V211">
        <v>0.90449999999999997</v>
      </c>
      <c r="W211">
        <v>7602.36</v>
      </c>
      <c r="X211">
        <v>605360.95000000007</v>
      </c>
      <c r="Y211">
        <v>612963.31000000006</v>
      </c>
      <c r="Z211" t="s">
        <v>2618</v>
      </c>
    </row>
    <row r="212" spans="1:26" x14ac:dyDescent="0.25">
      <c r="A212">
        <v>17</v>
      </c>
      <c r="B212" t="s">
        <v>124</v>
      </c>
      <c r="C212" t="s">
        <v>32</v>
      </c>
      <c r="D212" t="s">
        <v>2636</v>
      </c>
      <c r="E212">
        <v>172917</v>
      </c>
      <c r="G212" t="s">
        <v>2637</v>
      </c>
      <c r="H212" t="s">
        <v>2638</v>
      </c>
      <c r="I212" t="s">
        <v>2637</v>
      </c>
      <c r="L212" t="b">
        <v>0</v>
      </c>
      <c r="M212" t="s">
        <v>50</v>
      </c>
      <c r="N212" t="s">
        <v>241</v>
      </c>
      <c r="P212" t="s">
        <v>33</v>
      </c>
      <c r="Q212">
        <v>1</v>
      </c>
      <c r="R212">
        <v>3</v>
      </c>
      <c r="S212">
        <v>105.21445621140001</v>
      </c>
      <c r="T212">
        <v>29100</v>
      </c>
      <c r="U212">
        <v>30000</v>
      </c>
      <c r="V212">
        <v>0.97</v>
      </c>
      <c r="W212">
        <v>6952.31</v>
      </c>
      <c r="X212">
        <v>1346978.4</v>
      </c>
      <c r="Y212">
        <v>1353930.71</v>
      </c>
      <c r="Z212" t="s">
        <v>2618</v>
      </c>
    </row>
    <row r="213" spans="1:26" x14ac:dyDescent="0.25">
      <c r="A213">
        <v>17</v>
      </c>
      <c r="B213" t="s">
        <v>124</v>
      </c>
      <c r="C213" t="s">
        <v>32</v>
      </c>
      <c r="D213" t="s">
        <v>2699</v>
      </c>
      <c r="E213">
        <v>149871</v>
      </c>
      <c r="G213" t="s">
        <v>2700</v>
      </c>
      <c r="H213" t="s">
        <v>2701</v>
      </c>
      <c r="I213" t="s">
        <v>2700</v>
      </c>
      <c r="L213" t="b">
        <v>0</v>
      </c>
      <c r="M213" t="s">
        <v>50</v>
      </c>
      <c r="N213" t="s">
        <v>241</v>
      </c>
      <c r="P213" t="s">
        <v>33</v>
      </c>
      <c r="Q213">
        <v>1</v>
      </c>
      <c r="R213">
        <v>3</v>
      </c>
      <c r="S213">
        <v>102.788407599</v>
      </c>
      <c r="T213">
        <v>26411</v>
      </c>
      <c r="U213">
        <v>30000</v>
      </c>
      <c r="V213">
        <v>0.88039999999999996</v>
      </c>
      <c r="W213">
        <v>12981.63</v>
      </c>
      <c r="X213">
        <v>1194321.42</v>
      </c>
      <c r="Y213">
        <v>1207303.05</v>
      </c>
      <c r="Z213" t="s">
        <v>2618</v>
      </c>
    </row>
    <row r="214" spans="1:26" x14ac:dyDescent="0.25">
      <c r="A214">
        <v>17</v>
      </c>
      <c r="B214" t="s">
        <v>124</v>
      </c>
      <c r="C214" t="s">
        <v>32</v>
      </c>
      <c r="D214" t="s">
        <v>2639</v>
      </c>
      <c r="E214">
        <v>193918</v>
      </c>
      <c r="G214" t="s">
        <v>2640</v>
      </c>
      <c r="H214" t="s">
        <v>1449</v>
      </c>
      <c r="I214" t="s">
        <v>2640</v>
      </c>
      <c r="L214" t="b">
        <v>0</v>
      </c>
      <c r="M214" t="s">
        <v>50</v>
      </c>
      <c r="N214" t="s">
        <v>241</v>
      </c>
      <c r="P214" t="s">
        <v>33</v>
      </c>
      <c r="Q214">
        <v>1</v>
      </c>
      <c r="R214">
        <v>3</v>
      </c>
      <c r="S214">
        <v>102.2206736321</v>
      </c>
      <c r="T214">
        <v>133538</v>
      </c>
      <c r="U214">
        <v>133538</v>
      </c>
      <c r="V214">
        <v>1</v>
      </c>
      <c r="W214">
        <v>8224.7999999999993</v>
      </c>
      <c r="X214">
        <v>6005314.7699999996</v>
      </c>
      <c r="Y214">
        <v>6013539.5699999994</v>
      </c>
      <c r="Z214" t="s">
        <v>2618</v>
      </c>
    </row>
    <row r="215" spans="1:26" x14ac:dyDescent="0.25">
      <c r="A215">
        <v>17</v>
      </c>
      <c r="B215" t="s">
        <v>124</v>
      </c>
      <c r="C215" t="s">
        <v>32</v>
      </c>
      <c r="D215" t="s">
        <v>2641</v>
      </c>
      <c r="E215">
        <v>160761</v>
      </c>
      <c r="G215" t="s">
        <v>2642</v>
      </c>
      <c r="H215" t="s">
        <v>2632</v>
      </c>
      <c r="I215" t="s">
        <v>2642</v>
      </c>
      <c r="L215" t="b">
        <v>0</v>
      </c>
      <c r="M215" t="s">
        <v>50</v>
      </c>
      <c r="N215" t="s">
        <v>241</v>
      </c>
      <c r="P215" t="s">
        <v>33</v>
      </c>
      <c r="Q215">
        <v>1</v>
      </c>
      <c r="R215">
        <v>3</v>
      </c>
      <c r="S215">
        <v>103.83037126000001</v>
      </c>
      <c r="T215">
        <v>21811</v>
      </c>
      <c r="U215">
        <v>25000</v>
      </c>
      <c r="V215">
        <v>0.87239999999999995</v>
      </c>
      <c r="W215">
        <v>7898.54</v>
      </c>
      <c r="X215">
        <v>996304.57000000007</v>
      </c>
      <c r="Y215">
        <v>1004203.11</v>
      </c>
      <c r="Z215" t="s">
        <v>2618</v>
      </c>
    </row>
    <row r="216" spans="1:26" x14ac:dyDescent="0.25">
      <c r="A216">
        <v>17</v>
      </c>
      <c r="B216" t="s">
        <v>124</v>
      </c>
      <c r="C216" t="s">
        <v>32</v>
      </c>
      <c r="D216" t="s">
        <v>2648</v>
      </c>
      <c r="E216">
        <v>186267</v>
      </c>
      <c r="G216" t="s">
        <v>2649</v>
      </c>
      <c r="H216" t="s">
        <v>218</v>
      </c>
      <c r="I216" t="s">
        <v>2649</v>
      </c>
      <c r="L216" t="b">
        <v>0</v>
      </c>
      <c r="M216" t="s">
        <v>50</v>
      </c>
      <c r="N216" t="s">
        <v>241</v>
      </c>
      <c r="P216" t="s">
        <v>33</v>
      </c>
      <c r="Q216">
        <v>1</v>
      </c>
      <c r="R216">
        <v>3</v>
      </c>
      <c r="S216">
        <v>100.6289239972</v>
      </c>
      <c r="T216">
        <v>75000</v>
      </c>
      <c r="U216">
        <v>75000</v>
      </c>
      <c r="V216">
        <v>1</v>
      </c>
      <c r="W216">
        <v>28139.89</v>
      </c>
      <c r="X216">
        <v>3320291.82</v>
      </c>
      <c r="Y216">
        <v>3348431.71</v>
      </c>
      <c r="Z216" t="s">
        <v>2618</v>
      </c>
    </row>
    <row r="217" spans="1:26" x14ac:dyDescent="0.25">
      <c r="A217">
        <v>17</v>
      </c>
      <c r="B217" t="s">
        <v>124</v>
      </c>
      <c r="C217" t="s">
        <v>32</v>
      </c>
      <c r="D217" t="s">
        <v>2650</v>
      </c>
      <c r="E217">
        <v>198616</v>
      </c>
      <c r="G217" t="s">
        <v>2651</v>
      </c>
      <c r="H217" t="s">
        <v>2652</v>
      </c>
      <c r="I217" t="s">
        <v>2651</v>
      </c>
      <c r="L217" t="b">
        <v>0</v>
      </c>
      <c r="M217" t="s">
        <v>50</v>
      </c>
      <c r="N217" t="s">
        <v>241</v>
      </c>
      <c r="P217" t="s">
        <v>33</v>
      </c>
      <c r="Q217">
        <v>1</v>
      </c>
      <c r="R217">
        <v>3</v>
      </c>
      <c r="S217">
        <v>99.906165285900002</v>
      </c>
      <c r="T217">
        <v>90000</v>
      </c>
      <c r="U217">
        <v>90000</v>
      </c>
      <c r="V217">
        <v>1</v>
      </c>
      <c r="W217">
        <v>42919.5</v>
      </c>
      <c r="X217">
        <v>3955733.14</v>
      </c>
      <c r="Y217">
        <v>3998652.64</v>
      </c>
      <c r="Z217" t="s">
        <v>2618</v>
      </c>
    </row>
    <row r="218" spans="1:26" x14ac:dyDescent="0.25">
      <c r="A218">
        <v>17</v>
      </c>
      <c r="B218" t="s">
        <v>124</v>
      </c>
      <c r="C218" t="s">
        <v>32</v>
      </c>
      <c r="D218" t="s">
        <v>2750</v>
      </c>
      <c r="E218">
        <v>174458</v>
      </c>
      <c r="G218" t="s">
        <v>2751</v>
      </c>
      <c r="H218" t="s">
        <v>2752</v>
      </c>
      <c r="I218" t="s">
        <v>2751</v>
      </c>
      <c r="L218" t="b">
        <v>0</v>
      </c>
      <c r="M218" t="s">
        <v>50</v>
      </c>
      <c r="N218" t="s">
        <v>241</v>
      </c>
      <c r="P218" t="s">
        <v>33</v>
      </c>
      <c r="Q218">
        <v>1</v>
      </c>
      <c r="R218">
        <v>3</v>
      </c>
      <c r="S218">
        <v>99.781328982199994</v>
      </c>
      <c r="T218">
        <v>10000</v>
      </c>
      <c r="U218">
        <v>10000</v>
      </c>
      <c r="V218">
        <v>1</v>
      </c>
      <c r="W218">
        <v>2468.5500000000002</v>
      </c>
      <c r="X218">
        <v>438976.57</v>
      </c>
      <c r="Y218">
        <v>441445.12</v>
      </c>
      <c r="Z218" t="s">
        <v>2618</v>
      </c>
    </row>
    <row r="219" spans="1:26" x14ac:dyDescent="0.25">
      <c r="A219">
        <v>17</v>
      </c>
      <c r="B219" t="s">
        <v>124</v>
      </c>
      <c r="C219" t="s">
        <v>32</v>
      </c>
      <c r="D219" t="s">
        <v>2658</v>
      </c>
      <c r="E219">
        <v>3371</v>
      </c>
      <c r="G219" t="s">
        <v>2659</v>
      </c>
      <c r="H219" t="s">
        <v>1449</v>
      </c>
      <c r="I219" t="s">
        <v>2659</v>
      </c>
      <c r="L219" t="b">
        <v>0</v>
      </c>
      <c r="M219" t="s">
        <v>50</v>
      </c>
      <c r="N219" t="s">
        <v>241</v>
      </c>
      <c r="P219" t="s">
        <v>33</v>
      </c>
      <c r="Q219">
        <v>1</v>
      </c>
      <c r="R219">
        <v>3</v>
      </c>
      <c r="S219">
        <v>91.058000616100003</v>
      </c>
      <c r="T219">
        <v>3863.6350000000002</v>
      </c>
      <c r="U219">
        <v>5000</v>
      </c>
      <c r="V219">
        <v>0.77270000000000005</v>
      </c>
      <c r="W219">
        <v>1108.18</v>
      </c>
      <c r="X219">
        <v>154777.04</v>
      </c>
      <c r="Y219">
        <v>155885.22</v>
      </c>
      <c r="Z219" t="s">
        <v>2618</v>
      </c>
    </row>
    <row r="220" spans="1:26" x14ac:dyDescent="0.25">
      <c r="A220">
        <v>17</v>
      </c>
      <c r="B220" t="s">
        <v>124</v>
      </c>
      <c r="C220" t="s">
        <v>32</v>
      </c>
      <c r="D220" t="s">
        <v>2660</v>
      </c>
      <c r="E220">
        <v>198727</v>
      </c>
      <c r="G220" t="s">
        <v>2661</v>
      </c>
      <c r="H220" t="s">
        <v>2662</v>
      </c>
      <c r="I220" t="s">
        <v>2661</v>
      </c>
      <c r="L220" t="b">
        <v>0</v>
      </c>
      <c r="M220" t="s">
        <v>50</v>
      </c>
      <c r="N220" t="s">
        <v>241</v>
      </c>
      <c r="P220" t="s">
        <v>33</v>
      </c>
      <c r="Q220">
        <v>1</v>
      </c>
      <c r="R220">
        <v>3</v>
      </c>
      <c r="S220">
        <v>92.8398473763</v>
      </c>
      <c r="T220">
        <v>71400</v>
      </c>
      <c r="U220">
        <v>71400</v>
      </c>
      <c r="V220">
        <v>1</v>
      </c>
      <c r="W220">
        <v>23904.04</v>
      </c>
      <c r="X220">
        <v>2916250.34</v>
      </c>
      <c r="Y220">
        <v>2940154.38</v>
      </c>
      <c r="Z220" t="s">
        <v>2618</v>
      </c>
    </row>
    <row r="221" spans="1:26" x14ac:dyDescent="0.25">
      <c r="A221">
        <v>17</v>
      </c>
      <c r="B221" t="s">
        <v>124</v>
      </c>
      <c r="C221" t="s">
        <v>32</v>
      </c>
      <c r="D221" t="s">
        <v>2763</v>
      </c>
      <c r="E221">
        <v>173300</v>
      </c>
      <c r="G221" t="s">
        <v>2764</v>
      </c>
      <c r="H221" t="s">
        <v>2765</v>
      </c>
      <c r="I221" t="s">
        <v>2764</v>
      </c>
      <c r="L221" t="b">
        <v>0</v>
      </c>
      <c r="M221" t="s">
        <v>50</v>
      </c>
      <c r="N221" t="s">
        <v>241</v>
      </c>
      <c r="P221" t="s">
        <v>33</v>
      </c>
      <c r="Q221">
        <v>1</v>
      </c>
      <c r="R221">
        <v>3</v>
      </c>
      <c r="S221">
        <v>100.85099419079999</v>
      </c>
      <c r="T221">
        <v>5000</v>
      </c>
      <c r="U221">
        <v>5000</v>
      </c>
      <c r="V221">
        <v>1</v>
      </c>
      <c r="W221">
        <v>2386.86</v>
      </c>
      <c r="X221">
        <v>221841.3</v>
      </c>
      <c r="Y221">
        <v>224228.16</v>
      </c>
      <c r="Z221" t="s">
        <v>2618</v>
      </c>
    </row>
    <row r="222" spans="1:26" x14ac:dyDescent="0.25">
      <c r="A222">
        <v>17</v>
      </c>
      <c r="B222" t="s">
        <v>124</v>
      </c>
      <c r="C222" t="s">
        <v>32</v>
      </c>
      <c r="D222" t="s">
        <v>2663</v>
      </c>
      <c r="E222">
        <v>217389</v>
      </c>
      <c r="G222" t="s">
        <v>2664</v>
      </c>
      <c r="H222" t="s">
        <v>2665</v>
      </c>
      <c r="I222" t="s">
        <v>2664</v>
      </c>
      <c r="L222" t="b">
        <v>0</v>
      </c>
      <c r="M222" t="s">
        <v>50</v>
      </c>
      <c r="N222" t="s">
        <v>241</v>
      </c>
      <c r="P222" t="s">
        <v>33</v>
      </c>
      <c r="Q222">
        <v>1</v>
      </c>
      <c r="R222">
        <v>3</v>
      </c>
      <c r="S222">
        <v>97.119761033499998</v>
      </c>
      <c r="T222">
        <v>55000</v>
      </c>
      <c r="U222">
        <v>55000</v>
      </c>
      <c r="V222">
        <v>1</v>
      </c>
      <c r="W222">
        <v>26400.14</v>
      </c>
      <c r="X222">
        <v>2349970.91</v>
      </c>
      <c r="Y222">
        <v>2376371.0499999998</v>
      </c>
      <c r="Z222" t="s">
        <v>2618</v>
      </c>
    </row>
    <row r="223" spans="1:26" x14ac:dyDescent="0.25">
      <c r="A223">
        <v>17</v>
      </c>
      <c r="B223" t="s">
        <v>124</v>
      </c>
      <c r="C223" t="s">
        <v>32</v>
      </c>
      <c r="D223" t="s">
        <v>2772</v>
      </c>
      <c r="E223">
        <v>154742</v>
      </c>
      <c r="G223" t="s">
        <v>2773</v>
      </c>
      <c r="H223" t="s">
        <v>2774</v>
      </c>
      <c r="I223" t="s">
        <v>2773</v>
      </c>
      <c r="L223" t="b">
        <v>0</v>
      </c>
      <c r="M223" t="s">
        <v>50</v>
      </c>
      <c r="N223" t="s">
        <v>241</v>
      </c>
      <c r="P223" t="s">
        <v>33</v>
      </c>
      <c r="Q223">
        <v>1</v>
      </c>
      <c r="R223">
        <v>3</v>
      </c>
      <c r="S223">
        <v>99.829702676400004</v>
      </c>
      <c r="T223">
        <v>10000</v>
      </c>
      <c r="U223">
        <v>10000</v>
      </c>
      <c r="V223">
        <v>1</v>
      </c>
      <c r="W223">
        <v>5130.72</v>
      </c>
      <c r="X223">
        <v>439189.5</v>
      </c>
      <c r="Y223">
        <v>444320.22</v>
      </c>
      <c r="Z223" t="s">
        <v>2618</v>
      </c>
    </row>
    <row r="224" spans="1:26" x14ac:dyDescent="0.25">
      <c r="A224">
        <v>17</v>
      </c>
      <c r="B224" t="s">
        <v>124</v>
      </c>
      <c r="C224" t="s">
        <v>32</v>
      </c>
      <c r="D224" t="s">
        <v>2775</v>
      </c>
      <c r="E224">
        <v>189922</v>
      </c>
      <c r="G224" t="s">
        <v>2776</v>
      </c>
      <c r="H224" t="s">
        <v>2774</v>
      </c>
      <c r="I224" t="s">
        <v>2776</v>
      </c>
      <c r="L224" t="b">
        <v>0</v>
      </c>
      <c r="M224" t="s">
        <v>50</v>
      </c>
      <c r="N224" t="s">
        <v>241</v>
      </c>
      <c r="P224" t="s">
        <v>33</v>
      </c>
      <c r="Q224">
        <v>1</v>
      </c>
      <c r="R224">
        <v>3</v>
      </c>
      <c r="S224">
        <v>99.000764703100003</v>
      </c>
      <c r="T224">
        <v>10000</v>
      </c>
      <c r="U224">
        <v>10000</v>
      </c>
      <c r="V224">
        <v>1</v>
      </c>
      <c r="W224">
        <v>0</v>
      </c>
      <c r="X224">
        <v>435542.85</v>
      </c>
      <c r="Y224">
        <v>435542.85</v>
      </c>
      <c r="Z224" t="s">
        <v>2618</v>
      </c>
    </row>
    <row r="225" spans="1:26" x14ac:dyDescent="0.25">
      <c r="A225">
        <v>17</v>
      </c>
      <c r="B225" t="s">
        <v>124</v>
      </c>
      <c r="C225" t="s">
        <v>32</v>
      </c>
      <c r="D225" t="s">
        <v>2672</v>
      </c>
      <c r="E225">
        <v>131576</v>
      </c>
      <c r="G225" t="s">
        <v>2673</v>
      </c>
      <c r="H225" t="s">
        <v>1916</v>
      </c>
      <c r="I225" t="s">
        <v>2673</v>
      </c>
      <c r="L225" t="b">
        <v>0</v>
      </c>
      <c r="M225" t="s">
        <v>50</v>
      </c>
      <c r="N225" t="s">
        <v>241</v>
      </c>
      <c r="P225" t="s">
        <v>33</v>
      </c>
      <c r="Q225">
        <v>1</v>
      </c>
      <c r="R225">
        <v>3</v>
      </c>
      <c r="S225">
        <v>101.4851185898</v>
      </c>
      <c r="T225">
        <v>24000</v>
      </c>
      <c r="U225">
        <v>24000</v>
      </c>
      <c r="V225">
        <v>1</v>
      </c>
      <c r="W225">
        <v>14748</v>
      </c>
      <c r="X225">
        <v>1071533.6499999999</v>
      </c>
      <c r="Y225">
        <v>1086281.6499999999</v>
      </c>
      <c r="Z225" t="s">
        <v>2618</v>
      </c>
    </row>
    <row r="226" spans="1:26" x14ac:dyDescent="0.25">
      <c r="A226">
        <v>17</v>
      </c>
      <c r="B226" t="s">
        <v>124</v>
      </c>
      <c r="C226" t="s">
        <v>32</v>
      </c>
      <c r="D226" t="s">
        <v>2826</v>
      </c>
      <c r="E226">
        <v>28602</v>
      </c>
      <c r="G226" t="s">
        <v>2827</v>
      </c>
      <c r="H226" t="s">
        <v>2828</v>
      </c>
      <c r="I226" t="s">
        <v>2827</v>
      </c>
      <c r="L226" t="b">
        <v>0</v>
      </c>
      <c r="M226" t="s">
        <v>50</v>
      </c>
      <c r="N226" t="s">
        <v>241</v>
      </c>
      <c r="P226" t="s">
        <v>33</v>
      </c>
      <c r="Q226">
        <v>1</v>
      </c>
      <c r="R226">
        <v>3</v>
      </c>
      <c r="S226">
        <v>100.0145981708</v>
      </c>
      <c r="T226">
        <v>17386.365000000002</v>
      </c>
      <c r="U226">
        <v>42500</v>
      </c>
      <c r="V226">
        <v>0.40910000000000002</v>
      </c>
      <c r="W226">
        <v>12577.04</v>
      </c>
      <c r="X226">
        <v>765005.0299999998</v>
      </c>
      <c r="Y226">
        <v>777582.06999999983</v>
      </c>
      <c r="Z226" t="s">
        <v>2618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95"/>
  <sheetViews>
    <sheetView workbookViewId="0">
      <pane xSplit="1" ySplit="1" topLeftCell="H2" activePane="bottomRight" state="frozen"/>
      <selection pane="topRight"/>
      <selection pane="bottomLeft"/>
      <selection pane="bottomRight" activeCell="H32" sqref="H32"/>
    </sheetView>
  </sheetViews>
  <sheetFormatPr baseColWidth="10" defaultColWidth="9.140625" defaultRowHeight="15" x14ac:dyDescent="0.25"/>
  <cols>
    <col min="1" max="1" width="9" customWidth="1"/>
    <col min="2" max="2" width="15" customWidth="1"/>
    <col min="3" max="3" width="18" customWidth="1"/>
    <col min="4" max="4" width="12" customWidth="1"/>
    <col min="5" max="5" width="16" customWidth="1"/>
    <col min="6" max="6" width="14" customWidth="1"/>
    <col min="7" max="7" width="45" customWidth="1"/>
    <col min="8" max="8" width="27" customWidth="1"/>
    <col min="9" max="9" width="45" customWidth="1"/>
    <col min="10" max="11" width="16" customWidth="1"/>
    <col min="12" max="13" width="14" customWidth="1"/>
    <col min="14" max="14" width="15" customWidth="1"/>
    <col min="15" max="15" width="16" customWidth="1"/>
    <col min="16" max="16" width="14" customWidth="1"/>
    <col min="17" max="17" width="22" customWidth="1"/>
    <col min="18" max="19" width="17" customWidth="1"/>
    <col min="20" max="20" width="16" customWidth="1"/>
    <col min="21" max="21" width="14" customWidth="1"/>
    <col min="22" max="22" width="8" customWidth="1"/>
    <col min="23" max="23" width="19" customWidth="1"/>
    <col min="24" max="25" width="21" customWidth="1"/>
    <col min="26" max="26" width="12" customWidth="1"/>
  </cols>
  <sheetData>
    <row r="1" spans="1:26" ht="27.9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2863</v>
      </c>
    </row>
    <row r="2" spans="1:26" x14ac:dyDescent="0.25">
      <c r="A2">
        <v>20</v>
      </c>
      <c r="B2" t="s">
        <v>25</v>
      </c>
      <c r="C2" t="s">
        <v>26</v>
      </c>
      <c r="D2" t="s">
        <v>2864</v>
      </c>
      <c r="E2">
        <v>928</v>
      </c>
      <c r="F2" t="s">
        <v>2865</v>
      </c>
      <c r="G2" t="s">
        <v>2866</v>
      </c>
      <c r="H2" t="s">
        <v>2867</v>
      </c>
      <c r="I2" t="s">
        <v>2868</v>
      </c>
      <c r="L2" t="b">
        <v>1</v>
      </c>
      <c r="M2" t="s">
        <v>44</v>
      </c>
      <c r="N2" t="s">
        <v>32</v>
      </c>
      <c r="O2" t="s">
        <v>26</v>
      </c>
      <c r="P2" t="s">
        <v>33</v>
      </c>
      <c r="Q2">
        <v>1</v>
      </c>
      <c r="R2">
        <v>3</v>
      </c>
      <c r="S2">
        <v>1</v>
      </c>
      <c r="T2">
        <v>1500000</v>
      </c>
      <c r="U2">
        <v>1500000</v>
      </c>
      <c r="V2">
        <v>1</v>
      </c>
      <c r="W2">
        <v>0</v>
      </c>
      <c r="X2">
        <v>13962900</v>
      </c>
      <c r="Y2">
        <v>13962900</v>
      </c>
      <c r="Z2" t="s">
        <v>2869</v>
      </c>
    </row>
    <row r="3" spans="1:26" x14ac:dyDescent="0.25">
      <c r="A3">
        <v>17</v>
      </c>
      <c r="B3" t="s">
        <v>124</v>
      </c>
      <c r="C3" t="s">
        <v>32</v>
      </c>
      <c r="D3" t="s">
        <v>2870</v>
      </c>
      <c r="E3">
        <v>716</v>
      </c>
      <c r="F3" t="s">
        <v>2871</v>
      </c>
      <c r="G3" t="s">
        <v>2872</v>
      </c>
      <c r="H3" t="s">
        <v>2873</v>
      </c>
      <c r="I3" t="s">
        <v>2872</v>
      </c>
      <c r="L3" t="b">
        <v>0</v>
      </c>
      <c r="M3" t="s">
        <v>44</v>
      </c>
      <c r="N3" t="s">
        <v>180</v>
      </c>
      <c r="P3" t="s">
        <v>33</v>
      </c>
      <c r="Q3">
        <v>1</v>
      </c>
      <c r="R3">
        <v>3</v>
      </c>
      <c r="S3">
        <v>0</v>
      </c>
      <c r="T3">
        <v>56237.423000000003</v>
      </c>
      <c r="U3">
        <v>125000</v>
      </c>
      <c r="V3">
        <v>0.44990000000000002</v>
      </c>
      <c r="W3">
        <v>0</v>
      </c>
      <c r="X3">
        <v>0</v>
      </c>
      <c r="Y3">
        <v>0</v>
      </c>
      <c r="Z3" t="s">
        <v>2869</v>
      </c>
    </row>
    <row r="4" spans="1:26" x14ac:dyDescent="0.25">
      <c r="A4">
        <v>17</v>
      </c>
      <c r="B4" t="s">
        <v>124</v>
      </c>
      <c r="C4" t="s">
        <v>32</v>
      </c>
      <c r="D4" t="s">
        <v>2874</v>
      </c>
      <c r="E4">
        <v>175782</v>
      </c>
      <c r="F4" t="s">
        <v>2875</v>
      </c>
      <c r="G4" t="s">
        <v>2876</v>
      </c>
      <c r="H4" t="s">
        <v>2877</v>
      </c>
      <c r="I4" t="s">
        <v>2876</v>
      </c>
      <c r="L4" t="b">
        <v>0</v>
      </c>
      <c r="M4" t="s">
        <v>61</v>
      </c>
      <c r="N4" t="s">
        <v>331</v>
      </c>
      <c r="P4" t="s">
        <v>33</v>
      </c>
      <c r="Q4">
        <v>1</v>
      </c>
      <c r="R4">
        <v>3</v>
      </c>
      <c r="S4">
        <v>36</v>
      </c>
      <c r="T4">
        <v>500</v>
      </c>
      <c r="U4">
        <v>500</v>
      </c>
      <c r="V4">
        <v>1</v>
      </c>
      <c r="W4">
        <v>0</v>
      </c>
      <c r="X4">
        <v>461400.62</v>
      </c>
      <c r="Y4">
        <v>461400.62</v>
      </c>
      <c r="Z4" t="s">
        <v>2869</v>
      </c>
    </row>
    <row r="5" spans="1:26" x14ac:dyDescent="0.25">
      <c r="A5">
        <v>17</v>
      </c>
      <c r="B5" t="s">
        <v>124</v>
      </c>
      <c r="C5" t="s">
        <v>32</v>
      </c>
      <c r="D5" t="s">
        <v>2878</v>
      </c>
      <c r="E5">
        <v>176588</v>
      </c>
      <c r="F5" t="s">
        <v>2879</v>
      </c>
      <c r="G5" t="s">
        <v>2880</v>
      </c>
      <c r="H5" t="s">
        <v>2877</v>
      </c>
      <c r="I5" t="s">
        <v>2880</v>
      </c>
      <c r="L5" t="b">
        <v>0</v>
      </c>
      <c r="M5" t="s">
        <v>61</v>
      </c>
      <c r="N5" t="s">
        <v>331</v>
      </c>
      <c r="P5" t="s">
        <v>33</v>
      </c>
      <c r="Q5">
        <v>1</v>
      </c>
      <c r="R5">
        <v>3</v>
      </c>
      <c r="S5">
        <v>36</v>
      </c>
      <c r="T5">
        <v>3300</v>
      </c>
      <c r="U5">
        <v>3300</v>
      </c>
      <c r="V5">
        <v>1</v>
      </c>
      <c r="W5">
        <v>0</v>
      </c>
      <c r="X5">
        <v>2262060.149999999</v>
      </c>
      <c r="Y5">
        <v>2262060.149999999</v>
      </c>
      <c r="Z5" t="s">
        <v>2869</v>
      </c>
    </row>
    <row r="6" spans="1:26" x14ac:dyDescent="0.25">
      <c r="A6">
        <v>17</v>
      </c>
      <c r="B6" t="s">
        <v>124</v>
      </c>
      <c r="C6" t="s">
        <v>32</v>
      </c>
      <c r="D6" t="s">
        <v>2881</v>
      </c>
      <c r="E6">
        <v>175802</v>
      </c>
      <c r="F6" t="s">
        <v>2882</v>
      </c>
      <c r="G6" t="s">
        <v>2883</v>
      </c>
      <c r="H6" t="s">
        <v>2877</v>
      </c>
      <c r="I6" t="s">
        <v>2883</v>
      </c>
      <c r="L6" t="b">
        <v>0</v>
      </c>
      <c r="M6" t="s">
        <v>61</v>
      </c>
      <c r="N6" t="s">
        <v>331</v>
      </c>
      <c r="P6" t="s">
        <v>33</v>
      </c>
      <c r="Q6">
        <v>1</v>
      </c>
      <c r="R6">
        <v>3</v>
      </c>
      <c r="S6">
        <v>36</v>
      </c>
      <c r="T6">
        <v>1500</v>
      </c>
      <c r="U6">
        <v>1500</v>
      </c>
      <c r="V6">
        <v>1</v>
      </c>
      <c r="W6">
        <v>0</v>
      </c>
      <c r="X6">
        <v>1378870.97</v>
      </c>
      <c r="Y6">
        <v>1378870.97</v>
      </c>
      <c r="Z6" t="s">
        <v>2869</v>
      </c>
    </row>
    <row r="7" spans="1:26" x14ac:dyDescent="0.25">
      <c r="A7">
        <v>17</v>
      </c>
      <c r="B7" t="s">
        <v>124</v>
      </c>
      <c r="C7" t="s">
        <v>32</v>
      </c>
      <c r="D7" t="s">
        <v>2884</v>
      </c>
      <c r="E7">
        <v>175703</v>
      </c>
      <c r="F7" t="s">
        <v>2885</v>
      </c>
      <c r="G7" t="s">
        <v>2886</v>
      </c>
      <c r="H7" t="s">
        <v>2877</v>
      </c>
      <c r="I7" t="s">
        <v>2886</v>
      </c>
      <c r="L7" t="b">
        <v>0</v>
      </c>
      <c r="M7" t="s">
        <v>61</v>
      </c>
      <c r="N7" t="s">
        <v>331</v>
      </c>
      <c r="P7" t="s">
        <v>33</v>
      </c>
      <c r="Q7">
        <v>1</v>
      </c>
      <c r="R7">
        <v>3</v>
      </c>
      <c r="S7">
        <v>36</v>
      </c>
      <c r="T7">
        <v>2445</v>
      </c>
      <c r="U7">
        <v>2445</v>
      </c>
      <c r="V7">
        <v>1</v>
      </c>
      <c r="W7">
        <v>0</v>
      </c>
      <c r="X7">
        <v>2354331.04</v>
      </c>
      <c r="Y7">
        <v>2354331.04</v>
      </c>
      <c r="Z7" t="s">
        <v>2869</v>
      </c>
    </row>
    <row r="8" spans="1:26" x14ac:dyDescent="0.25">
      <c r="A8">
        <v>17</v>
      </c>
      <c r="B8" t="s">
        <v>124</v>
      </c>
      <c r="C8" t="s">
        <v>32</v>
      </c>
      <c r="D8" t="s">
        <v>2887</v>
      </c>
      <c r="E8">
        <v>173738</v>
      </c>
      <c r="F8" t="s">
        <v>2888</v>
      </c>
      <c r="G8" t="s">
        <v>2889</v>
      </c>
      <c r="H8" t="s">
        <v>2877</v>
      </c>
      <c r="I8" t="s">
        <v>2889</v>
      </c>
      <c r="L8" t="b">
        <v>0</v>
      </c>
      <c r="M8" t="s">
        <v>61</v>
      </c>
      <c r="N8" t="s">
        <v>331</v>
      </c>
      <c r="P8" t="s">
        <v>33</v>
      </c>
      <c r="Q8">
        <v>1</v>
      </c>
      <c r="R8">
        <v>3</v>
      </c>
      <c r="S8">
        <v>36</v>
      </c>
      <c r="T8">
        <v>1984</v>
      </c>
      <c r="U8">
        <v>1984</v>
      </c>
      <c r="V8">
        <v>1</v>
      </c>
      <c r="W8">
        <v>0</v>
      </c>
      <c r="X8">
        <v>1050816.54</v>
      </c>
      <c r="Y8">
        <v>1050816.54</v>
      </c>
      <c r="Z8" t="s">
        <v>2869</v>
      </c>
    </row>
    <row r="9" spans="1:26" x14ac:dyDescent="0.25">
      <c r="A9">
        <v>17</v>
      </c>
      <c r="B9" t="s">
        <v>124</v>
      </c>
      <c r="C9" t="s">
        <v>32</v>
      </c>
      <c r="D9" t="s">
        <v>2890</v>
      </c>
      <c r="E9">
        <v>175702</v>
      </c>
      <c r="F9" t="s">
        <v>2891</v>
      </c>
      <c r="G9" t="s">
        <v>2892</v>
      </c>
      <c r="H9" t="s">
        <v>2877</v>
      </c>
      <c r="I9" t="s">
        <v>2892</v>
      </c>
      <c r="L9" t="b">
        <v>0</v>
      </c>
      <c r="M9" t="s">
        <v>61</v>
      </c>
      <c r="N9" t="s">
        <v>331</v>
      </c>
      <c r="P9" t="s">
        <v>33</v>
      </c>
      <c r="Q9">
        <v>1</v>
      </c>
      <c r="R9">
        <v>3</v>
      </c>
      <c r="S9">
        <v>36</v>
      </c>
      <c r="T9">
        <v>2500</v>
      </c>
      <c r="U9">
        <v>2500</v>
      </c>
      <c r="V9">
        <v>1</v>
      </c>
      <c r="W9">
        <v>0</v>
      </c>
      <c r="X9">
        <v>1324113.58</v>
      </c>
      <c r="Y9">
        <v>1324113.58</v>
      </c>
      <c r="Z9" t="s">
        <v>2869</v>
      </c>
    </row>
    <row r="10" spans="1:26" x14ac:dyDescent="0.25">
      <c r="A10">
        <v>17</v>
      </c>
      <c r="B10" t="s">
        <v>124</v>
      </c>
      <c r="C10" t="s">
        <v>32</v>
      </c>
      <c r="D10" t="s">
        <v>2893</v>
      </c>
      <c r="E10">
        <v>1090</v>
      </c>
      <c r="F10" t="s">
        <v>2894</v>
      </c>
      <c r="G10" t="s">
        <v>2895</v>
      </c>
      <c r="H10" t="s">
        <v>2877</v>
      </c>
      <c r="I10" t="s">
        <v>2896</v>
      </c>
      <c r="L10" t="b">
        <v>1</v>
      </c>
      <c r="M10" t="s">
        <v>61</v>
      </c>
      <c r="N10" t="s">
        <v>331</v>
      </c>
      <c r="P10" t="s">
        <v>33</v>
      </c>
      <c r="Q10">
        <v>1</v>
      </c>
      <c r="R10">
        <v>3</v>
      </c>
      <c r="S10">
        <v>35.703000000000003</v>
      </c>
      <c r="T10">
        <v>83685000</v>
      </c>
      <c r="U10">
        <v>83685000</v>
      </c>
      <c r="V10">
        <v>1</v>
      </c>
      <c r="W10">
        <v>0</v>
      </c>
      <c r="X10">
        <v>8791542.0199999977</v>
      </c>
      <c r="Y10">
        <v>8791542.0199999977</v>
      </c>
      <c r="Z10" t="s">
        <v>2869</v>
      </c>
    </row>
    <row r="11" spans="1:26" x14ac:dyDescent="0.25">
      <c r="A11">
        <v>20</v>
      </c>
      <c r="B11" t="s">
        <v>25</v>
      </c>
      <c r="C11" t="s">
        <v>26</v>
      </c>
      <c r="D11" t="s">
        <v>2897</v>
      </c>
      <c r="E11">
        <v>31509</v>
      </c>
      <c r="G11" t="s">
        <v>2898</v>
      </c>
      <c r="H11" t="s">
        <v>2899</v>
      </c>
      <c r="I11" t="s">
        <v>2898</v>
      </c>
      <c r="L11" t="b">
        <v>0</v>
      </c>
      <c r="M11" t="s">
        <v>50</v>
      </c>
      <c r="N11" t="s">
        <v>26</v>
      </c>
      <c r="P11" t="s">
        <v>33</v>
      </c>
      <c r="Q11">
        <v>1</v>
      </c>
      <c r="R11">
        <v>8</v>
      </c>
      <c r="S11">
        <v>0</v>
      </c>
      <c r="T11">
        <v>882850646</v>
      </c>
      <c r="U11">
        <v>882850646</v>
      </c>
      <c r="V11">
        <v>1</v>
      </c>
      <c r="W11">
        <v>0</v>
      </c>
      <c r="X11">
        <v>0</v>
      </c>
      <c r="Y11">
        <v>0</v>
      </c>
      <c r="Z11" t="s">
        <v>2869</v>
      </c>
    </row>
    <row r="12" spans="1:26" x14ac:dyDescent="0.25">
      <c r="A12">
        <v>20</v>
      </c>
      <c r="B12" t="s">
        <v>25</v>
      </c>
      <c r="C12" t="s">
        <v>26</v>
      </c>
      <c r="D12" t="s">
        <v>2900</v>
      </c>
      <c r="E12">
        <v>31510</v>
      </c>
      <c r="G12" t="s">
        <v>2901</v>
      </c>
      <c r="H12" t="s">
        <v>2899</v>
      </c>
      <c r="I12" t="s">
        <v>2901</v>
      </c>
      <c r="L12" t="b">
        <v>0</v>
      </c>
      <c r="M12" t="s">
        <v>50</v>
      </c>
      <c r="N12" t="s">
        <v>26</v>
      </c>
      <c r="P12" t="s">
        <v>33</v>
      </c>
      <c r="Q12">
        <v>1</v>
      </c>
      <c r="R12">
        <v>8</v>
      </c>
      <c r="S12">
        <v>0</v>
      </c>
      <c r="T12">
        <v>650003549</v>
      </c>
      <c r="U12">
        <v>650003549</v>
      </c>
      <c r="V12">
        <v>1</v>
      </c>
      <c r="W12">
        <v>0</v>
      </c>
      <c r="X12">
        <v>0</v>
      </c>
      <c r="Y12">
        <v>0</v>
      </c>
      <c r="Z12" t="s">
        <v>2869</v>
      </c>
    </row>
    <row r="13" spans="1:26" x14ac:dyDescent="0.25">
      <c r="A13">
        <v>20</v>
      </c>
      <c r="B13" t="s">
        <v>25</v>
      </c>
      <c r="C13" t="s">
        <v>26</v>
      </c>
      <c r="D13" t="s">
        <v>2902</v>
      </c>
      <c r="E13">
        <v>3334</v>
      </c>
      <c r="G13" t="s">
        <v>2903</v>
      </c>
      <c r="H13" t="s">
        <v>2904</v>
      </c>
      <c r="I13" t="s">
        <v>2903</v>
      </c>
      <c r="L13" t="b">
        <v>0</v>
      </c>
      <c r="M13" t="s">
        <v>50</v>
      </c>
      <c r="N13" t="s">
        <v>26</v>
      </c>
      <c r="P13" t="s">
        <v>33</v>
      </c>
      <c r="Q13">
        <v>1</v>
      </c>
      <c r="R13">
        <v>8</v>
      </c>
      <c r="S13">
        <v>0</v>
      </c>
      <c r="T13">
        <v>1091676342</v>
      </c>
      <c r="U13">
        <v>1091676342</v>
      </c>
      <c r="V13">
        <v>1</v>
      </c>
      <c r="W13">
        <v>0</v>
      </c>
      <c r="X13">
        <v>0</v>
      </c>
      <c r="Y13">
        <v>0</v>
      </c>
      <c r="Z13" t="s">
        <v>2869</v>
      </c>
    </row>
    <row r="14" spans="1:26" x14ac:dyDescent="0.25">
      <c r="A14">
        <v>20</v>
      </c>
      <c r="B14" t="s">
        <v>25</v>
      </c>
      <c r="C14" t="s">
        <v>26</v>
      </c>
      <c r="D14" t="s">
        <v>2905</v>
      </c>
      <c r="E14">
        <v>3951</v>
      </c>
      <c r="G14" t="s">
        <v>2906</v>
      </c>
      <c r="H14" t="s">
        <v>2907</v>
      </c>
      <c r="I14" t="s">
        <v>2906</v>
      </c>
      <c r="L14" t="b">
        <v>0</v>
      </c>
      <c r="M14" t="s">
        <v>50</v>
      </c>
      <c r="N14" t="s">
        <v>26</v>
      </c>
      <c r="P14" t="s">
        <v>33</v>
      </c>
      <c r="Q14">
        <v>1</v>
      </c>
      <c r="R14">
        <v>8</v>
      </c>
      <c r="S14">
        <v>0</v>
      </c>
      <c r="T14">
        <v>7365800530.198</v>
      </c>
      <c r="U14">
        <v>8294625817</v>
      </c>
      <c r="V14">
        <v>0.88800000000000001</v>
      </c>
      <c r="W14">
        <v>0</v>
      </c>
      <c r="X14">
        <v>0</v>
      </c>
      <c r="Y14">
        <v>0</v>
      </c>
      <c r="Z14" t="s">
        <v>2869</v>
      </c>
    </row>
    <row r="15" spans="1:26" x14ac:dyDescent="0.25">
      <c r="A15">
        <v>20</v>
      </c>
      <c r="B15" t="s">
        <v>25</v>
      </c>
      <c r="C15" t="s">
        <v>26</v>
      </c>
      <c r="D15" t="s">
        <v>2908</v>
      </c>
      <c r="E15">
        <v>205779</v>
      </c>
      <c r="G15" t="s">
        <v>2909</v>
      </c>
      <c r="H15" t="s">
        <v>2554</v>
      </c>
      <c r="I15" t="s">
        <v>2909</v>
      </c>
      <c r="L15" t="b">
        <v>0</v>
      </c>
      <c r="M15" t="s">
        <v>50</v>
      </c>
      <c r="N15" t="s">
        <v>241</v>
      </c>
      <c r="P15" t="s">
        <v>33</v>
      </c>
      <c r="Q15">
        <v>1</v>
      </c>
      <c r="R15">
        <v>2</v>
      </c>
      <c r="S15">
        <v>0</v>
      </c>
      <c r="T15">
        <v>15991</v>
      </c>
      <c r="U15">
        <v>15991</v>
      </c>
      <c r="V15">
        <v>1</v>
      </c>
      <c r="W15">
        <v>33020312.420000002</v>
      </c>
      <c r="X15">
        <v>0</v>
      </c>
      <c r="Y15">
        <v>33020312.420000002</v>
      </c>
      <c r="Z15" t="s">
        <v>2869</v>
      </c>
    </row>
    <row r="16" spans="1:26" x14ac:dyDescent="0.25">
      <c r="A16">
        <v>20</v>
      </c>
      <c r="B16" t="s">
        <v>25</v>
      </c>
      <c r="C16" t="s">
        <v>26</v>
      </c>
      <c r="D16" t="s">
        <v>2910</v>
      </c>
      <c r="E16">
        <v>160240</v>
      </c>
      <c r="G16" t="s">
        <v>2911</v>
      </c>
      <c r="H16" t="s">
        <v>2566</v>
      </c>
      <c r="I16" t="s">
        <v>2911</v>
      </c>
      <c r="L16" t="b">
        <v>0</v>
      </c>
      <c r="M16" t="s">
        <v>50</v>
      </c>
      <c r="N16" t="s">
        <v>32</v>
      </c>
      <c r="O16" t="s">
        <v>26</v>
      </c>
      <c r="P16" t="s">
        <v>33</v>
      </c>
      <c r="Q16">
        <v>1</v>
      </c>
      <c r="R16">
        <v>2</v>
      </c>
      <c r="S16">
        <v>0</v>
      </c>
      <c r="T16">
        <v>10000000</v>
      </c>
      <c r="U16">
        <v>10000000</v>
      </c>
      <c r="V16">
        <v>1</v>
      </c>
      <c r="W16">
        <v>4137155.56</v>
      </c>
      <c r="X16">
        <v>0</v>
      </c>
      <c r="Y16">
        <v>4137155.56</v>
      </c>
      <c r="Z16" t="s">
        <v>2869</v>
      </c>
    </row>
    <row r="17" spans="1:26" x14ac:dyDescent="0.25">
      <c r="A17">
        <v>20</v>
      </c>
      <c r="B17" t="s">
        <v>25</v>
      </c>
      <c r="C17" t="s">
        <v>26</v>
      </c>
      <c r="D17" t="s">
        <v>2912</v>
      </c>
      <c r="E17">
        <v>31179</v>
      </c>
      <c r="G17" t="s">
        <v>2913</v>
      </c>
      <c r="H17" t="s">
        <v>2907</v>
      </c>
      <c r="I17" t="s">
        <v>2913</v>
      </c>
      <c r="L17" t="b">
        <v>0</v>
      </c>
      <c r="M17" t="s">
        <v>50</v>
      </c>
      <c r="N17" t="s">
        <v>32</v>
      </c>
      <c r="O17" t="s">
        <v>26</v>
      </c>
      <c r="P17" t="s">
        <v>33</v>
      </c>
      <c r="Q17">
        <v>1</v>
      </c>
      <c r="R17">
        <v>8</v>
      </c>
      <c r="S17">
        <v>0</v>
      </c>
      <c r="T17">
        <v>262557</v>
      </c>
      <c r="U17">
        <v>279496</v>
      </c>
      <c r="V17">
        <v>0.93940000000000001</v>
      </c>
      <c r="W17">
        <v>0</v>
      </c>
      <c r="X17">
        <v>0</v>
      </c>
      <c r="Y17">
        <v>0</v>
      </c>
      <c r="Z17" t="s">
        <v>2869</v>
      </c>
    </row>
    <row r="18" spans="1:26" x14ac:dyDescent="0.25">
      <c r="A18">
        <v>20</v>
      </c>
      <c r="B18" t="s">
        <v>25</v>
      </c>
      <c r="C18" t="s">
        <v>26</v>
      </c>
      <c r="D18" t="s">
        <v>2914</v>
      </c>
      <c r="E18">
        <v>3946</v>
      </c>
      <c r="G18" t="s">
        <v>2915</v>
      </c>
      <c r="H18" t="s">
        <v>2907</v>
      </c>
      <c r="I18" t="s">
        <v>2915</v>
      </c>
      <c r="L18" t="b">
        <v>0</v>
      </c>
      <c r="M18" t="s">
        <v>50</v>
      </c>
      <c r="N18" t="s">
        <v>32</v>
      </c>
      <c r="O18" t="s">
        <v>26</v>
      </c>
      <c r="P18" t="s">
        <v>33</v>
      </c>
      <c r="Q18">
        <v>1</v>
      </c>
      <c r="R18">
        <v>8</v>
      </c>
      <c r="S18">
        <v>0</v>
      </c>
      <c r="T18">
        <v>1070197</v>
      </c>
      <c r="U18">
        <v>1104719</v>
      </c>
      <c r="V18">
        <v>0.96879999999999999</v>
      </c>
      <c r="W18">
        <v>0</v>
      </c>
      <c r="X18">
        <v>0</v>
      </c>
      <c r="Y18">
        <v>0</v>
      </c>
      <c r="Z18" t="s">
        <v>2869</v>
      </c>
    </row>
    <row r="19" spans="1:26" x14ac:dyDescent="0.25">
      <c r="A19">
        <v>20</v>
      </c>
      <c r="B19" t="s">
        <v>25</v>
      </c>
      <c r="C19" t="s">
        <v>26</v>
      </c>
      <c r="D19" t="s">
        <v>2916</v>
      </c>
      <c r="E19">
        <v>3947</v>
      </c>
      <c r="G19" t="s">
        <v>2917</v>
      </c>
      <c r="H19" t="s">
        <v>2907</v>
      </c>
      <c r="I19" t="s">
        <v>2917</v>
      </c>
      <c r="L19" t="b">
        <v>0</v>
      </c>
      <c r="M19" t="s">
        <v>50</v>
      </c>
      <c r="N19" t="s">
        <v>32</v>
      </c>
      <c r="O19" t="s">
        <v>26</v>
      </c>
      <c r="P19" t="s">
        <v>33</v>
      </c>
      <c r="Q19">
        <v>1</v>
      </c>
      <c r="R19">
        <v>8</v>
      </c>
      <c r="S19">
        <v>0</v>
      </c>
      <c r="T19">
        <v>425440</v>
      </c>
      <c r="U19">
        <v>425440</v>
      </c>
      <c r="V19">
        <v>1</v>
      </c>
      <c r="W19">
        <v>0</v>
      </c>
      <c r="X19">
        <v>0</v>
      </c>
      <c r="Y19">
        <v>0</v>
      </c>
      <c r="Z19" t="s">
        <v>2869</v>
      </c>
    </row>
    <row r="20" spans="1:26" x14ac:dyDescent="0.25">
      <c r="A20">
        <v>20</v>
      </c>
      <c r="B20" t="s">
        <v>25</v>
      </c>
      <c r="C20" t="s">
        <v>26</v>
      </c>
      <c r="D20" t="s">
        <v>2918</v>
      </c>
      <c r="E20">
        <v>3948</v>
      </c>
      <c r="G20" t="s">
        <v>2919</v>
      </c>
      <c r="H20" t="s">
        <v>2907</v>
      </c>
      <c r="I20" t="s">
        <v>2919</v>
      </c>
      <c r="L20" t="b">
        <v>0</v>
      </c>
      <c r="M20" t="s">
        <v>50</v>
      </c>
      <c r="N20" t="s">
        <v>32</v>
      </c>
      <c r="O20" t="s">
        <v>26</v>
      </c>
      <c r="P20" t="s">
        <v>33</v>
      </c>
      <c r="Q20">
        <v>1</v>
      </c>
      <c r="R20">
        <v>8</v>
      </c>
      <c r="S20">
        <v>0</v>
      </c>
      <c r="T20">
        <v>1018127</v>
      </c>
      <c r="U20">
        <v>1018127</v>
      </c>
      <c r="V20">
        <v>1</v>
      </c>
      <c r="W20">
        <v>0</v>
      </c>
      <c r="X20">
        <v>0</v>
      </c>
      <c r="Y20">
        <v>0</v>
      </c>
      <c r="Z20" t="s">
        <v>2869</v>
      </c>
    </row>
    <row r="21" spans="1:26" x14ac:dyDescent="0.25">
      <c r="A21">
        <v>20</v>
      </c>
      <c r="B21" t="s">
        <v>25</v>
      </c>
      <c r="C21" t="s">
        <v>26</v>
      </c>
      <c r="D21" t="s">
        <v>2920</v>
      </c>
      <c r="E21">
        <v>3949</v>
      </c>
      <c r="G21" t="s">
        <v>2921</v>
      </c>
      <c r="H21" t="s">
        <v>2907</v>
      </c>
      <c r="I21" t="s">
        <v>2921</v>
      </c>
      <c r="L21" t="b">
        <v>0</v>
      </c>
      <c r="M21" t="s">
        <v>50</v>
      </c>
      <c r="N21" t="s">
        <v>32</v>
      </c>
      <c r="O21" t="s">
        <v>26</v>
      </c>
      <c r="P21" t="s">
        <v>33</v>
      </c>
      <c r="Q21">
        <v>1</v>
      </c>
      <c r="R21">
        <v>8</v>
      </c>
      <c r="S21">
        <v>0</v>
      </c>
      <c r="T21">
        <v>365774</v>
      </c>
      <c r="U21">
        <v>365774</v>
      </c>
      <c r="V21">
        <v>1</v>
      </c>
      <c r="W21">
        <v>0</v>
      </c>
      <c r="X21">
        <v>0</v>
      </c>
      <c r="Y21">
        <v>0</v>
      </c>
      <c r="Z21" t="s">
        <v>2869</v>
      </c>
    </row>
    <row r="22" spans="1:26" x14ac:dyDescent="0.25">
      <c r="A22">
        <v>20</v>
      </c>
      <c r="B22" t="s">
        <v>25</v>
      </c>
      <c r="C22" t="s">
        <v>26</v>
      </c>
      <c r="D22" t="s">
        <v>2922</v>
      </c>
      <c r="E22">
        <v>3950</v>
      </c>
      <c r="G22" t="s">
        <v>2923</v>
      </c>
      <c r="H22" t="s">
        <v>2907</v>
      </c>
      <c r="I22" t="s">
        <v>2923</v>
      </c>
      <c r="L22" t="b">
        <v>0</v>
      </c>
      <c r="M22" t="s">
        <v>50</v>
      </c>
      <c r="N22" t="s">
        <v>32</v>
      </c>
      <c r="O22" t="s">
        <v>26</v>
      </c>
      <c r="P22" t="s">
        <v>33</v>
      </c>
      <c r="Q22">
        <v>1</v>
      </c>
      <c r="R22">
        <v>8</v>
      </c>
      <c r="S22">
        <v>0</v>
      </c>
      <c r="T22">
        <v>70817</v>
      </c>
      <c r="U22">
        <v>70817</v>
      </c>
      <c r="V22">
        <v>1</v>
      </c>
      <c r="W22">
        <v>0</v>
      </c>
      <c r="X22">
        <v>0</v>
      </c>
      <c r="Y22">
        <v>0</v>
      </c>
      <c r="Z22" t="s">
        <v>2869</v>
      </c>
    </row>
    <row r="23" spans="1:26" x14ac:dyDescent="0.25">
      <c r="A23">
        <v>20</v>
      </c>
      <c r="B23" t="s">
        <v>25</v>
      </c>
      <c r="C23" t="s">
        <v>26</v>
      </c>
      <c r="D23" t="s">
        <v>2924</v>
      </c>
      <c r="E23">
        <v>31600</v>
      </c>
      <c r="G23" t="s">
        <v>2925</v>
      </c>
      <c r="H23" t="s">
        <v>2907</v>
      </c>
      <c r="I23" t="s">
        <v>2925</v>
      </c>
      <c r="L23" t="b">
        <v>0</v>
      </c>
      <c r="M23" t="s">
        <v>50</v>
      </c>
      <c r="N23" t="s">
        <v>32</v>
      </c>
      <c r="O23" t="s">
        <v>26</v>
      </c>
      <c r="P23" t="s">
        <v>33</v>
      </c>
      <c r="Q23">
        <v>1</v>
      </c>
      <c r="R23">
        <v>8</v>
      </c>
      <c r="S23">
        <v>0</v>
      </c>
      <c r="T23">
        <v>280653</v>
      </c>
      <c r="U23">
        <v>280653</v>
      </c>
      <c r="V23">
        <v>1</v>
      </c>
      <c r="W23">
        <v>0</v>
      </c>
      <c r="X23">
        <v>0</v>
      </c>
      <c r="Y23">
        <v>0</v>
      </c>
      <c r="Z23" t="s">
        <v>2869</v>
      </c>
    </row>
    <row r="24" spans="1:26" x14ac:dyDescent="0.25">
      <c r="A24">
        <v>16</v>
      </c>
      <c r="B24" t="s">
        <v>578</v>
      </c>
      <c r="C24" t="s">
        <v>32</v>
      </c>
      <c r="D24" t="s">
        <v>2926</v>
      </c>
      <c r="E24">
        <v>213458</v>
      </c>
      <c r="G24" t="s">
        <v>2927</v>
      </c>
      <c r="H24" t="s">
        <v>30</v>
      </c>
      <c r="I24" t="s">
        <v>2927</v>
      </c>
      <c r="L24" t="b">
        <v>0</v>
      </c>
      <c r="M24" t="s">
        <v>31</v>
      </c>
      <c r="N24" t="s">
        <v>358</v>
      </c>
      <c r="P24" t="s">
        <v>579</v>
      </c>
      <c r="Q24">
        <v>1</v>
      </c>
      <c r="R24">
        <v>3</v>
      </c>
      <c r="S24">
        <v>1244.4983</v>
      </c>
      <c r="T24">
        <v>24879</v>
      </c>
      <c r="U24">
        <v>24879</v>
      </c>
      <c r="V24">
        <v>1</v>
      </c>
      <c r="W24">
        <v>0</v>
      </c>
      <c r="X24">
        <v>5720907.3200000003</v>
      </c>
      <c r="Y24">
        <v>5720907.3200000003</v>
      </c>
      <c r="Z24" t="s">
        <v>2928</v>
      </c>
    </row>
    <row r="25" spans="1:26" x14ac:dyDescent="0.25">
      <c r="A25">
        <v>16</v>
      </c>
      <c r="B25" t="s">
        <v>578</v>
      </c>
      <c r="C25" t="s">
        <v>32</v>
      </c>
      <c r="D25" t="s">
        <v>2929</v>
      </c>
      <c r="E25">
        <v>213459</v>
      </c>
      <c r="G25" t="s">
        <v>2930</v>
      </c>
      <c r="H25" t="s">
        <v>30</v>
      </c>
      <c r="I25" t="s">
        <v>2930</v>
      </c>
      <c r="L25" t="b">
        <v>0</v>
      </c>
      <c r="M25" t="s">
        <v>31</v>
      </c>
      <c r="N25" t="s">
        <v>358</v>
      </c>
      <c r="P25" t="s">
        <v>579</v>
      </c>
      <c r="Q25">
        <v>1</v>
      </c>
      <c r="R25">
        <v>3</v>
      </c>
      <c r="S25">
        <v>1244.4983</v>
      </c>
      <c r="T25">
        <v>54828</v>
      </c>
      <c r="U25">
        <v>54828</v>
      </c>
      <c r="V25">
        <v>1</v>
      </c>
      <c r="W25">
        <v>0</v>
      </c>
      <c r="X25">
        <v>12607657.33</v>
      </c>
      <c r="Y25">
        <v>12607657.33</v>
      </c>
      <c r="Z25" t="s">
        <v>2928</v>
      </c>
    </row>
    <row r="26" spans="1:26" x14ac:dyDescent="0.25">
      <c r="A26">
        <v>16</v>
      </c>
      <c r="B26" t="s">
        <v>578</v>
      </c>
      <c r="C26" t="s">
        <v>32</v>
      </c>
      <c r="D26" t="s">
        <v>2931</v>
      </c>
      <c r="E26">
        <v>213460</v>
      </c>
      <c r="G26" t="s">
        <v>2932</v>
      </c>
      <c r="H26" t="s">
        <v>30</v>
      </c>
      <c r="I26" t="s">
        <v>2932</v>
      </c>
      <c r="L26" t="b">
        <v>0</v>
      </c>
      <c r="M26" t="s">
        <v>31</v>
      </c>
      <c r="N26" t="s">
        <v>358</v>
      </c>
      <c r="P26" t="s">
        <v>579</v>
      </c>
      <c r="Q26">
        <v>1</v>
      </c>
      <c r="R26">
        <v>3</v>
      </c>
      <c r="S26">
        <v>1244.4983</v>
      </c>
      <c r="T26">
        <v>7369</v>
      </c>
      <c r="U26">
        <v>7369</v>
      </c>
      <c r="V26">
        <v>1</v>
      </c>
      <c r="W26">
        <v>0</v>
      </c>
      <c r="X26">
        <v>1694496</v>
      </c>
      <c r="Y26">
        <v>1694496</v>
      </c>
      <c r="Z26" t="s">
        <v>2928</v>
      </c>
    </row>
    <row r="27" spans="1:26" x14ac:dyDescent="0.25">
      <c r="A27">
        <v>16</v>
      </c>
      <c r="B27" t="s">
        <v>578</v>
      </c>
      <c r="C27" t="s">
        <v>32</v>
      </c>
      <c r="D27" t="s">
        <v>2870</v>
      </c>
      <c r="E27">
        <v>716</v>
      </c>
      <c r="F27" t="s">
        <v>2871</v>
      </c>
      <c r="G27" t="s">
        <v>2872</v>
      </c>
      <c r="H27" t="s">
        <v>2873</v>
      </c>
      <c r="I27" t="s">
        <v>2872</v>
      </c>
      <c r="L27" t="b">
        <v>0</v>
      </c>
      <c r="M27" t="s">
        <v>44</v>
      </c>
      <c r="N27" t="s">
        <v>180</v>
      </c>
      <c r="P27" t="s">
        <v>579</v>
      </c>
      <c r="Q27">
        <v>1</v>
      </c>
      <c r="R27">
        <v>3</v>
      </c>
      <c r="S27">
        <v>0</v>
      </c>
      <c r="T27">
        <v>96728.366999999998</v>
      </c>
      <c r="U27">
        <v>215000</v>
      </c>
      <c r="V27">
        <v>0.44990000000000002</v>
      </c>
      <c r="W27">
        <v>0</v>
      </c>
      <c r="X27">
        <v>0</v>
      </c>
      <c r="Y27">
        <v>0</v>
      </c>
      <c r="Z27" t="s">
        <v>2869</v>
      </c>
    </row>
    <row r="28" spans="1:26" x14ac:dyDescent="0.25">
      <c r="A28">
        <v>16</v>
      </c>
      <c r="B28" t="s">
        <v>578</v>
      </c>
      <c r="C28" t="s">
        <v>32</v>
      </c>
      <c r="D28" t="s">
        <v>2933</v>
      </c>
      <c r="E28">
        <v>714</v>
      </c>
      <c r="F28" t="s">
        <v>2934</v>
      </c>
      <c r="G28" t="s">
        <v>2935</v>
      </c>
      <c r="H28" t="s">
        <v>2873</v>
      </c>
      <c r="I28" t="s">
        <v>2936</v>
      </c>
      <c r="J28" t="s">
        <v>2934</v>
      </c>
      <c r="K28" t="s">
        <v>2937</v>
      </c>
      <c r="L28" t="b">
        <v>1</v>
      </c>
      <c r="M28" t="s">
        <v>44</v>
      </c>
      <c r="N28" t="s">
        <v>32</v>
      </c>
      <c r="P28" t="s">
        <v>579</v>
      </c>
      <c r="Q28">
        <v>1</v>
      </c>
      <c r="R28">
        <v>3</v>
      </c>
      <c r="S28">
        <v>0</v>
      </c>
      <c r="T28">
        <v>4162262</v>
      </c>
      <c r="U28">
        <v>4162262</v>
      </c>
      <c r="V28">
        <v>1</v>
      </c>
      <c r="W28">
        <v>0</v>
      </c>
      <c r="X28">
        <v>0</v>
      </c>
      <c r="Y28">
        <v>0</v>
      </c>
      <c r="Z28" t="s">
        <v>2869</v>
      </c>
    </row>
    <row r="29" spans="1:26" x14ac:dyDescent="0.25">
      <c r="A29">
        <v>16</v>
      </c>
      <c r="B29" t="s">
        <v>578</v>
      </c>
      <c r="C29" t="s">
        <v>32</v>
      </c>
      <c r="D29" t="s">
        <v>2938</v>
      </c>
      <c r="E29">
        <v>157263</v>
      </c>
      <c r="F29" t="s">
        <v>2939</v>
      </c>
      <c r="G29" t="s">
        <v>2940</v>
      </c>
      <c r="H29" t="s">
        <v>2941</v>
      </c>
      <c r="I29" t="s">
        <v>2940</v>
      </c>
      <c r="L29" t="b">
        <v>0</v>
      </c>
      <c r="M29" t="s">
        <v>31</v>
      </c>
      <c r="N29" t="s">
        <v>32</v>
      </c>
      <c r="P29" t="s">
        <v>579</v>
      </c>
      <c r="Q29">
        <v>1</v>
      </c>
      <c r="R29">
        <v>3</v>
      </c>
      <c r="S29">
        <v>26.11</v>
      </c>
      <c r="T29">
        <v>1248387.0730000001</v>
      </c>
      <c r="U29">
        <v>1248387.0730000001</v>
      </c>
      <c r="V29">
        <v>1</v>
      </c>
      <c r="W29">
        <v>0</v>
      </c>
      <c r="X29">
        <v>325953.87000000011</v>
      </c>
      <c r="Y29">
        <v>325953.87000000011</v>
      </c>
      <c r="Z29" t="s">
        <v>2869</v>
      </c>
    </row>
    <row r="30" spans="1:26" x14ac:dyDescent="0.25">
      <c r="A30">
        <v>16</v>
      </c>
      <c r="B30" t="s">
        <v>578</v>
      </c>
      <c r="C30" t="s">
        <v>32</v>
      </c>
      <c r="D30" t="s">
        <v>2942</v>
      </c>
      <c r="E30">
        <v>171365</v>
      </c>
      <c r="F30" t="s">
        <v>2943</v>
      </c>
      <c r="G30" t="s">
        <v>2944</v>
      </c>
      <c r="H30" t="s">
        <v>2945</v>
      </c>
      <c r="I30" t="s">
        <v>2944</v>
      </c>
      <c r="L30" t="b">
        <v>0</v>
      </c>
      <c r="M30" t="s">
        <v>44</v>
      </c>
      <c r="N30" t="s">
        <v>32</v>
      </c>
      <c r="P30" t="s">
        <v>579</v>
      </c>
      <c r="Q30">
        <v>1</v>
      </c>
      <c r="R30">
        <v>3</v>
      </c>
      <c r="S30">
        <v>1.375</v>
      </c>
      <c r="T30">
        <v>200000</v>
      </c>
      <c r="U30">
        <v>200000</v>
      </c>
      <c r="V30">
        <v>1</v>
      </c>
      <c r="W30">
        <v>0</v>
      </c>
      <c r="X30">
        <v>2749.9999999999982</v>
      </c>
      <c r="Y30">
        <v>2749.9999999999982</v>
      </c>
      <c r="Z30" t="s">
        <v>2928</v>
      </c>
    </row>
    <row r="31" spans="1:26" x14ac:dyDescent="0.25">
      <c r="A31">
        <v>16</v>
      </c>
      <c r="B31" t="s">
        <v>578</v>
      </c>
      <c r="C31" t="s">
        <v>32</v>
      </c>
      <c r="D31" t="s">
        <v>2946</v>
      </c>
      <c r="E31">
        <v>4286</v>
      </c>
      <c r="F31" t="s">
        <v>2947</v>
      </c>
      <c r="G31" t="s">
        <v>2948</v>
      </c>
      <c r="H31" t="s">
        <v>2949</v>
      </c>
      <c r="I31" t="s">
        <v>2950</v>
      </c>
      <c r="L31" t="b">
        <v>1</v>
      </c>
      <c r="M31" t="s">
        <v>81</v>
      </c>
      <c r="N31" t="s">
        <v>32</v>
      </c>
      <c r="P31" t="s">
        <v>579</v>
      </c>
      <c r="Q31">
        <v>1</v>
      </c>
      <c r="R31">
        <v>3</v>
      </c>
      <c r="S31">
        <v>0.14199999999999999</v>
      </c>
      <c r="T31">
        <v>3200000</v>
      </c>
      <c r="U31">
        <v>3200000</v>
      </c>
      <c r="V31">
        <v>1</v>
      </c>
      <c r="W31">
        <v>0</v>
      </c>
      <c r="X31">
        <v>4544.0000000000218</v>
      </c>
      <c r="Y31">
        <v>4544.0000000000218</v>
      </c>
      <c r="Z31" t="s">
        <v>2869</v>
      </c>
    </row>
    <row r="32" spans="1:26" x14ac:dyDescent="0.25">
      <c r="A32">
        <v>16</v>
      </c>
      <c r="B32" t="s">
        <v>578</v>
      </c>
      <c r="C32" t="s">
        <v>32</v>
      </c>
      <c r="D32" t="s">
        <v>2951</v>
      </c>
      <c r="E32">
        <v>771</v>
      </c>
      <c r="F32" t="s">
        <v>2952</v>
      </c>
      <c r="G32" t="s">
        <v>2953</v>
      </c>
      <c r="H32" t="s">
        <v>1093</v>
      </c>
      <c r="I32" t="s">
        <v>2953</v>
      </c>
      <c r="L32" t="b">
        <v>0</v>
      </c>
      <c r="M32" t="s">
        <v>31</v>
      </c>
      <c r="N32" t="s">
        <v>32</v>
      </c>
      <c r="P32" t="s">
        <v>579</v>
      </c>
      <c r="Q32">
        <v>1</v>
      </c>
      <c r="R32">
        <v>3</v>
      </c>
      <c r="S32">
        <v>0</v>
      </c>
      <c r="T32">
        <v>1872148</v>
      </c>
      <c r="U32">
        <v>1872148</v>
      </c>
      <c r="V32">
        <v>1</v>
      </c>
      <c r="W32">
        <v>0</v>
      </c>
      <c r="X32">
        <v>0</v>
      </c>
      <c r="Y32">
        <v>0</v>
      </c>
      <c r="Z32" t="s">
        <v>2869</v>
      </c>
    </row>
    <row r="33" spans="1:26" x14ac:dyDescent="0.25">
      <c r="A33">
        <v>16</v>
      </c>
      <c r="B33" t="s">
        <v>578</v>
      </c>
      <c r="C33" t="s">
        <v>32</v>
      </c>
      <c r="D33" t="s">
        <v>2954</v>
      </c>
      <c r="E33">
        <v>772</v>
      </c>
      <c r="F33" t="s">
        <v>2955</v>
      </c>
      <c r="G33" t="s">
        <v>2956</v>
      </c>
      <c r="H33" t="s">
        <v>1093</v>
      </c>
      <c r="I33" t="s">
        <v>2956</v>
      </c>
      <c r="L33" t="b">
        <v>0</v>
      </c>
      <c r="M33" t="s">
        <v>31</v>
      </c>
      <c r="N33" t="s">
        <v>32</v>
      </c>
      <c r="P33" t="s">
        <v>579</v>
      </c>
      <c r="Q33">
        <v>1</v>
      </c>
      <c r="R33">
        <v>3</v>
      </c>
      <c r="S33">
        <v>0</v>
      </c>
      <c r="T33">
        <v>1979377</v>
      </c>
      <c r="U33">
        <v>1979377</v>
      </c>
      <c r="V33">
        <v>1</v>
      </c>
      <c r="W33">
        <v>0</v>
      </c>
      <c r="X33">
        <v>0</v>
      </c>
      <c r="Y33">
        <v>0</v>
      </c>
      <c r="Z33" t="s">
        <v>2869</v>
      </c>
    </row>
    <row r="34" spans="1:26" x14ac:dyDescent="0.25">
      <c r="A34">
        <v>16</v>
      </c>
      <c r="B34" t="s">
        <v>578</v>
      </c>
      <c r="C34" t="s">
        <v>32</v>
      </c>
      <c r="D34" t="s">
        <v>2957</v>
      </c>
      <c r="E34">
        <v>773</v>
      </c>
      <c r="F34" t="s">
        <v>2958</v>
      </c>
      <c r="G34" t="s">
        <v>2959</v>
      </c>
      <c r="H34" t="s">
        <v>1093</v>
      </c>
      <c r="I34" t="s">
        <v>2960</v>
      </c>
      <c r="L34" t="b">
        <v>1</v>
      </c>
      <c r="M34" t="s">
        <v>31</v>
      </c>
      <c r="N34" t="s">
        <v>32</v>
      </c>
      <c r="P34" t="s">
        <v>579</v>
      </c>
      <c r="Q34">
        <v>1</v>
      </c>
      <c r="R34">
        <v>3</v>
      </c>
      <c r="S34">
        <v>0</v>
      </c>
      <c r="T34">
        <v>8387911</v>
      </c>
      <c r="U34">
        <v>8387911</v>
      </c>
      <c r="V34">
        <v>1</v>
      </c>
      <c r="W34">
        <v>0</v>
      </c>
      <c r="X34">
        <v>0</v>
      </c>
      <c r="Y34">
        <v>0</v>
      </c>
      <c r="Z34" t="s">
        <v>2869</v>
      </c>
    </row>
    <row r="35" spans="1:26" x14ac:dyDescent="0.25">
      <c r="A35">
        <v>16</v>
      </c>
      <c r="B35" t="s">
        <v>578</v>
      </c>
      <c r="C35" t="s">
        <v>32</v>
      </c>
      <c r="D35" t="s">
        <v>2961</v>
      </c>
      <c r="E35">
        <v>775</v>
      </c>
      <c r="F35" t="s">
        <v>1095</v>
      </c>
      <c r="G35" t="s">
        <v>2962</v>
      </c>
      <c r="H35" t="s">
        <v>1093</v>
      </c>
      <c r="I35" t="s">
        <v>1094</v>
      </c>
      <c r="J35" t="s">
        <v>1095</v>
      </c>
      <c r="K35" t="s">
        <v>1091</v>
      </c>
      <c r="L35" t="b">
        <v>1</v>
      </c>
      <c r="M35" t="s">
        <v>31</v>
      </c>
      <c r="N35" t="s">
        <v>32</v>
      </c>
      <c r="P35" t="s">
        <v>579</v>
      </c>
      <c r="Q35">
        <v>1</v>
      </c>
      <c r="R35">
        <v>3</v>
      </c>
      <c r="S35">
        <v>0</v>
      </c>
      <c r="T35">
        <v>11881818</v>
      </c>
      <c r="U35">
        <v>11881818</v>
      </c>
      <c r="V35">
        <v>1</v>
      </c>
      <c r="W35">
        <v>0</v>
      </c>
      <c r="X35">
        <v>0</v>
      </c>
      <c r="Y35">
        <v>0</v>
      </c>
      <c r="Z35" t="s">
        <v>2869</v>
      </c>
    </row>
    <row r="36" spans="1:26" x14ac:dyDescent="0.25">
      <c r="A36">
        <v>16</v>
      </c>
      <c r="B36" t="s">
        <v>578</v>
      </c>
      <c r="C36" t="s">
        <v>32</v>
      </c>
      <c r="D36" t="s">
        <v>2963</v>
      </c>
      <c r="E36">
        <v>777</v>
      </c>
      <c r="F36" t="s">
        <v>1100</v>
      </c>
      <c r="G36" t="s">
        <v>2964</v>
      </c>
      <c r="H36" t="s">
        <v>1093</v>
      </c>
      <c r="I36" t="s">
        <v>1099</v>
      </c>
      <c r="J36" t="s">
        <v>1100</v>
      </c>
      <c r="K36" t="s">
        <v>1097</v>
      </c>
      <c r="L36" t="b">
        <v>1</v>
      </c>
      <c r="M36" t="s">
        <v>31</v>
      </c>
      <c r="N36" t="s">
        <v>32</v>
      </c>
      <c r="P36" t="s">
        <v>579</v>
      </c>
      <c r="Q36">
        <v>1</v>
      </c>
      <c r="R36">
        <v>3</v>
      </c>
      <c r="S36">
        <v>0</v>
      </c>
      <c r="T36">
        <v>16472300</v>
      </c>
      <c r="U36">
        <v>16472300</v>
      </c>
      <c r="V36">
        <v>1</v>
      </c>
      <c r="W36">
        <v>0</v>
      </c>
      <c r="X36">
        <v>0</v>
      </c>
      <c r="Y36">
        <v>0</v>
      </c>
      <c r="Z36" t="s">
        <v>2869</v>
      </c>
    </row>
    <row r="37" spans="1:26" x14ac:dyDescent="0.25">
      <c r="A37">
        <v>16</v>
      </c>
      <c r="B37" t="s">
        <v>578</v>
      </c>
      <c r="C37" t="s">
        <v>32</v>
      </c>
      <c r="D37" t="s">
        <v>2965</v>
      </c>
      <c r="E37">
        <v>160766</v>
      </c>
      <c r="F37" t="s">
        <v>2966</v>
      </c>
      <c r="G37" t="s">
        <v>2967</v>
      </c>
      <c r="H37" t="s">
        <v>1076</v>
      </c>
      <c r="I37" t="s">
        <v>2967</v>
      </c>
      <c r="L37" t="b">
        <v>0</v>
      </c>
      <c r="M37" t="s">
        <v>50</v>
      </c>
      <c r="N37" t="s">
        <v>32</v>
      </c>
      <c r="P37" t="s">
        <v>579</v>
      </c>
      <c r="Q37">
        <v>1</v>
      </c>
      <c r="R37">
        <v>3</v>
      </c>
      <c r="S37">
        <v>39.369999999999997</v>
      </c>
      <c r="T37">
        <v>10631800</v>
      </c>
      <c r="U37">
        <v>10631800</v>
      </c>
      <c r="V37">
        <v>1</v>
      </c>
      <c r="W37">
        <v>49615.06</v>
      </c>
      <c r="X37">
        <v>4185739.66</v>
      </c>
      <c r="Y37">
        <v>4235354.72</v>
      </c>
      <c r="Z37" t="s">
        <v>2869</v>
      </c>
    </row>
    <row r="38" spans="1:26" x14ac:dyDescent="0.25">
      <c r="A38">
        <v>13</v>
      </c>
      <c r="B38" t="s">
        <v>1089</v>
      </c>
      <c r="C38" t="s">
        <v>32</v>
      </c>
      <c r="D38" t="s">
        <v>2870</v>
      </c>
      <c r="E38">
        <v>716</v>
      </c>
      <c r="F38" t="s">
        <v>2871</v>
      </c>
      <c r="G38" t="s">
        <v>2872</v>
      </c>
      <c r="H38" t="s">
        <v>2873</v>
      </c>
      <c r="I38" t="s">
        <v>2872</v>
      </c>
      <c r="L38" t="b">
        <v>0</v>
      </c>
      <c r="M38" t="s">
        <v>44</v>
      </c>
      <c r="N38" t="s">
        <v>180</v>
      </c>
      <c r="P38" t="s">
        <v>579</v>
      </c>
      <c r="Q38">
        <v>1</v>
      </c>
      <c r="R38">
        <v>3</v>
      </c>
      <c r="S38">
        <v>0</v>
      </c>
      <c r="T38">
        <v>674524.24300000002</v>
      </c>
      <c r="U38">
        <v>1499278</v>
      </c>
      <c r="V38">
        <v>0.44990000000000002</v>
      </c>
      <c r="W38">
        <v>0</v>
      </c>
      <c r="X38">
        <v>0</v>
      </c>
      <c r="Y38">
        <v>0</v>
      </c>
      <c r="Z38" t="s">
        <v>2869</v>
      </c>
    </row>
    <row r="39" spans="1:26" x14ac:dyDescent="0.25">
      <c r="A39">
        <v>13</v>
      </c>
      <c r="B39" t="s">
        <v>1089</v>
      </c>
      <c r="C39" t="s">
        <v>32</v>
      </c>
      <c r="D39" t="s">
        <v>2968</v>
      </c>
      <c r="E39">
        <v>583</v>
      </c>
      <c r="F39" t="s">
        <v>2969</v>
      </c>
      <c r="G39" t="s">
        <v>2970</v>
      </c>
      <c r="H39" t="s">
        <v>2971</v>
      </c>
      <c r="I39" t="s">
        <v>2970</v>
      </c>
      <c r="L39" t="b">
        <v>0</v>
      </c>
      <c r="M39" t="s">
        <v>31</v>
      </c>
      <c r="N39" t="s">
        <v>32</v>
      </c>
      <c r="P39" t="s">
        <v>579</v>
      </c>
      <c r="Q39">
        <v>1</v>
      </c>
      <c r="R39">
        <v>3</v>
      </c>
      <c r="S39">
        <v>0</v>
      </c>
      <c r="T39">
        <v>1160000</v>
      </c>
      <c r="U39">
        <v>1160000</v>
      </c>
      <c r="V39">
        <v>1</v>
      </c>
      <c r="W39">
        <v>0</v>
      </c>
      <c r="X39">
        <v>0</v>
      </c>
      <c r="Y39">
        <v>0</v>
      </c>
      <c r="Z39" t="s">
        <v>2869</v>
      </c>
    </row>
    <row r="40" spans="1:26" x14ac:dyDescent="0.25">
      <c r="A40">
        <v>13</v>
      </c>
      <c r="B40" t="s">
        <v>1089</v>
      </c>
      <c r="C40" t="s">
        <v>32</v>
      </c>
      <c r="D40" t="s">
        <v>2972</v>
      </c>
      <c r="E40">
        <v>584</v>
      </c>
      <c r="F40" t="s">
        <v>2973</v>
      </c>
      <c r="G40" t="s">
        <v>2974</v>
      </c>
      <c r="H40" t="s">
        <v>2971</v>
      </c>
      <c r="I40" t="s">
        <v>2975</v>
      </c>
      <c r="L40" t="b">
        <v>1</v>
      </c>
      <c r="M40" t="s">
        <v>31</v>
      </c>
      <c r="N40" t="s">
        <v>32</v>
      </c>
      <c r="P40" t="s">
        <v>579</v>
      </c>
      <c r="Q40">
        <v>1</v>
      </c>
      <c r="R40">
        <v>3</v>
      </c>
      <c r="S40">
        <v>0</v>
      </c>
      <c r="T40">
        <v>530000</v>
      </c>
      <c r="U40">
        <v>530000</v>
      </c>
      <c r="V40">
        <v>1</v>
      </c>
      <c r="W40">
        <v>0</v>
      </c>
      <c r="X40">
        <v>0</v>
      </c>
      <c r="Y40">
        <v>0</v>
      </c>
      <c r="Z40" t="s">
        <v>2869</v>
      </c>
    </row>
    <row r="41" spans="1:26" x14ac:dyDescent="0.25">
      <c r="A41">
        <v>13</v>
      </c>
      <c r="B41" t="s">
        <v>1089</v>
      </c>
      <c r="C41" t="s">
        <v>32</v>
      </c>
      <c r="D41" t="s">
        <v>2976</v>
      </c>
      <c r="E41">
        <v>585</v>
      </c>
      <c r="F41" t="s">
        <v>2977</v>
      </c>
      <c r="G41" t="s">
        <v>2978</v>
      </c>
      <c r="H41" t="s">
        <v>2971</v>
      </c>
      <c r="I41" t="s">
        <v>2979</v>
      </c>
      <c r="L41" t="b">
        <v>1</v>
      </c>
      <c r="M41" t="s">
        <v>31</v>
      </c>
      <c r="N41" t="s">
        <v>32</v>
      </c>
      <c r="P41" t="s">
        <v>579</v>
      </c>
      <c r="Q41">
        <v>1</v>
      </c>
      <c r="R41">
        <v>3</v>
      </c>
      <c r="S41">
        <v>0</v>
      </c>
      <c r="T41">
        <v>3330000</v>
      </c>
      <c r="U41">
        <v>3330000</v>
      </c>
      <c r="V41">
        <v>1</v>
      </c>
      <c r="W41">
        <v>0</v>
      </c>
      <c r="X41">
        <v>0</v>
      </c>
      <c r="Y41">
        <v>0</v>
      </c>
      <c r="Z41" t="s">
        <v>2869</v>
      </c>
    </row>
    <row r="42" spans="1:26" x14ac:dyDescent="0.25">
      <c r="A42">
        <v>13</v>
      </c>
      <c r="B42" t="s">
        <v>1089</v>
      </c>
      <c r="C42" t="s">
        <v>32</v>
      </c>
      <c r="D42" t="s">
        <v>2980</v>
      </c>
      <c r="E42">
        <v>715</v>
      </c>
      <c r="F42" t="s">
        <v>2937</v>
      </c>
      <c r="G42" t="s">
        <v>2981</v>
      </c>
      <c r="H42" t="s">
        <v>2873</v>
      </c>
      <c r="I42" t="s">
        <v>2936</v>
      </c>
      <c r="J42" t="s">
        <v>2934</v>
      </c>
      <c r="K42" t="s">
        <v>2934</v>
      </c>
      <c r="L42" t="b">
        <v>1</v>
      </c>
      <c r="M42" t="s">
        <v>44</v>
      </c>
      <c r="N42" t="s">
        <v>32</v>
      </c>
      <c r="P42" t="s">
        <v>579</v>
      </c>
      <c r="Q42">
        <v>1</v>
      </c>
      <c r="R42">
        <v>3</v>
      </c>
      <c r="S42">
        <v>0</v>
      </c>
      <c r="T42">
        <v>313279</v>
      </c>
      <c r="U42">
        <v>313279</v>
      </c>
      <c r="V42">
        <v>1</v>
      </c>
      <c r="W42">
        <v>0</v>
      </c>
      <c r="X42">
        <v>0</v>
      </c>
      <c r="Y42">
        <v>0</v>
      </c>
      <c r="Z42" t="s">
        <v>2869</v>
      </c>
    </row>
    <row r="43" spans="1:26" x14ac:dyDescent="0.25">
      <c r="A43">
        <v>13</v>
      </c>
      <c r="B43" t="s">
        <v>1089</v>
      </c>
      <c r="C43" t="s">
        <v>32</v>
      </c>
      <c r="D43" t="s">
        <v>2938</v>
      </c>
      <c r="E43">
        <v>157263</v>
      </c>
      <c r="F43" t="s">
        <v>2939</v>
      </c>
      <c r="G43" t="s">
        <v>2940</v>
      </c>
      <c r="H43" t="s">
        <v>2941</v>
      </c>
      <c r="I43" t="s">
        <v>2940</v>
      </c>
      <c r="L43" t="b">
        <v>0</v>
      </c>
      <c r="M43" t="s">
        <v>31</v>
      </c>
      <c r="N43" t="s">
        <v>32</v>
      </c>
      <c r="P43" t="s">
        <v>579</v>
      </c>
      <c r="Q43">
        <v>1</v>
      </c>
      <c r="R43">
        <v>3</v>
      </c>
      <c r="S43">
        <v>26.11</v>
      </c>
      <c r="T43">
        <v>3039110</v>
      </c>
      <c r="U43">
        <v>3039110</v>
      </c>
      <c r="V43">
        <v>1</v>
      </c>
      <c r="W43">
        <v>0</v>
      </c>
      <c r="X43">
        <v>793511.62000000011</v>
      </c>
      <c r="Y43">
        <v>793511.62000000011</v>
      </c>
      <c r="Z43" t="s">
        <v>2869</v>
      </c>
    </row>
    <row r="44" spans="1:26" x14ac:dyDescent="0.25">
      <c r="A44">
        <v>13</v>
      </c>
      <c r="B44" t="s">
        <v>1089</v>
      </c>
      <c r="C44" t="s">
        <v>32</v>
      </c>
      <c r="D44" t="s">
        <v>2951</v>
      </c>
      <c r="E44">
        <v>771</v>
      </c>
      <c r="F44" t="s">
        <v>2952</v>
      </c>
      <c r="G44" t="s">
        <v>2953</v>
      </c>
      <c r="H44" t="s">
        <v>1093</v>
      </c>
      <c r="I44" t="s">
        <v>2953</v>
      </c>
      <c r="L44" t="b">
        <v>0</v>
      </c>
      <c r="M44" t="s">
        <v>31</v>
      </c>
      <c r="N44" t="s">
        <v>32</v>
      </c>
      <c r="P44" t="s">
        <v>579</v>
      </c>
      <c r="Q44">
        <v>1</v>
      </c>
      <c r="R44">
        <v>3</v>
      </c>
      <c r="S44">
        <v>0</v>
      </c>
      <c r="T44">
        <v>11316032</v>
      </c>
      <c r="U44">
        <v>11316032</v>
      </c>
      <c r="V44">
        <v>1</v>
      </c>
      <c r="W44">
        <v>0</v>
      </c>
      <c r="X44">
        <v>0</v>
      </c>
      <c r="Y44">
        <v>0</v>
      </c>
      <c r="Z44" t="s">
        <v>2869</v>
      </c>
    </row>
    <row r="45" spans="1:26" x14ac:dyDescent="0.25">
      <c r="A45">
        <v>13</v>
      </c>
      <c r="B45" t="s">
        <v>1089</v>
      </c>
      <c r="C45" t="s">
        <v>32</v>
      </c>
      <c r="D45" t="s">
        <v>2954</v>
      </c>
      <c r="E45">
        <v>772</v>
      </c>
      <c r="F45" t="s">
        <v>2955</v>
      </c>
      <c r="G45" t="s">
        <v>2956</v>
      </c>
      <c r="H45" t="s">
        <v>1093</v>
      </c>
      <c r="I45" t="s">
        <v>2956</v>
      </c>
      <c r="L45" t="b">
        <v>0</v>
      </c>
      <c r="M45" t="s">
        <v>31</v>
      </c>
      <c r="N45" t="s">
        <v>32</v>
      </c>
      <c r="P45" t="s">
        <v>579</v>
      </c>
      <c r="Q45">
        <v>1</v>
      </c>
      <c r="R45">
        <v>3</v>
      </c>
      <c r="S45">
        <v>0</v>
      </c>
      <c r="T45">
        <v>6583990</v>
      </c>
      <c r="U45">
        <v>6583990</v>
      </c>
      <c r="V45">
        <v>1</v>
      </c>
      <c r="W45">
        <v>0</v>
      </c>
      <c r="X45">
        <v>0</v>
      </c>
      <c r="Y45">
        <v>0</v>
      </c>
      <c r="Z45" t="s">
        <v>2869</v>
      </c>
    </row>
    <row r="46" spans="1:26" x14ac:dyDescent="0.25">
      <c r="A46">
        <v>13</v>
      </c>
      <c r="B46" t="s">
        <v>1089</v>
      </c>
      <c r="C46" t="s">
        <v>32</v>
      </c>
      <c r="D46" t="s">
        <v>2957</v>
      </c>
      <c r="E46">
        <v>773</v>
      </c>
      <c r="F46" t="s">
        <v>2958</v>
      </c>
      <c r="G46" t="s">
        <v>2959</v>
      </c>
      <c r="H46" t="s">
        <v>1093</v>
      </c>
      <c r="I46" t="s">
        <v>2960</v>
      </c>
      <c r="L46" t="b">
        <v>1</v>
      </c>
      <c r="M46" t="s">
        <v>31</v>
      </c>
      <c r="N46" t="s">
        <v>32</v>
      </c>
      <c r="P46" t="s">
        <v>579</v>
      </c>
      <c r="Q46">
        <v>1</v>
      </c>
      <c r="R46">
        <v>3</v>
      </c>
      <c r="S46">
        <v>0</v>
      </c>
      <c r="T46">
        <v>11545352</v>
      </c>
      <c r="U46">
        <v>11545352</v>
      </c>
      <c r="V46">
        <v>1</v>
      </c>
      <c r="W46">
        <v>0</v>
      </c>
      <c r="X46">
        <v>0</v>
      </c>
      <c r="Y46">
        <v>0</v>
      </c>
      <c r="Z46" t="s">
        <v>2869</v>
      </c>
    </row>
    <row r="47" spans="1:26" x14ac:dyDescent="0.25">
      <c r="A47">
        <v>13</v>
      </c>
      <c r="B47" t="s">
        <v>1089</v>
      </c>
      <c r="C47" t="s">
        <v>32</v>
      </c>
      <c r="D47" t="s">
        <v>2961</v>
      </c>
      <c r="E47">
        <v>775</v>
      </c>
      <c r="F47" t="s">
        <v>1095</v>
      </c>
      <c r="G47" t="s">
        <v>2962</v>
      </c>
      <c r="H47" t="s">
        <v>1093</v>
      </c>
      <c r="I47" t="s">
        <v>1094</v>
      </c>
      <c r="J47" t="s">
        <v>1095</v>
      </c>
      <c r="K47" t="s">
        <v>1091</v>
      </c>
      <c r="L47" t="b">
        <v>1</v>
      </c>
      <c r="M47" t="s">
        <v>31</v>
      </c>
      <c r="N47" t="s">
        <v>32</v>
      </c>
      <c r="P47" t="s">
        <v>579</v>
      </c>
      <c r="Q47">
        <v>1</v>
      </c>
      <c r="R47">
        <v>3</v>
      </c>
      <c r="S47">
        <v>0</v>
      </c>
      <c r="T47">
        <v>49301000</v>
      </c>
      <c r="U47">
        <v>49301000</v>
      </c>
      <c r="V47">
        <v>1</v>
      </c>
      <c r="W47">
        <v>0</v>
      </c>
      <c r="X47">
        <v>0</v>
      </c>
      <c r="Y47">
        <v>0</v>
      </c>
      <c r="Z47" t="s">
        <v>2869</v>
      </c>
    </row>
    <row r="48" spans="1:26" x14ac:dyDescent="0.25">
      <c r="A48">
        <v>13</v>
      </c>
      <c r="B48" t="s">
        <v>1089</v>
      </c>
      <c r="C48" t="s">
        <v>32</v>
      </c>
      <c r="D48" t="s">
        <v>2963</v>
      </c>
      <c r="E48">
        <v>777</v>
      </c>
      <c r="F48" t="s">
        <v>1100</v>
      </c>
      <c r="G48" t="s">
        <v>2964</v>
      </c>
      <c r="H48" t="s">
        <v>1093</v>
      </c>
      <c r="I48" t="s">
        <v>1099</v>
      </c>
      <c r="J48" t="s">
        <v>1100</v>
      </c>
      <c r="K48" t="s">
        <v>1097</v>
      </c>
      <c r="L48" t="b">
        <v>1</v>
      </c>
      <c r="M48" t="s">
        <v>31</v>
      </c>
      <c r="N48" t="s">
        <v>32</v>
      </c>
      <c r="P48" t="s">
        <v>579</v>
      </c>
      <c r="Q48">
        <v>1</v>
      </c>
      <c r="R48">
        <v>3</v>
      </c>
      <c r="S48">
        <v>0</v>
      </c>
      <c r="T48">
        <v>14157000</v>
      </c>
      <c r="U48">
        <v>14157000</v>
      </c>
      <c r="V48">
        <v>1</v>
      </c>
      <c r="W48">
        <v>0</v>
      </c>
      <c r="X48">
        <v>0</v>
      </c>
      <c r="Y48">
        <v>0</v>
      </c>
      <c r="Z48" t="s">
        <v>2869</v>
      </c>
    </row>
    <row r="49" spans="1:26" x14ac:dyDescent="0.25">
      <c r="A49">
        <v>13</v>
      </c>
      <c r="B49" t="s">
        <v>1089</v>
      </c>
      <c r="C49" t="s">
        <v>32</v>
      </c>
      <c r="D49" t="s">
        <v>2982</v>
      </c>
      <c r="E49">
        <v>849</v>
      </c>
      <c r="F49" t="s">
        <v>2983</v>
      </c>
      <c r="G49" t="s">
        <v>2984</v>
      </c>
      <c r="H49" t="s">
        <v>1180</v>
      </c>
      <c r="I49" t="s">
        <v>2985</v>
      </c>
      <c r="J49" t="s">
        <v>2983</v>
      </c>
      <c r="K49" t="s">
        <v>2986</v>
      </c>
      <c r="L49" t="b">
        <v>1</v>
      </c>
      <c r="M49" t="s">
        <v>31</v>
      </c>
      <c r="N49" t="s">
        <v>32</v>
      </c>
      <c r="P49" t="s">
        <v>579</v>
      </c>
      <c r="Q49">
        <v>1</v>
      </c>
      <c r="R49">
        <v>3</v>
      </c>
      <c r="S49">
        <v>5.1909999999999998</v>
      </c>
      <c r="T49">
        <v>46610000</v>
      </c>
      <c r="U49">
        <v>46610000</v>
      </c>
      <c r="V49">
        <v>1</v>
      </c>
      <c r="W49">
        <v>0</v>
      </c>
      <c r="X49">
        <v>2419525.100000001</v>
      </c>
      <c r="Y49">
        <v>2419525.100000001</v>
      </c>
      <c r="Z49" t="s">
        <v>2928</v>
      </c>
    </row>
    <row r="50" spans="1:26" x14ac:dyDescent="0.25">
      <c r="A50">
        <v>16</v>
      </c>
      <c r="B50" t="s">
        <v>578</v>
      </c>
      <c r="C50" t="s">
        <v>32</v>
      </c>
      <c r="D50" t="s">
        <v>2987</v>
      </c>
      <c r="E50">
        <v>204645</v>
      </c>
      <c r="F50" t="s">
        <v>2988</v>
      </c>
      <c r="G50" t="s">
        <v>2989</v>
      </c>
      <c r="H50" t="s">
        <v>1122</v>
      </c>
      <c r="I50" t="s">
        <v>2989</v>
      </c>
      <c r="L50" t="b">
        <v>0</v>
      </c>
      <c r="M50" t="s">
        <v>31</v>
      </c>
      <c r="N50" t="s">
        <v>32</v>
      </c>
      <c r="P50" t="s">
        <v>579</v>
      </c>
      <c r="Q50">
        <v>1</v>
      </c>
      <c r="R50">
        <v>3</v>
      </c>
      <c r="S50">
        <v>0</v>
      </c>
      <c r="T50">
        <v>32000</v>
      </c>
      <c r="U50">
        <v>32000</v>
      </c>
      <c r="V50">
        <v>1</v>
      </c>
      <c r="W50">
        <v>0</v>
      </c>
      <c r="X50">
        <v>0</v>
      </c>
      <c r="Y50">
        <v>0</v>
      </c>
      <c r="Z50" t="s">
        <v>2928</v>
      </c>
    </row>
    <row r="51" spans="1:26" x14ac:dyDescent="0.25">
      <c r="A51">
        <v>16</v>
      </c>
      <c r="B51" t="s">
        <v>578</v>
      </c>
      <c r="C51" t="s">
        <v>32</v>
      </c>
      <c r="D51" t="s">
        <v>2990</v>
      </c>
      <c r="E51">
        <v>214791</v>
      </c>
      <c r="F51" t="s">
        <v>2991</v>
      </c>
      <c r="G51" t="s">
        <v>2992</v>
      </c>
      <c r="H51" t="s">
        <v>1122</v>
      </c>
      <c r="I51" t="s">
        <v>2992</v>
      </c>
      <c r="L51" t="b">
        <v>0</v>
      </c>
      <c r="M51" t="s">
        <v>31</v>
      </c>
      <c r="N51" t="s">
        <v>32</v>
      </c>
      <c r="P51" t="s">
        <v>579</v>
      </c>
      <c r="Q51">
        <v>1</v>
      </c>
      <c r="R51">
        <v>3</v>
      </c>
      <c r="S51">
        <v>0</v>
      </c>
      <c r="T51">
        <v>32000</v>
      </c>
      <c r="U51">
        <v>32000</v>
      </c>
      <c r="V51">
        <v>1</v>
      </c>
      <c r="W51">
        <v>0</v>
      </c>
      <c r="X51">
        <v>0</v>
      </c>
      <c r="Y51">
        <v>0</v>
      </c>
      <c r="Z51" t="s">
        <v>2928</v>
      </c>
    </row>
    <row r="52" spans="1:26" x14ac:dyDescent="0.25">
      <c r="A52">
        <v>16</v>
      </c>
      <c r="B52" t="s">
        <v>578</v>
      </c>
      <c r="C52" t="s">
        <v>32</v>
      </c>
      <c r="D52" t="s">
        <v>2993</v>
      </c>
      <c r="E52">
        <v>193873</v>
      </c>
      <c r="F52" t="s">
        <v>2994</v>
      </c>
      <c r="G52" t="s">
        <v>2995</v>
      </c>
      <c r="H52" t="s">
        <v>1122</v>
      </c>
      <c r="I52" t="s">
        <v>2995</v>
      </c>
      <c r="L52" t="b">
        <v>0</v>
      </c>
      <c r="M52" t="s">
        <v>31</v>
      </c>
      <c r="N52" t="s">
        <v>32</v>
      </c>
      <c r="P52" t="s">
        <v>579</v>
      </c>
      <c r="Q52">
        <v>1</v>
      </c>
      <c r="R52">
        <v>3</v>
      </c>
      <c r="S52">
        <v>0</v>
      </c>
      <c r="T52">
        <v>32000</v>
      </c>
      <c r="U52">
        <v>32000</v>
      </c>
      <c r="V52">
        <v>1</v>
      </c>
      <c r="W52">
        <v>0</v>
      </c>
      <c r="X52">
        <v>0</v>
      </c>
      <c r="Y52">
        <v>0</v>
      </c>
      <c r="Z52" t="s">
        <v>2928</v>
      </c>
    </row>
    <row r="53" spans="1:26" x14ac:dyDescent="0.25">
      <c r="A53">
        <v>16</v>
      </c>
      <c r="B53" t="s">
        <v>578</v>
      </c>
      <c r="C53" t="s">
        <v>32</v>
      </c>
      <c r="D53" t="s">
        <v>2996</v>
      </c>
      <c r="E53">
        <v>181402</v>
      </c>
      <c r="F53" t="s">
        <v>2997</v>
      </c>
      <c r="G53" t="s">
        <v>2998</v>
      </c>
      <c r="H53" t="s">
        <v>1122</v>
      </c>
      <c r="I53" t="s">
        <v>2998</v>
      </c>
      <c r="L53" t="b">
        <v>0</v>
      </c>
      <c r="M53" t="s">
        <v>31</v>
      </c>
      <c r="N53" t="s">
        <v>32</v>
      </c>
      <c r="P53" t="s">
        <v>579</v>
      </c>
      <c r="Q53">
        <v>1</v>
      </c>
      <c r="R53">
        <v>3</v>
      </c>
      <c r="S53">
        <v>0</v>
      </c>
      <c r="T53">
        <v>24705</v>
      </c>
      <c r="U53">
        <v>24705</v>
      </c>
      <c r="V53">
        <v>1</v>
      </c>
      <c r="W53">
        <v>0</v>
      </c>
      <c r="X53">
        <v>0</v>
      </c>
      <c r="Y53">
        <v>0</v>
      </c>
      <c r="Z53" t="s">
        <v>2928</v>
      </c>
    </row>
    <row r="54" spans="1:26" x14ac:dyDescent="0.25">
      <c r="A54">
        <v>16</v>
      </c>
      <c r="B54" t="s">
        <v>578</v>
      </c>
      <c r="C54" t="s">
        <v>32</v>
      </c>
      <c r="D54" t="s">
        <v>2999</v>
      </c>
      <c r="E54">
        <v>199992</v>
      </c>
      <c r="F54" t="s">
        <v>3000</v>
      </c>
      <c r="G54" t="s">
        <v>3001</v>
      </c>
      <c r="H54" t="s">
        <v>1132</v>
      </c>
      <c r="I54" t="s">
        <v>3001</v>
      </c>
      <c r="L54" t="b">
        <v>0</v>
      </c>
      <c r="M54" t="s">
        <v>112</v>
      </c>
      <c r="N54" t="s">
        <v>32</v>
      </c>
      <c r="P54" t="s">
        <v>579</v>
      </c>
      <c r="Q54">
        <v>1</v>
      </c>
      <c r="R54">
        <v>3</v>
      </c>
      <c r="S54">
        <v>0</v>
      </c>
      <c r="T54">
        <v>286458</v>
      </c>
      <c r="U54">
        <v>286458</v>
      </c>
      <c r="V54">
        <v>1</v>
      </c>
      <c r="W54">
        <v>0</v>
      </c>
      <c r="X54">
        <v>0</v>
      </c>
      <c r="Y54">
        <v>0</v>
      </c>
      <c r="Z54" t="s">
        <v>2928</v>
      </c>
    </row>
    <row r="55" spans="1:26" x14ac:dyDescent="0.25">
      <c r="A55">
        <v>16</v>
      </c>
      <c r="B55" t="s">
        <v>578</v>
      </c>
      <c r="C55" t="s">
        <v>32</v>
      </c>
      <c r="D55" t="s">
        <v>3002</v>
      </c>
      <c r="E55">
        <v>4311</v>
      </c>
      <c r="F55" t="s">
        <v>3003</v>
      </c>
      <c r="G55" t="s">
        <v>3004</v>
      </c>
      <c r="H55" t="s">
        <v>3005</v>
      </c>
      <c r="I55" t="s">
        <v>3006</v>
      </c>
      <c r="L55" t="b">
        <v>1</v>
      </c>
      <c r="M55" t="s">
        <v>44</v>
      </c>
      <c r="N55" t="s">
        <v>32</v>
      </c>
      <c r="P55" t="s">
        <v>579</v>
      </c>
      <c r="Q55">
        <v>1</v>
      </c>
      <c r="R55">
        <v>3</v>
      </c>
      <c r="S55">
        <v>0.246</v>
      </c>
      <c r="T55">
        <v>14494000</v>
      </c>
      <c r="U55">
        <v>14494000</v>
      </c>
      <c r="V55">
        <v>1</v>
      </c>
      <c r="W55">
        <v>0</v>
      </c>
      <c r="X55">
        <v>35655.240000000464</v>
      </c>
      <c r="Y55">
        <v>35655.240000000464</v>
      </c>
      <c r="Z55" t="s">
        <v>2869</v>
      </c>
    </row>
    <row r="56" spans="1:26" x14ac:dyDescent="0.25">
      <c r="A56">
        <v>16</v>
      </c>
      <c r="B56" t="s">
        <v>578</v>
      </c>
      <c r="C56" t="s">
        <v>32</v>
      </c>
      <c r="D56" t="s">
        <v>3007</v>
      </c>
      <c r="E56">
        <v>840</v>
      </c>
      <c r="F56" t="s">
        <v>3008</v>
      </c>
      <c r="G56" t="s">
        <v>3009</v>
      </c>
      <c r="H56" t="s">
        <v>3010</v>
      </c>
      <c r="I56" t="s">
        <v>3009</v>
      </c>
      <c r="L56" t="b">
        <v>0</v>
      </c>
      <c r="M56" t="s">
        <v>44</v>
      </c>
      <c r="N56" t="s">
        <v>32</v>
      </c>
      <c r="P56" t="s">
        <v>579</v>
      </c>
      <c r="Q56">
        <v>1</v>
      </c>
      <c r="R56">
        <v>3</v>
      </c>
      <c r="S56">
        <v>0</v>
      </c>
      <c r="T56">
        <v>32271306</v>
      </c>
      <c r="U56">
        <v>32271306</v>
      </c>
      <c r="V56">
        <v>1</v>
      </c>
      <c r="W56">
        <v>0</v>
      </c>
      <c r="X56">
        <v>0</v>
      </c>
      <c r="Y56">
        <v>0</v>
      </c>
      <c r="Z56" t="s">
        <v>2928</v>
      </c>
    </row>
    <row r="57" spans="1:26" x14ac:dyDescent="0.25">
      <c r="A57">
        <v>16</v>
      </c>
      <c r="B57" t="s">
        <v>578</v>
      </c>
      <c r="C57" t="s">
        <v>32</v>
      </c>
      <c r="D57" t="s">
        <v>3011</v>
      </c>
      <c r="E57">
        <v>841</v>
      </c>
      <c r="F57" t="s">
        <v>3012</v>
      </c>
      <c r="G57" t="s">
        <v>3013</v>
      </c>
      <c r="H57" t="s">
        <v>3010</v>
      </c>
      <c r="I57" t="s">
        <v>3013</v>
      </c>
      <c r="L57" t="b">
        <v>0</v>
      </c>
      <c r="M57" t="s">
        <v>44</v>
      </c>
      <c r="N57" t="s">
        <v>32</v>
      </c>
      <c r="P57" t="s">
        <v>579</v>
      </c>
      <c r="Q57">
        <v>1</v>
      </c>
      <c r="R57">
        <v>3</v>
      </c>
      <c r="S57">
        <v>0</v>
      </c>
      <c r="T57">
        <v>14847056</v>
      </c>
      <c r="U57">
        <v>14847056</v>
      </c>
      <c r="V57">
        <v>1</v>
      </c>
      <c r="W57">
        <v>0</v>
      </c>
      <c r="X57">
        <v>0</v>
      </c>
      <c r="Y57">
        <v>0</v>
      </c>
      <c r="Z57" t="s">
        <v>2928</v>
      </c>
    </row>
    <row r="58" spans="1:26" x14ac:dyDescent="0.25">
      <c r="A58">
        <v>16</v>
      </c>
      <c r="B58" t="s">
        <v>578</v>
      </c>
      <c r="C58" t="s">
        <v>32</v>
      </c>
      <c r="D58" t="s">
        <v>2982</v>
      </c>
      <c r="E58">
        <v>849</v>
      </c>
      <c r="F58" t="s">
        <v>2983</v>
      </c>
      <c r="G58" t="s">
        <v>2984</v>
      </c>
      <c r="H58" t="s">
        <v>1180</v>
      </c>
      <c r="I58" t="s">
        <v>2985</v>
      </c>
      <c r="J58" t="s">
        <v>2983</v>
      </c>
      <c r="K58" t="s">
        <v>2986</v>
      </c>
      <c r="L58" t="b">
        <v>1</v>
      </c>
      <c r="M58" t="s">
        <v>31</v>
      </c>
      <c r="N58" t="s">
        <v>32</v>
      </c>
      <c r="P58" t="s">
        <v>579</v>
      </c>
      <c r="Q58">
        <v>1</v>
      </c>
      <c r="R58">
        <v>3</v>
      </c>
      <c r="S58">
        <v>5.1909999999999998</v>
      </c>
      <c r="T58">
        <v>16821000</v>
      </c>
      <c r="U58">
        <v>16821000</v>
      </c>
      <c r="V58">
        <v>1</v>
      </c>
      <c r="W58">
        <v>0</v>
      </c>
      <c r="X58">
        <v>873178.10999999789</v>
      </c>
      <c r="Y58">
        <v>873178.10999999789</v>
      </c>
      <c r="Z58" t="s">
        <v>2928</v>
      </c>
    </row>
    <row r="59" spans="1:26" x14ac:dyDescent="0.25">
      <c r="A59">
        <v>13</v>
      </c>
      <c r="B59" t="s">
        <v>1089</v>
      </c>
      <c r="C59" t="s">
        <v>32</v>
      </c>
      <c r="D59" t="s">
        <v>3014</v>
      </c>
      <c r="E59">
        <v>441</v>
      </c>
      <c r="F59" t="s">
        <v>3015</v>
      </c>
      <c r="G59" t="s">
        <v>3016</v>
      </c>
      <c r="H59" t="s">
        <v>3017</v>
      </c>
      <c r="I59" t="s">
        <v>3016</v>
      </c>
      <c r="L59" t="b">
        <v>0</v>
      </c>
      <c r="M59" t="s">
        <v>3018</v>
      </c>
      <c r="N59" t="s">
        <v>32</v>
      </c>
      <c r="P59" t="s">
        <v>579</v>
      </c>
      <c r="Q59">
        <v>1</v>
      </c>
      <c r="R59">
        <v>3</v>
      </c>
      <c r="S59">
        <v>61</v>
      </c>
      <c r="T59">
        <v>5064848</v>
      </c>
      <c r="U59">
        <v>5064848</v>
      </c>
      <c r="V59">
        <v>1</v>
      </c>
      <c r="W59">
        <v>0</v>
      </c>
      <c r="X59">
        <v>3089557.2799999989</v>
      </c>
      <c r="Y59">
        <v>3089557.2799999989</v>
      </c>
      <c r="Z59" t="s">
        <v>2869</v>
      </c>
    </row>
    <row r="60" spans="1:26" x14ac:dyDescent="0.25">
      <c r="A60">
        <v>16</v>
      </c>
      <c r="B60" t="s">
        <v>578</v>
      </c>
      <c r="C60" t="s">
        <v>32</v>
      </c>
      <c r="D60" t="s">
        <v>3019</v>
      </c>
      <c r="E60">
        <v>31131</v>
      </c>
      <c r="F60" t="s">
        <v>3020</v>
      </c>
      <c r="G60" t="s">
        <v>3021</v>
      </c>
      <c r="H60" t="s">
        <v>1209</v>
      </c>
      <c r="I60" t="s">
        <v>3021</v>
      </c>
      <c r="L60" t="b">
        <v>0</v>
      </c>
      <c r="M60" t="s">
        <v>44</v>
      </c>
      <c r="N60" t="s">
        <v>32</v>
      </c>
      <c r="P60" t="s">
        <v>579</v>
      </c>
      <c r="Q60">
        <v>1</v>
      </c>
      <c r="R60">
        <v>3</v>
      </c>
      <c r="S60">
        <v>0</v>
      </c>
      <c r="T60">
        <v>80872</v>
      </c>
      <c r="U60">
        <v>80872</v>
      </c>
      <c r="V60">
        <v>1</v>
      </c>
      <c r="W60">
        <v>0</v>
      </c>
      <c r="X60">
        <v>0</v>
      </c>
      <c r="Y60">
        <v>0</v>
      </c>
      <c r="Z60" t="s">
        <v>2869</v>
      </c>
    </row>
    <row r="61" spans="1:26" x14ac:dyDescent="0.25">
      <c r="A61">
        <v>16</v>
      </c>
      <c r="B61" t="s">
        <v>578</v>
      </c>
      <c r="C61" t="s">
        <v>32</v>
      </c>
      <c r="D61" t="s">
        <v>3022</v>
      </c>
      <c r="E61">
        <v>31130</v>
      </c>
      <c r="F61" t="s">
        <v>3023</v>
      </c>
      <c r="G61" t="s">
        <v>3024</v>
      </c>
      <c r="H61" t="s">
        <v>1209</v>
      </c>
      <c r="I61" t="s">
        <v>3024</v>
      </c>
      <c r="L61" t="b">
        <v>0</v>
      </c>
      <c r="M61" t="s">
        <v>44</v>
      </c>
      <c r="N61" t="s">
        <v>32</v>
      </c>
      <c r="P61" t="s">
        <v>579</v>
      </c>
      <c r="Q61">
        <v>1</v>
      </c>
      <c r="R61">
        <v>3</v>
      </c>
      <c r="S61">
        <v>0</v>
      </c>
      <c r="T61">
        <v>80872</v>
      </c>
      <c r="U61">
        <v>80872</v>
      </c>
      <c r="V61">
        <v>1</v>
      </c>
      <c r="W61">
        <v>0</v>
      </c>
      <c r="X61">
        <v>0</v>
      </c>
      <c r="Y61">
        <v>0</v>
      </c>
      <c r="Z61" t="s">
        <v>2869</v>
      </c>
    </row>
    <row r="62" spans="1:26" x14ac:dyDescent="0.25">
      <c r="A62">
        <v>16</v>
      </c>
      <c r="B62" t="s">
        <v>578</v>
      </c>
      <c r="C62" t="s">
        <v>32</v>
      </c>
      <c r="D62" t="s">
        <v>3025</v>
      </c>
      <c r="E62">
        <v>31129</v>
      </c>
      <c r="F62" t="s">
        <v>3026</v>
      </c>
      <c r="G62" t="s">
        <v>3027</v>
      </c>
      <c r="H62" t="s">
        <v>1209</v>
      </c>
      <c r="I62" t="s">
        <v>3027</v>
      </c>
      <c r="L62" t="b">
        <v>0</v>
      </c>
      <c r="M62" t="s">
        <v>44</v>
      </c>
      <c r="N62" t="s">
        <v>32</v>
      </c>
      <c r="P62" t="s">
        <v>579</v>
      </c>
      <c r="Q62">
        <v>1</v>
      </c>
      <c r="R62">
        <v>3</v>
      </c>
      <c r="S62">
        <v>0</v>
      </c>
      <c r="T62">
        <v>80872</v>
      </c>
      <c r="U62">
        <v>80872</v>
      </c>
      <c r="V62">
        <v>1</v>
      </c>
      <c r="W62">
        <v>0</v>
      </c>
      <c r="X62">
        <v>0</v>
      </c>
      <c r="Y62">
        <v>0</v>
      </c>
      <c r="Z62" t="s">
        <v>2869</v>
      </c>
    </row>
    <row r="63" spans="1:26" x14ac:dyDescent="0.25">
      <c r="A63">
        <v>16</v>
      </c>
      <c r="B63" t="s">
        <v>578</v>
      </c>
      <c r="C63" t="s">
        <v>32</v>
      </c>
      <c r="D63" t="s">
        <v>3028</v>
      </c>
      <c r="E63">
        <v>865</v>
      </c>
      <c r="F63" t="s">
        <v>3029</v>
      </c>
      <c r="G63" t="s">
        <v>3030</v>
      </c>
      <c r="H63" t="s">
        <v>1209</v>
      </c>
      <c r="I63" t="s">
        <v>3030</v>
      </c>
      <c r="L63" t="b">
        <v>0</v>
      </c>
      <c r="M63" t="s">
        <v>44</v>
      </c>
      <c r="N63" t="s">
        <v>32</v>
      </c>
      <c r="P63" t="s">
        <v>579</v>
      </c>
      <c r="Q63">
        <v>1</v>
      </c>
      <c r="R63">
        <v>3</v>
      </c>
      <c r="S63">
        <v>0</v>
      </c>
      <c r="T63">
        <v>80872</v>
      </c>
      <c r="U63">
        <v>80872</v>
      </c>
      <c r="V63">
        <v>1</v>
      </c>
      <c r="W63">
        <v>0</v>
      </c>
      <c r="X63">
        <v>0</v>
      </c>
      <c r="Y63">
        <v>0</v>
      </c>
      <c r="Z63" t="s">
        <v>2869</v>
      </c>
    </row>
    <row r="64" spans="1:26" x14ac:dyDescent="0.25">
      <c r="A64">
        <v>16</v>
      </c>
      <c r="B64" t="s">
        <v>578</v>
      </c>
      <c r="C64" t="s">
        <v>32</v>
      </c>
      <c r="D64" t="s">
        <v>3031</v>
      </c>
      <c r="E64">
        <v>31128</v>
      </c>
      <c r="F64" t="s">
        <v>3032</v>
      </c>
      <c r="G64" t="s">
        <v>3033</v>
      </c>
      <c r="H64" t="s">
        <v>1209</v>
      </c>
      <c r="I64" t="s">
        <v>3033</v>
      </c>
      <c r="L64" t="b">
        <v>0</v>
      </c>
      <c r="M64" t="s">
        <v>44</v>
      </c>
      <c r="N64" t="s">
        <v>32</v>
      </c>
      <c r="P64" t="s">
        <v>579</v>
      </c>
      <c r="Q64">
        <v>1</v>
      </c>
      <c r="R64">
        <v>3</v>
      </c>
      <c r="S64">
        <v>0</v>
      </c>
      <c r="T64">
        <v>80872</v>
      </c>
      <c r="U64">
        <v>80872</v>
      </c>
      <c r="V64">
        <v>1</v>
      </c>
      <c r="W64">
        <v>0</v>
      </c>
      <c r="X64">
        <v>0</v>
      </c>
      <c r="Y64">
        <v>0</v>
      </c>
      <c r="Z64" t="s">
        <v>2869</v>
      </c>
    </row>
    <row r="65" spans="1:26" x14ac:dyDescent="0.25">
      <c r="A65">
        <v>16</v>
      </c>
      <c r="B65" t="s">
        <v>578</v>
      </c>
      <c r="C65" t="s">
        <v>32</v>
      </c>
      <c r="D65" t="s">
        <v>3034</v>
      </c>
      <c r="E65">
        <v>159173</v>
      </c>
      <c r="F65" t="s">
        <v>3035</v>
      </c>
      <c r="G65" t="s">
        <v>3036</v>
      </c>
      <c r="H65" t="s">
        <v>1233</v>
      </c>
      <c r="I65" t="s">
        <v>3036</v>
      </c>
      <c r="L65" t="b">
        <v>0</v>
      </c>
      <c r="M65" t="s">
        <v>31</v>
      </c>
      <c r="N65" t="s">
        <v>32</v>
      </c>
      <c r="P65" t="s">
        <v>579</v>
      </c>
      <c r="Q65">
        <v>1</v>
      </c>
      <c r="R65">
        <v>3</v>
      </c>
      <c r="S65">
        <v>27.5</v>
      </c>
      <c r="T65">
        <v>1733698</v>
      </c>
      <c r="U65">
        <v>1733698</v>
      </c>
      <c r="V65">
        <v>1</v>
      </c>
      <c r="W65">
        <v>0</v>
      </c>
      <c r="X65">
        <v>476766.95</v>
      </c>
      <c r="Y65">
        <v>476766.95</v>
      </c>
      <c r="Z65" t="s">
        <v>2928</v>
      </c>
    </row>
    <row r="66" spans="1:26" x14ac:dyDescent="0.25">
      <c r="A66">
        <v>16</v>
      </c>
      <c r="B66" t="s">
        <v>578</v>
      </c>
      <c r="C66" t="s">
        <v>32</v>
      </c>
      <c r="D66" t="s">
        <v>3037</v>
      </c>
      <c r="E66">
        <v>35811</v>
      </c>
      <c r="F66" t="s">
        <v>3038</v>
      </c>
      <c r="G66" t="s">
        <v>3039</v>
      </c>
      <c r="H66" t="s">
        <v>3040</v>
      </c>
      <c r="I66" t="s">
        <v>3039</v>
      </c>
      <c r="L66" t="b">
        <v>0</v>
      </c>
      <c r="M66" t="s">
        <v>31</v>
      </c>
      <c r="N66" t="s">
        <v>32</v>
      </c>
      <c r="P66" t="s">
        <v>579</v>
      </c>
      <c r="Q66">
        <v>1</v>
      </c>
      <c r="R66">
        <v>3</v>
      </c>
      <c r="S66">
        <v>5.4</v>
      </c>
      <c r="T66">
        <v>584817</v>
      </c>
      <c r="U66">
        <v>611024</v>
      </c>
      <c r="V66">
        <v>0.95709999999999995</v>
      </c>
      <c r="W66">
        <v>0</v>
      </c>
      <c r="X66">
        <v>31580.12</v>
      </c>
      <c r="Y66">
        <v>31580.12</v>
      </c>
      <c r="Z66" t="s">
        <v>2869</v>
      </c>
    </row>
    <row r="67" spans="1:26" x14ac:dyDescent="0.25">
      <c r="A67">
        <v>16</v>
      </c>
      <c r="B67" t="s">
        <v>578</v>
      </c>
      <c r="C67" t="s">
        <v>32</v>
      </c>
      <c r="D67" t="s">
        <v>2864</v>
      </c>
      <c r="E67">
        <v>928</v>
      </c>
      <c r="F67" t="s">
        <v>2865</v>
      </c>
      <c r="G67" t="s">
        <v>2866</v>
      </c>
      <c r="H67" t="s">
        <v>2867</v>
      </c>
      <c r="I67" t="s">
        <v>2868</v>
      </c>
      <c r="L67" t="b">
        <v>1</v>
      </c>
      <c r="M67" t="s">
        <v>44</v>
      </c>
      <c r="N67" t="s">
        <v>32</v>
      </c>
      <c r="P67" t="s">
        <v>579</v>
      </c>
      <c r="Q67">
        <v>1</v>
      </c>
      <c r="R67">
        <v>3</v>
      </c>
      <c r="S67">
        <v>1</v>
      </c>
      <c r="T67">
        <v>11079000</v>
      </c>
      <c r="U67">
        <v>11079000</v>
      </c>
      <c r="V67">
        <v>1</v>
      </c>
      <c r="W67">
        <v>0</v>
      </c>
      <c r="X67">
        <v>110789.9999999998</v>
      </c>
      <c r="Y67">
        <v>110789.9999999998</v>
      </c>
      <c r="Z67" t="s">
        <v>2869</v>
      </c>
    </row>
    <row r="68" spans="1:26" x14ac:dyDescent="0.25">
      <c r="A68">
        <v>16</v>
      </c>
      <c r="B68" t="s">
        <v>578</v>
      </c>
      <c r="C68" t="s">
        <v>32</v>
      </c>
      <c r="D68" t="s">
        <v>3041</v>
      </c>
      <c r="E68">
        <v>929</v>
      </c>
      <c r="F68" t="s">
        <v>3042</v>
      </c>
      <c r="G68" t="s">
        <v>3043</v>
      </c>
      <c r="H68" t="s">
        <v>2867</v>
      </c>
      <c r="I68" t="s">
        <v>3043</v>
      </c>
      <c r="L68" t="b">
        <v>0</v>
      </c>
      <c r="M68" t="s">
        <v>44</v>
      </c>
      <c r="N68" t="s">
        <v>32</v>
      </c>
      <c r="P68" t="s">
        <v>579</v>
      </c>
      <c r="Q68">
        <v>1</v>
      </c>
      <c r="R68">
        <v>3</v>
      </c>
      <c r="S68">
        <v>1</v>
      </c>
      <c r="T68">
        <v>871478</v>
      </c>
      <c r="U68">
        <v>871478</v>
      </c>
      <c r="V68">
        <v>1</v>
      </c>
      <c r="W68">
        <v>0</v>
      </c>
      <c r="X68">
        <v>8714.7800000000007</v>
      </c>
      <c r="Y68">
        <v>8714.7800000000007</v>
      </c>
      <c r="Z68" t="s">
        <v>2869</v>
      </c>
    </row>
    <row r="69" spans="1:26" x14ac:dyDescent="0.25">
      <c r="A69">
        <v>16</v>
      </c>
      <c r="B69" t="s">
        <v>578</v>
      </c>
      <c r="C69" t="s">
        <v>32</v>
      </c>
      <c r="D69" t="s">
        <v>3044</v>
      </c>
      <c r="E69">
        <v>32259</v>
      </c>
      <c r="F69" t="s">
        <v>3045</v>
      </c>
      <c r="G69" t="s">
        <v>3046</v>
      </c>
      <c r="H69" t="s">
        <v>1291</v>
      </c>
      <c r="I69" t="s">
        <v>3046</v>
      </c>
      <c r="L69" t="b">
        <v>0</v>
      </c>
      <c r="M69" t="s">
        <v>31</v>
      </c>
      <c r="N69" t="s">
        <v>32</v>
      </c>
      <c r="P69" t="s">
        <v>579</v>
      </c>
      <c r="Q69">
        <v>1</v>
      </c>
      <c r="R69">
        <v>3</v>
      </c>
      <c r="S69">
        <v>5.6239999999999997</v>
      </c>
      <c r="T69">
        <v>400000</v>
      </c>
      <c r="U69">
        <v>400000</v>
      </c>
      <c r="V69">
        <v>1</v>
      </c>
      <c r="W69">
        <v>0</v>
      </c>
      <c r="X69">
        <v>22496</v>
      </c>
      <c r="Y69">
        <v>22496</v>
      </c>
      <c r="Z69" t="s">
        <v>2869</v>
      </c>
    </row>
    <row r="70" spans="1:26" x14ac:dyDescent="0.25">
      <c r="A70">
        <v>16</v>
      </c>
      <c r="B70" t="s">
        <v>578</v>
      </c>
      <c r="C70" t="s">
        <v>32</v>
      </c>
      <c r="D70" t="s">
        <v>3047</v>
      </c>
      <c r="E70">
        <v>941</v>
      </c>
      <c r="F70" t="s">
        <v>3048</v>
      </c>
      <c r="G70" t="s">
        <v>3049</v>
      </c>
      <c r="H70" t="s">
        <v>1209</v>
      </c>
      <c r="I70" t="s">
        <v>3049</v>
      </c>
      <c r="L70" t="b">
        <v>0</v>
      </c>
      <c r="M70" t="s">
        <v>44</v>
      </c>
      <c r="N70" t="s">
        <v>32</v>
      </c>
      <c r="P70" t="s">
        <v>579</v>
      </c>
      <c r="Q70">
        <v>1</v>
      </c>
      <c r="R70">
        <v>3</v>
      </c>
      <c r="S70">
        <v>5</v>
      </c>
      <c r="T70">
        <v>1038820</v>
      </c>
      <c r="U70">
        <v>1038820</v>
      </c>
      <c r="V70">
        <v>1</v>
      </c>
      <c r="W70">
        <v>0</v>
      </c>
      <c r="X70">
        <v>51940.999999999913</v>
      </c>
      <c r="Y70">
        <v>51940.999999999913</v>
      </c>
      <c r="Z70" t="s">
        <v>2869</v>
      </c>
    </row>
    <row r="71" spans="1:26" x14ac:dyDescent="0.25">
      <c r="A71">
        <v>20</v>
      </c>
      <c r="B71" t="s">
        <v>25</v>
      </c>
      <c r="C71" t="s">
        <v>26</v>
      </c>
      <c r="D71" t="s">
        <v>3050</v>
      </c>
      <c r="E71">
        <v>209439</v>
      </c>
      <c r="F71" t="s">
        <v>3051</v>
      </c>
      <c r="G71" t="s">
        <v>3052</v>
      </c>
      <c r="H71" t="s">
        <v>1297</v>
      </c>
      <c r="I71" t="s">
        <v>3052</v>
      </c>
      <c r="L71" t="b">
        <v>0</v>
      </c>
      <c r="M71" t="s">
        <v>31</v>
      </c>
      <c r="N71" t="s">
        <v>358</v>
      </c>
      <c r="P71" t="s">
        <v>33</v>
      </c>
      <c r="Q71">
        <v>1</v>
      </c>
      <c r="R71">
        <v>3</v>
      </c>
      <c r="S71">
        <v>683.93780500000003</v>
      </c>
      <c r="T71">
        <v>13975</v>
      </c>
      <c r="U71">
        <v>13975</v>
      </c>
      <c r="V71">
        <v>1</v>
      </c>
      <c r="W71">
        <v>0</v>
      </c>
      <c r="X71">
        <v>1753866344.3900001</v>
      </c>
      <c r="Y71">
        <v>1753866344.3900001</v>
      </c>
      <c r="Z71" t="s">
        <v>2869</v>
      </c>
    </row>
    <row r="72" spans="1:26" x14ac:dyDescent="0.25">
      <c r="A72">
        <v>20</v>
      </c>
      <c r="B72" t="s">
        <v>25</v>
      </c>
      <c r="C72" t="s">
        <v>26</v>
      </c>
      <c r="D72" t="s">
        <v>3053</v>
      </c>
      <c r="E72">
        <v>209273</v>
      </c>
      <c r="F72" t="s">
        <v>3054</v>
      </c>
      <c r="G72" t="s">
        <v>3055</v>
      </c>
      <c r="H72" t="s">
        <v>1297</v>
      </c>
      <c r="I72" t="s">
        <v>3055</v>
      </c>
      <c r="L72" t="b">
        <v>0</v>
      </c>
      <c r="M72" t="s">
        <v>31</v>
      </c>
      <c r="N72" t="s">
        <v>358</v>
      </c>
      <c r="P72" t="s">
        <v>33</v>
      </c>
      <c r="Q72">
        <v>1</v>
      </c>
      <c r="R72">
        <v>3</v>
      </c>
      <c r="S72">
        <v>534.72803199999998</v>
      </c>
      <c r="T72">
        <v>651</v>
      </c>
      <c r="U72">
        <v>651</v>
      </c>
      <c r="V72">
        <v>1</v>
      </c>
      <c r="W72">
        <v>0</v>
      </c>
      <c r="X72">
        <v>63876631.970000014</v>
      </c>
      <c r="Y72">
        <v>63876631.970000014</v>
      </c>
      <c r="Z72" t="s">
        <v>2869</v>
      </c>
    </row>
    <row r="73" spans="1:26" x14ac:dyDescent="0.25">
      <c r="A73">
        <v>20</v>
      </c>
      <c r="B73" t="s">
        <v>25</v>
      </c>
      <c r="C73" t="s">
        <v>26</v>
      </c>
      <c r="D73" t="s">
        <v>3056</v>
      </c>
      <c r="E73">
        <v>226683</v>
      </c>
      <c r="F73" t="s">
        <v>3057</v>
      </c>
      <c r="G73" t="s">
        <v>3058</v>
      </c>
      <c r="H73" t="s">
        <v>1297</v>
      </c>
      <c r="I73" t="s">
        <v>3058</v>
      </c>
      <c r="L73" t="b">
        <v>0</v>
      </c>
      <c r="M73" t="s">
        <v>31</v>
      </c>
      <c r="N73" t="s">
        <v>358</v>
      </c>
      <c r="P73" t="s">
        <v>33</v>
      </c>
      <c r="Q73">
        <v>1</v>
      </c>
      <c r="R73">
        <v>3</v>
      </c>
      <c r="S73">
        <v>474.8218</v>
      </c>
      <c r="T73">
        <v>74</v>
      </c>
      <c r="U73">
        <v>74</v>
      </c>
      <c r="V73">
        <v>1</v>
      </c>
      <c r="W73">
        <v>0</v>
      </c>
      <c r="X73">
        <v>6447485.8500000006</v>
      </c>
      <c r="Y73">
        <v>6447485.8500000006</v>
      </c>
      <c r="Z73" t="s">
        <v>2869</v>
      </c>
    </row>
    <row r="74" spans="1:26" x14ac:dyDescent="0.25">
      <c r="A74">
        <v>20</v>
      </c>
      <c r="B74" t="s">
        <v>25</v>
      </c>
      <c r="C74" t="s">
        <v>26</v>
      </c>
      <c r="D74" t="s">
        <v>3059</v>
      </c>
      <c r="E74">
        <v>226684</v>
      </c>
      <c r="F74" t="s">
        <v>3060</v>
      </c>
      <c r="G74" t="s">
        <v>3061</v>
      </c>
      <c r="H74" t="s">
        <v>1297</v>
      </c>
      <c r="I74" t="s">
        <v>3061</v>
      </c>
      <c r="L74" t="b">
        <v>0</v>
      </c>
      <c r="M74" t="s">
        <v>31</v>
      </c>
      <c r="N74" t="s">
        <v>358</v>
      </c>
      <c r="P74" t="s">
        <v>33</v>
      </c>
      <c r="Q74">
        <v>1</v>
      </c>
      <c r="R74">
        <v>3</v>
      </c>
      <c r="S74">
        <v>563.93260299999997</v>
      </c>
      <c r="T74">
        <v>958</v>
      </c>
      <c r="U74">
        <v>958</v>
      </c>
      <c r="V74">
        <v>1</v>
      </c>
      <c r="W74">
        <v>0</v>
      </c>
      <c r="X74">
        <v>99133576.989999995</v>
      </c>
      <c r="Y74">
        <v>99133576.989999995</v>
      </c>
      <c r="Z74" t="s">
        <v>2869</v>
      </c>
    </row>
    <row r="75" spans="1:26" x14ac:dyDescent="0.25">
      <c r="A75">
        <v>20</v>
      </c>
      <c r="B75" t="s">
        <v>25</v>
      </c>
      <c r="C75" t="s">
        <v>26</v>
      </c>
      <c r="D75" t="s">
        <v>3062</v>
      </c>
      <c r="E75">
        <v>226685</v>
      </c>
      <c r="F75" t="s">
        <v>3063</v>
      </c>
      <c r="G75" t="s">
        <v>3064</v>
      </c>
      <c r="H75" t="s">
        <v>1297</v>
      </c>
      <c r="I75" t="s">
        <v>3064</v>
      </c>
      <c r="L75" t="b">
        <v>0</v>
      </c>
      <c r="M75" t="s">
        <v>31</v>
      </c>
      <c r="N75" t="s">
        <v>358</v>
      </c>
      <c r="P75" t="s">
        <v>33</v>
      </c>
      <c r="Q75">
        <v>1</v>
      </c>
      <c r="R75">
        <v>3</v>
      </c>
      <c r="S75">
        <v>491.70194199999997</v>
      </c>
      <c r="T75">
        <v>934</v>
      </c>
      <c r="U75">
        <v>934</v>
      </c>
      <c r="V75">
        <v>1</v>
      </c>
      <c r="W75">
        <v>0</v>
      </c>
      <c r="X75">
        <v>84270752.690000013</v>
      </c>
      <c r="Y75">
        <v>84270752.690000013</v>
      </c>
      <c r="Z75" t="s">
        <v>2869</v>
      </c>
    </row>
    <row r="76" spans="1:26" x14ac:dyDescent="0.25">
      <c r="A76">
        <v>20</v>
      </c>
      <c r="B76" t="s">
        <v>25</v>
      </c>
      <c r="C76" t="s">
        <v>26</v>
      </c>
      <c r="D76" t="s">
        <v>2926</v>
      </c>
      <c r="E76">
        <v>213458</v>
      </c>
      <c r="G76" t="s">
        <v>2927</v>
      </c>
      <c r="H76" t="s">
        <v>30</v>
      </c>
      <c r="I76" t="s">
        <v>2927</v>
      </c>
      <c r="L76" t="b">
        <v>0</v>
      </c>
      <c r="M76" t="s">
        <v>31</v>
      </c>
      <c r="N76" t="s">
        <v>358</v>
      </c>
      <c r="P76" t="s">
        <v>33</v>
      </c>
      <c r="Q76">
        <v>1</v>
      </c>
      <c r="R76">
        <v>3</v>
      </c>
      <c r="S76">
        <v>1244.4983</v>
      </c>
      <c r="T76">
        <v>15590</v>
      </c>
      <c r="U76">
        <v>15590</v>
      </c>
      <c r="V76">
        <v>1</v>
      </c>
      <c r="W76">
        <v>0</v>
      </c>
      <c r="X76">
        <v>3337048174.0900002</v>
      </c>
      <c r="Y76">
        <v>3337048174.0900002</v>
      </c>
      <c r="Z76" t="s">
        <v>2928</v>
      </c>
    </row>
    <row r="77" spans="1:26" x14ac:dyDescent="0.25">
      <c r="A77">
        <v>20</v>
      </c>
      <c r="B77" t="s">
        <v>25</v>
      </c>
      <c r="C77" t="s">
        <v>26</v>
      </c>
      <c r="D77" t="s">
        <v>2929</v>
      </c>
      <c r="E77">
        <v>213459</v>
      </c>
      <c r="G77" t="s">
        <v>2930</v>
      </c>
      <c r="H77" t="s">
        <v>30</v>
      </c>
      <c r="I77" t="s">
        <v>2930</v>
      </c>
      <c r="L77" t="b">
        <v>0</v>
      </c>
      <c r="M77" t="s">
        <v>31</v>
      </c>
      <c r="N77" t="s">
        <v>358</v>
      </c>
      <c r="P77" t="s">
        <v>33</v>
      </c>
      <c r="Q77">
        <v>1</v>
      </c>
      <c r="R77">
        <v>3</v>
      </c>
      <c r="S77">
        <v>1244.4983</v>
      </c>
      <c r="T77">
        <v>34356</v>
      </c>
      <c r="U77">
        <v>34356</v>
      </c>
      <c r="V77">
        <v>1</v>
      </c>
      <c r="W77">
        <v>0</v>
      </c>
      <c r="X77">
        <v>7353920913.5999994</v>
      </c>
      <c r="Y77">
        <v>7353920913.5999994</v>
      </c>
      <c r="Z77" t="s">
        <v>2928</v>
      </c>
    </row>
    <row r="78" spans="1:26" x14ac:dyDescent="0.25">
      <c r="A78">
        <v>20</v>
      </c>
      <c r="B78" t="s">
        <v>25</v>
      </c>
      <c r="C78" t="s">
        <v>26</v>
      </c>
      <c r="D78" t="s">
        <v>2931</v>
      </c>
      <c r="E78">
        <v>213460</v>
      </c>
      <c r="G78" t="s">
        <v>2932</v>
      </c>
      <c r="H78" t="s">
        <v>30</v>
      </c>
      <c r="I78" t="s">
        <v>2932</v>
      </c>
      <c r="L78" t="b">
        <v>0</v>
      </c>
      <c r="M78" t="s">
        <v>31</v>
      </c>
      <c r="N78" t="s">
        <v>358</v>
      </c>
      <c r="P78" t="s">
        <v>33</v>
      </c>
      <c r="Q78">
        <v>1</v>
      </c>
      <c r="R78">
        <v>3</v>
      </c>
      <c r="S78">
        <v>1244.4983</v>
      </c>
      <c r="T78">
        <v>4618</v>
      </c>
      <c r="U78">
        <v>4618</v>
      </c>
      <c r="V78">
        <v>1</v>
      </c>
      <c r="W78">
        <v>0</v>
      </c>
      <c r="X78">
        <v>988485469.15999997</v>
      </c>
      <c r="Y78">
        <v>988485469.15999997</v>
      </c>
      <c r="Z78" t="s">
        <v>2928</v>
      </c>
    </row>
    <row r="79" spans="1:26" x14ac:dyDescent="0.25">
      <c r="A79">
        <v>20</v>
      </c>
      <c r="B79" t="s">
        <v>25</v>
      </c>
      <c r="C79" t="s">
        <v>26</v>
      </c>
      <c r="D79" t="s">
        <v>3065</v>
      </c>
      <c r="E79">
        <v>205494</v>
      </c>
      <c r="F79" t="s">
        <v>3066</v>
      </c>
      <c r="G79" t="s">
        <v>3067</v>
      </c>
      <c r="H79" t="s">
        <v>1297</v>
      </c>
      <c r="I79" t="s">
        <v>3067</v>
      </c>
      <c r="L79" t="b">
        <v>0</v>
      </c>
      <c r="M79" t="s">
        <v>31</v>
      </c>
      <c r="N79" t="s">
        <v>358</v>
      </c>
      <c r="P79" t="s">
        <v>33</v>
      </c>
      <c r="Q79">
        <v>1</v>
      </c>
      <c r="R79">
        <v>3</v>
      </c>
      <c r="S79">
        <v>703.43796999999995</v>
      </c>
      <c r="T79">
        <v>63849</v>
      </c>
      <c r="U79">
        <v>63849</v>
      </c>
      <c r="V79">
        <v>1</v>
      </c>
      <c r="W79">
        <v>0</v>
      </c>
      <c r="X79">
        <v>8241532466.9500017</v>
      </c>
      <c r="Y79">
        <v>8241532466.9500017</v>
      </c>
      <c r="Z79" t="s">
        <v>2869</v>
      </c>
    </row>
    <row r="80" spans="1:26" x14ac:dyDescent="0.25">
      <c r="A80">
        <v>20</v>
      </c>
      <c r="B80" t="s">
        <v>25</v>
      </c>
      <c r="C80" t="s">
        <v>26</v>
      </c>
      <c r="D80" t="s">
        <v>3068</v>
      </c>
      <c r="E80">
        <v>226885</v>
      </c>
      <c r="F80" t="s">
        <v>3069</v>
      </c>
      <c r="G80" t="s">
        <v>3070</v>
      </c>
      <c r="H80" t="s">
        <v>1297</v>
      </c>
      <c r="I80" t="s">
        <v>3070</v>
      </c>
      <c r="L80" t="b">
        <v>0</v>
      </c>
      <c r="M80" t="s">
        <v>31</v>
      </c>
      <c r="N80" t="s">
        <v>358</v>
      </c>
      <c r="P80" t="s">
        <v>33</v>
      </c>
      <c r="Q80">
        <v>1</v>
      </c>
      <c r="R80">
        <v>3</v>
      </c>
      <c r="S80">
        <v>704.97803799999997</v>
      </c>
      <c r="T80">
        <v>431</v>
      </c>
      <c r="U80">
        <v>431</v>
      </c>
      <c r="V80">
        <v>1</v>
      </c>
      <c r="W80">
        <v>0</v>
      </c>
      <c r="X80">
        <v>55754627.539999999</v>
      </c>
      <c r="Y80">
        <v>55754627.539999999</v>
      </c>
      <c r="Z80" t="s">
        <v>2869</v>
      </c>
    </row>
    <row r="81" spans="1:26" x14ac:dyDescent="0.25">
      <c r="A81">
        <v>20</v>
      </c>
      <c r="B81" t="s">
        <v>25</v>
      </c>
      <c r="C81" t="s">
        <v>26</v>
      </c>
      <c r="D81" t="s">
        <v>3071</v>
      </c>
      <c r="E81">
        <v>222699</v>
      </c>
      <c r="F81" t="s">
        <v>3072</v>
      </c>
      <c r="G81" t="s">
        <v>3073</v>
      </c>
      <c r="H81" t="s">
        <v>1297</v>
      </c>
      <c r="I81" t="s">
        <v>3073</v>
      </c>
      <c r="L81" t="b">
        <v>0</v>
      </c>
      <c r="M81" t="s">
        <v>31</v>
      </c>
      <c r="N81" t="s">
        <v>358</v>
      </c>
      <c r="P81" t="s">
        <v>33</v>
      </c>
      <c r="Q81">
        <v>1</v>
      </c>
      <c r="R81">
        <v>3</v>
      </c>
      <c r="S81">
        <v>615.183311</v>
      </c>
      <c r="T81">
        <v>6792</v>
      </c>
      <c r="U81">
        <v>6792</v>
      </c>
      <c r="V81">
        <v>1</v>
      </c>
      <c r="W81">
        <v>0</v>
      </c>
      <c r="X81">
        <v>766708520.95999992</v>
      </c>
      <c r="Y81">
        <v>766708520.95999992</v>
      </c>
      <c r="Z81" t="s">
        <v>2869</v>
      </c>
    </row>
    <row r="82" spans="1:26" x14ac:dyDescent="0.25">
      <c r="A82">
        <v>20</v>
      </c>
      <c r="B82" t="s">
        <v>25</v>
      </c>
      <c r="C82" t="s">
        <v>26</v>
      </c>
      <c r="D82" t="s">
        <v>3074</v>
      </c>
      <c r="E82">
        <v>226996</v>
      </c>
      <c r="F82" t="s">
        <v>3075</v>
      </c>
      <c r="G82" t="s">
        <v>3076</v>
      </c>
      <c r="H82" t="s">
        <v>1297</v>
      </c>
      <c r="I82" t="s">
        <v>3076</v>
      </c>
      <c r="L82" t="b">
        <v>0</v>
      </c>
      <c r="M82" t="s">
        <v>31</v>
      </c>
      <c r="N82" t="s">
        <v>358</v>
      </c>
      <c r="P82" t="s">
        <v>33</v>
      </c>
      <c r="Q82">
        <v>1</v>
      </c>
      <c r="R82">
        <v>3</v>
      </c>
      <c r="S82">
        <v>591.55899999999997</v>
      </c>
      <c r="T82">
        <v>320</v>
      </c>
      <c r="U82">
        <v>320</v>
      </c>
      <c r="V82">
        <v>1</v>
      </c>
      <c r="W82">
        <v>0</v>
      </c>
      <c r="X82">
        <v>34735704.520000003</v>
      </c>
      <c r="Y82">
        <v>34735704.520000003</v>
      </c>
      <c r="Z82" t="s">
        <v>2869</v>
      </c>
    </row>
    <row r="83" spans="1:26" x14ac:dyDescent="0.25">
      <c r="A83">
        <v>20</v>
      </c>
      <c r="B83" t="s">
        <v>25</v>
      </c>
      <c r="C83" t="s">
        <v>26</v>
      </c>
      <c r="D83" t="s">
        <v>3077</v>
      </c>
      <c r="E83">
        <v>227576</v>
      </c>
      <c r="F83" t="s">
        <v>3078</v>
      </c>
      <c r="G83" t="s">
        <v>3079</v>
      </c>
      <c r="H83" t="s">
        <v>1297</v>
      </c>
      <c r="I83" t="s">
        <v>3079</v>
      </c>
      <c r="L83" t="b">
        <v>0</v>
      </c>
      <c r="M83" t="s">
        <v>31</v>
      </c>
      <c r="N83" t="s">
        <v>358</v>
      </c>
      <c r="P83" t="s">
        <v>33</v>
      </c>
      <c r="Q83">
        <v>1</v>
      </c>
      <c r="R83">
        <v>3</v>
      </c>
      <c r="S83">
        <v>519.80700000000002</v>
      </c>
      <c r="T83">
        <v>196</v>
      </c>
      <c r="U83">
        <v>195</v>
      </c>
      <c r="V83">
        <v>1.0051000000000001</v>
      </c>
      <c r="W83">
        <v>0</v>
      </c>
      <c r="X83">
        <v>18695033.760000002</v>
      </c>
      <c r="Y83">
        <v>18695033.760000002</v>
      </c>
      <c r="Z83" t="s">
        <v>2869</v>
      </c>
    </row>
    <row r="84" spans="1:26" x14ac:dyDescent="0.25">
      <c r="A84">
        <v>20</v>
      </c>
      <c r="B84" t="s">
        <v>25</v>
      </c>
      <c r="C84" t="s">
        <v>26</v>
      </c>
      <c r="D84" t="s">
        <v>3080</v>
      </c>
      <c r="E84">
        <v>203106</v>
      </c>
      <c r="F84" t="s">
        <v>3081</v>
      </c>
      <c r="G84" t="s">
        <v>3082</v>
      </c>
      <c r="H84" t="s">
        <v>1297</v>
      </c>
      <c r="I84" t="s">
        <v>3082</v>
      </c>
      <c r="L84" t="b">
        <v>0</v>
      </c>
      <c r="M84" t="s">
        <v>31</v>
      </c>
      <c r="N84" t="s">
        <v>358</v>
      </c>
      <c r="P84" t="s">
        <v>33</v>
      </c>
      <c r="Q84">
        <v>1</v>
      </c>
      <c r="R84">
        <v>3</v>
      </c>
      <c r="S84">
        <v>524.14517599999999</v>
      </c>
      <c r="T84">
        <v>72000</v>
      </c>
      <c r="U84">
        <v>72000</v>
      </c>
      <c r="V84">
        <v>1</v>
      </c>
      <c r="W84">
        <v>0</v>
      </c>
      <c r="X84">
        <v>6924878482.21</v>
      </c>
      <c r="Y84">
        <v>6924878482.21</v>
      </c>
      <c r="Z84" t="s">
        <v>2869</v>
      </c>
    </row>
    <row r="85" spans="1:26" x14ac:dyDescent="0.25">
      <c r="A85">
        <v>20</v>
      </c>
      <c r="B85" t="s">
        <v>25</v>
      </c>
      <c r="C85" t="s">
        <v>26</v>
      </c>
      <c r="D85" t="s">
        <v>3083</v>
      </c>
      <c r="E85">
        <v>208992</v>
      </c>
      <c r="F85" t="s">
        <v>3084</v>
      </c>
      <c r="G85" t="s">
        <v>3085</v>
      </c>
      <c r="H85" t="s">
        <v>1297</v>
      </c>
      <c r="I85" t="s">
        <v>3085</v>
      </c>
      <c r="L85" t="b">
        <v>0</v>
      </c>
      <c r="M85" t="s">
        <v>31</v>
      </c>
      <c r="N85" t="s">
        <v>358</v>
      </c>
      <c r="P85" t="s">
        <v>33</v>
      </c>
      <c r="Q85">
        <v>1</v>
      </c>
      <c r="R85">
        <v>3</v>
      </c>
      <c r="S85">
        <v>486.89159100000001</v>
      </c>
      <c r="T85">
        <v>37585</v>
      </c>
      <c r="U85">
        <v>37585</v>
      </c>
      <c r="V85">
        <v>1</v>
      </c>
      <c r="W85">
        <v>0</v>
      </c>
      <c r="X85">
        <v>3357955186.21</v>
      </c>
      <c r="Y85">
        <v>3357955186.21</v>
      </c>
      <c r="Z85" t="s">
        <v>2869</v>
      </c>
    </row>
    <row r="86" spans="1:26" x14ac:dyDescent="0.25">
      <c r="A86">
        <v>20</v>
      </c>
      <c r="B86" t="s">
        <v>25</v>
      </c>
      <c r="C86" t="s">
        <v>26</v>
      </c>
      <c r="D86" t="s">
        <v>3086</v>
      </c>
      <c r="E86">
        <v>226886</v>
      </c>
      <c r="F86" t="s">
        <v>3087</v>
      </c>
      <c r="G86" t="s">
        <v>3088</v>
      </c>
      <c r="H86" t="s">
        <v>1297</v>
      </c>
      <c r="I86" t="s">
        <v>3088</v>
      </c>
      <c r="L86" t="b">
        <v>0</v>
      </c>
      <c r="M86" t="s">
        <v>31</v>
      </c>
      <c r="N86" t="s">
        <v>358</v>
      </c>
      <c r="P86" t="s">
        <v>33</v>
      </c>
      <c r="Q86">
        <v>1</v>
      </c>
      <c r="R86">
        <v>3</v>
      </c>
      <c r="S86">
        <v>544.572136</v>
      </c>
      <c r="T86">
        <v>45</v>
      </c>
      <c r="U86">
        <v>45</v>
      </c>
      <c r="V86">
        <v>1</v>
      </c>
      <c r="W86">
        <v>0</v>
      </c>
      <c r="X86">
        <v>4496722.28</v>
      </c>
      <c r="Y86">
        <v>4496722.28</v>
      </c>
      <c r="Z86" t="s">
        <v>2869</v>
      </c>
    </row>
    <row r="87" spans="1:26" x14ac:dyDescent="0.25">
      <c r="A87">
        <v>20</v>
      </c>
      <c r="B87" t="s">
        <v>25</v>
      </c>
      <c r="C87" t="s">
        <v>26</v>
      </c>
      <c r="D87" t="s">
        <v>2874</v>
      </c>
      <c r="E87">
        <v>175782</v>
      </c>
      <c r="F87" t="s">
        <v>2875</v>
      </c>
      <c r="G87" t="s">
        <v>2876</v>
      </c>
      <c r="H87" t="s">
        <v>2877</v>
      </c>
      <c r="I87" t="s">
        <v>2876</v>
      </c>
      <c r="L87" t="b">
        <v>0</v>
      </c>
      <c r="M87" t="s">
        <v>61</v>
      </c>
      <c r="N87" t="s">
        <v>331</v>
      </c>
      <c r="P87" t="s">
        <v>33</v>
      </c>
      <c r="Q87">
        <v>1</v>
      </c>
      <c r="R87">
        <v>3</v>
      </c>
      <c r="S87">
        <v>36</v>
      </c>
      <c r="T87">
        <v>500</v>
      </c>
      <c r="U87">
        <v>500</v>
      </c>
      <c r="V87">
        <v>1</v>
      </c>
      <c r="W87">
        <v>0</v>
      </c>
      <c r="X87">
        <v>429499379.19999999</v>
      </c>
      <c r="Y87">
        <v>429499379.19999999</v>
      </c>
      <c r="Z87" t="s">
        <v>2869</v>
      </c>
    </row>
    <row r="88" spans="1:26" x14ac:dyDescent="0.25">
      <c r="A88">
        <v>20</v>
      </c>
      <c r="B88" t="s">
        <v>25</v>
      </c>
      <c r="C88" t="s">
        <v>26</v>
      </c>
      <c r="D88" t="s">
        <v>2878</v>
      </c>
      <c r="E88">
        <v>176588</v>
      </c>
      <c r="F88" t="s">
        <v>2879</v>
      </c>
      <c r="G88" t="s">
        <v>2880</v>
      </c>
      <c r="H88" t="s">
        <v>2877</v>
      </c>
      <c r="I88" t="s">
        <v>2880</v>
      </c>
      <c r="L88" t="b">
        <v>0</v>
      </c>
      <c r="M88" t="s">
        <v>61</v>
      </c>
      <c r="N88" t="s">
        <v>331</v>
      </c>
      <c r="P88" t="s">
        <v>33</v>
      </c>
      <c r="Q88">
        <v>1</v>
      </c>
      <c r="R88">
        <v>3</v>
      </c>
      <c r="S88">
        <v>36</v>
      </c>
      <c r="T88">
        <v>3300</v>
      </c>
      <c r="U88">
        <v>3300</v>
      </c>
      <c r="V88">
        <v>1</v>
      </c>
      <c r="W88">
        <v>0</v>
      </c>
      <c r="X88">
        <v>2105661314.03</v>
      </c>
      <c r="Y88">
        <v>2105661314.03</v>
      </c>
      <c r="Z88" t="s">
        <v>2869</v>
      </c>
    </row>
    <row r="89" spans="1:26" x14ac:dyDescent="0.25">
      <c r="A89">
        <v>20</v>
      </c>
      <c r="B89" t="s">
        <v>25</v>
      </c>
      <c r="C89" t="s">
        <v>26</v>
      </c>
      <c r="D89" t="s">
        <v>2881</v>
      </c>
      <c r="E89">
        <v>175802</v>
      </c>
      <c r="F89" t="s">
        <v>2882</v>
      </c>
      <c r="G89" t="s">
        <v>2883</v>
      </c>
      <c r="H89" t="s">
        <v>2877</v>
      </c>
      <c r="I89" t="s">
        <v>2883</v>
      </c>
      <c r="L89" t="b">
        <v>0</v>
      </c>
      <c r="M89" t="s">
        <v>61</v>
      </c>
      <c r="N89" t="s">
        <v>331</v>
      </c>
      <c r="P89" t="s">
        <v>33</v>
      </c>
      <c r="Q89">
        <v>1</v>
      </c>
      <c r="R89">
        <v>3</v>
      </c>
      <c r="S89">
        <v>36</v>
      </c>
      <c r="T89">
        <v>1500</v>
      </c>
      <c r="U89">
        <v>1500</v>
      </c>
      <c r="V89">
        <v>1</v>
      </c>
      <c r="W89">
        <v>0</v>
      </c>
      <c r="X89">
        <v>1283535833.45</v>
      </c>
      <c r="Y89">
        <v>1283535833.45</v>
      </c>
      <c r="Z89" t="s">
        <v>2869</v>
      </c>
    </row>
    <row r="90" spans="1:26" x14ac:dyDescent="0.25">
      <c r="A90">
        <v>20</v>
      </c>
      <c r="B90" t="s">
        <v>25</v>
      </c>
      <c r="C90" t="s">
        <v>26</v>
      </c>
      <c r="D90" t="s">
        <v>2884</v>
      </c>
      <c r="E90">
        <v>175703</v>
      </c>
      <c r="F90" t="s">
        <v>2885</v>
      </c>
      <c r="G90" t="s">
        <v>2886</v>
      </c>
      <c r="H90" t="s">
        <v>2877</v>
      </c>
      <c r="I90" t="s">
        <v>2886</v>
      </c>
      <c r="L90" t="b">
        <v>0</v>
      </c>
      <c r="M90" t="s">
        <v>61</v>
      </c>
      <c r="N90" t="s">
        <v>331</v>
      </c>
      <c r="P90" t="s">
        <v>33</v>
      </c>
      <c r="Q90">
        <v>1</v>
      </c>
      <c r="R90">
        <v>3</v>
      </c>
      <c r="S90">
        <v>36</v>
      </c>
      <c r="T90">
        <v>2445</v>
      </c>
      <c r="U90">
        <v>2445</v>
      </c>
      <c r="V90">
        <v>1</v>
      </c>
      <c r="W90">
        <v>0</v>
      </c>
      <c r="X90">
        <v>2191552592.0500002</v>
      </c>
      <c r="Y90">
        <v>2191552592.0500002</v>
      </c>
      <c r="Z90" t="s">
        <v>2869</v>
      </c>
    </row>
    <row r="91" spans="1:26" x14ac:dyDescent="0.25">
      <c r="A91">
        <v>20</v>
      </c>
      <c r="B91" t="s">
        <v>25</v>
      </c>
      <c r="C91" t="s">
        <v>26</v>
      </c>
      <c r="D91" t="s">
        <v>2887</v>
      </c>
      <c r="E91">
        <v>173738</v>
      </c>
      <c r="F91" t="s">
        <v>2888</v>
      </c>
      <c r="G91" t="s">
        <v>2889</v>
      </c>
      <c r="H91" t="s">
        <v>2877</v>
      </c>
      <c r="I91" t="s">
        <v>2889</v>
      </c>
      <c r="L91" t="b">
        <v>0</v>
      </c>
      <c r="M91" t="s">
        <v>61</v>
      </c>
      <c r="N91" t="s">
        <v>331</v>
      </c>
      <c r="P91" t="s">
        <v>33</v>
      </c>
      <c r="Q91">
        <v>1</v>
      </c>
      <c r="R91">
        <v>3</v>
      </c>
      <c r="S91">
        <v>36</v>
      </c>
      <c r="T91">
        <v>2620</v>
      </c>
      <c r="U91">
        <v>2620</v>
      </c>
      <c r="V91">
        <v>1</v>
      </c>
      <c r="W91">
        <v>0</v>
      </c>
      <c r="X91">
        <v>1291727456.23</v>
      </c>
      <c r="Y91">
        <v>1291727456.23</v>
      </c>
      <c r="Z91" t="s">
        <v>2869</v>
      </c>
    </row>
    <row r="92" spans="1:26" x14ac:dyDescent="0.25">
      <c r="A92">
        <v>20</v>
      </c>
      <c r="B92" t="s">
        <v>25</v>
      </c>
      <c r="C92" t="s">
        <v>26</v>
      </c>
      <c r="D92" t="s">
        <v>2890</v>
      </c>
      <c r="E92">
        <v>175702</v>
      </c>
      <c r="F92" t="s">
        <v>2891</v>
      </c>
      <c r="G92" t="s">
        <v>2892</v>
      </c>
      <c r="H92" t="s">
        <v>2877</v>
      </c>
      <c r="I92" t="s">
        <v>2892</v>
      </c>
      <c r="L92" t="b">
        <v>0</v>
      </c>
      <c r="M92" t="s">
        <v>61</v>
      </c>
      <c r="N92" t="s">
        <v>331</v>
      </c>
      <c r="P92" t="s">
        <v>33</v>
      </c>
      <c r="Q92">
        <v>1</v>
      </c>
      <c r="R92">
        <v>3</v>
      </c>
      <c r="S92">
        <v>36</v>
      </c>
      <c r="T92">
        <v>2500</v>
      </c>
      <c r="U92">
        <v>2500</v>
      </c>
      <c r="V92">
        <v>1</v>
      </c>
      <c r="W92">
        <v>0</v>
      </c>
      <c r="X92">
        <v>1232564366.6400001</v>
      </c>
      <c r="Y92">
        <v>1232564366.6400001</v>
      </c>
      <c r="Z92" t="s">
        <v>2869</v>
      </c>
    </row>
    <row r="93" spans="1:26" x14ac:dyDescent="0.25">
      <c r="A93">
        <v>20</v>
      </c>
      <c r="B93" t="s">
        <v>25</v>
      </c>
      <c r="C93" t="s">
        <v>26</v>
      </c>
      <c r="D93" t="s">
        <v>2893</v>
      </c>
      <c r="E93">
        <v>1090</v>
      </c>
      <c r="F93" t="s">
        <v>2894</v>
      </c>
      <c r="G93" t="s">
        <v>2895</v>
      </c>
      <c r="H93" t="s">
        <v>2877</v>
      </c>
      <c r="I93" t="s">
        <v>2896</v>
      </c>
      <c r="L93" t="b">
        <v>1</v>
      </c>
      <c r="M93" t="s">
        <v>61</v>
      </c>
      <c r="N93" t="s">
        <v>331</v>
      </c>
      <c r="P93" t="s">
        <v>33</v>
      </c>
      <c r="Q93">
        <v>1</v>
      </c>
      <c r="R93">
        <v>3</v>
      </c>
      <c r="S93">
        <v>35.703000000000003</v>
      </c>
      <c r="T93">
        <v>34250000</v>
      </c>
      <c r="U93">
        <v>34250000</v>
      </c>
      <c r="V93">
        <v>1</v>
      </c>
      <c r="W93">
        <v>0</v>
      </c>
      <c r="X93">
        <v>3349364247.0700002</v>
      </c>
      <c r="Y93">
        <v>3349364247.0700002</v>
      </c>
      <c r="Z93" t="s">
        <v>2869</v>
      </c>
    </row>
    <row r="94" spans="1:26" x14ac:dyDescent="0.25">
      <c r="A94">
        <v>16</v>
      </c>
      <c r="B94" t="s">
        <v>578</v>
      </c>
      <c r="C94" t="s">
        <v>32</v>
      </c>
      <c r="D94" t="s">
        <v>3089</v>
      </c>
      <c r="E94">
        <v>161099</v>
      </c>
      <c r="F94" t="s">
        <v>3090</v>
      </c>
      <c r="G94" t="s">
        <v>3091</v>
      </c>
      <c r="H94" t="s">
        <v>1499</v>
      </c>
      <c r="I94" t="s">
        <v>3091</v>
      </c>
      <c r="L94" t="b">
        <v>0</v>
      </c>
      <c r="M94" t="s">
        <v>31</v>
      </c>
      <c r="N94" t="s">
        <v>32</v>
      </c>
      <c r="P94" t="s">
        <v>579</v>
      </c>
      <c r="Q94">
        <v>1</v>
      </c>
      <c r="R94">
        <v>3</v>
      </c>
      <c r="S94">
        <v>0</v>
      </c>
      <c r="T94">
        <v>138400</v>
      </c>
      <c r="U94">
        <v>138400</v>
      </c>
      <c r="V94">
        <v>1</v>
      </c>
      <c r="W94">
        <v>0</v>
      </c>
      <c r="X94">
        <v>0</v>
      </c>
      <c r="Y94">
        <v>0</v>
      </c>
      <c r="Z94" t="s">
        <v>2869</v>
      </c>
    </row>
    <row r="95" spans="1:26" x14ac:dyDescent="0.25">
      <c r="A95">
        <v>16</v>
      </c>
      <c r="B95" t="s">
        <v>578</v>
      </c>
      <c r="C95" t="s">
        <v>32</v>
      </c>
      <c r="D95" t="s">
        <v>3092</v>
      </c>
      <c r="E95">
        <v>205354</v>
      </c>
      <c r="F95" t="s">
        <v>3093</v>
      </c>
      <c r="G95" t="s">
        <v>3094</v>
      </c>
      <c r="H95" t="s">
        <v>1499</v>
      </c>
      <c r="I95" t="s">
        <v>3094</v>
      </c>
      <c r="L95" t="b">
        <v>0</v>
      </c>
      <c r="M95" t="s">
        <v>31</v>
      </c>
      <c r="N95" t="s">
        <v>32</v>
      </c>
      <c r="P95" t="s">
        <v>579</v>
      </c>
      <c r="Q95">
        <v>1</v>
      </c>
      <c r="R95">
        <v>3</v>
      </c>
      <c r="S95">
        <v>0</v>
      </c>
      <c r="T95">
        <v>118876</v>
      </c>
      <c r="U95">
        <v>118876</v>
      </c>
      <c r="V95">
        <v>1</v>
      </c>
      <c r="W95">
        <v>0</v>
      </c>
      <c r="X95">
        <v>0</v>
      </c>
      <c r="Y95">
        <v>0</v>
      </c>
      <c r="Z95" t="s">
        <v>2869</v>
      </c>
    </row>
    <row r="96" spans="1:26" x14ac:dyDescent="0.25">
      <c r="A96">
        <v>16</v>
      </c>
      <c r="B96" t="s">
        <v>578</v>
      </c>
      <c r="C96" t="s">
        <v>32</v>
      </c>
      <c r="D96" t="s">
        <v>3095</v>
      </c>
      <c r="E96">
        <v>181048</v>
      </c>
      <c r="F96" t="s">
        <v>3096</v>
      </c>
      <c r="G96" t="s">
        <v>3097</v>
      </c>
      <c r="H96" t="s">
        <v>1499</v>
      </c>
      <c r="I96" t="s">
        <v>3097</v>
      </c>
      <c r="L96" t="b">
        <v>0</v>
      </c>
      <c r="M96" t="s">
        <v>31</v>
      </c>
      <c r="N96" t="s">
        <v>32</v>
      </c>
      <c r="P96" t="s">
        <v>579</v>
      </c>
      <c r="Q96">
        <v>1</v>
      </c>
      <c r="R96">
        <v>3</v>
      </c>
      <c r="S96">
        <v>0</v>
      </c>
      <c r="T96">
        <v>118875</v>
      </c>
      <c r="U96">
        <v>118875</v>
      </c>
      <c r="V96">
        <v>1</v>
      </c>
      <c r="W96">
        <v>0</v>
      </c>
      <c r="X96">
        <v>0</v>
      </c>
      <c r="Y96">
        <v>0</v>
      </c>
      <c r="Z96" t="s">
        <v>2869</v>
      </c>
    </row>
    <row r="97" spans="1:26" x14ac:dyDescent="0.25">
      <c r="A97">
        <v>16</v>
      </c>
      <c r="B97" t="s">
        <v>578</v>
      </c>
      <c r="C97" t="s">
        <v>32</v>
      </c>
      <c r="D97" t="s">
        <v>3098</v>
      </c>
      <c r="E97">
        <v>135285</v>
      </c>
      <c r="F97" t="s">
        <v>3099</v>
      </c>
      <c r="G97" t="s">
        <v>3100</v>
      </c>
      <c r="H97" t="s">
        <v>3101</v>
      </c>
      <c r="I97" t="s">
        <v>3100</v>
      </c>
      <c r="L97" t="b">
        <v>0</v>
      </c>
      <c r="M97" t="s">
        <v>44</v>
      </c>
      <c r="N97" t="s">
        <v>32</v>
      </c>
      <c r="P97" t="s">
        <v>579</v>
      </c>
      <c r="Q97">
        <v>1</v>
      </c>
      <c r="R97">
        <v>3</v>
      </c>
      <c r="S97">
        <v>2.7</v>
      </c>
      <c r="T97">
        <v>12434000</v>
      </c>
      <c r="U97">
        <v>12434000</v>
      </c>
      <c r="V97">
        <v>1</v>
      </c>
      <c r="W97">
        <v>0</v>
      </c>
      <c r="X97">
        <v>335718</v>
      </c>
      <c r="Y97">
        <v>335718</v>
      </c>
      <c r="Z97" t="s">
        <v>2928</v>
      </c>
    </row>
    <row r="98" spans="1:26" x14ac:dyDescent="0.25">
      <c r="A98">
        <v>20</v>
      </c>
      <c r="B98" t="s">
        <v>25</v>
      </c>
      <c r="C98" t="s">
        <v>26</v>
      </c>
      <c r="D98" t="s">
        <v>2951</v>
      </c>
      <c r="E98">
        <v>771</v>
      </c>
      <c r="F98" t="s">
        <v>2952</v>
      </c>
      <c r="G98" t="s">
        <v>2953</v>
      </c>
      <c r="H98" t="s">
        <v>1093</v>
      </c>
      <c r="I98" t="s">
        <v>2953</v>
      </c>
      <c r="L98" t="b">
        <v>0</v>
      </c>
      <c r="M98" t="s">
        <v>31</v>
      </c>
      <c r="N98" t="s">
        <v>32</v>
      </c>
      <c r="O98" t="s">
        <v>26</v>
      </c>
      <c r="P98" t="s">
        <v>33</v>
      </c>
      <c r="Q98">
        <v>1</v>
      </c>
      <c r="R98">
        <v>3</v>
      </c>
      <c r="S98">
        <v>0</v>
      </c>
      <c r="T98">
        <v>2523490</v>
      </c>
      <c r="U98">
        <v>2523490</v>
      </c>
      <c r="V98">
        <v>1</v>
      </c>
      <c r="W98">
        <v>0</v>
      </c>
      <c r="X98">
        <v>0</v>
      </c>
      <c r="Y98">
        <v>0</v>
      </c>
      <c r="Z98" t="s">
        <v>2869</v>
      </c>
    </row>
    <row r="99" spans="1:26" x14ac:dyDescent="0.25">
      <c r="A99">
        <v>20</v>
      </c>
      <c r="B99" t="s">
        <v>25</v>
      </c>
      <c r="C99" t="s">
        <v>26</v>
      </c>
      <c r="D99" t="s">
        <v>2954</v>
      </c>
      <c r="E99">
        <v>772</v>
      </c>
      <c r="F99" t="s">
        <v>2955</v>
      </c>
      <c r="G99" t="s">
        <v>2956</v>
      </c>
      <c r="H99" t="s">
        <v>1093</v>
      </c>
      <c r="I99" t="s">
        <v>2956</v>
      </c>
      <c r="L99" t="b">
        <v>0</v>
      </c>
      <c r="M99" t="s">
        <v>31</v>
      </c>
      <c r="N99" t="s">
        <v>32</v>
      </c>
      <c r="O99" t="s">
        <v>26</v>
      </c>
      <c r="P99" t="s">
        <v>33</v>
      </c>
      <c r="Q99">
        <v>1</v>
      </c>
      <c r="R99">
        <v>3</v>
      </c>
      <c r="S99">
        <v>0</v>
      </c>
      <c r="T99">
        <v>2336991</v>
      </c>
      <c r="U99">
        <v>2336991</v>
      </c>
      <c r="V99">
        <v>1</v>
      </c>
      <c r="W99">
        <v>0</v>
      </c>
      <c r="X99">
        <v>0</v>
      </c>
      <c r="Y99">
        <v>0</v>
      </c>
      <c r="Z99" t="s">
        <v>2869</v>
      </c>
    </row>
    <row r="100" spans="1:26" x14ac:dyDescent="0.25">
      <c r="A100">
        <v>20</v>
      </c>
      <c r="B100" t="s">
        <v>25</v>
      </c>
      <c r="C100" t="s">
        <v>26</v>
      </c>
      <c r="D100" t="s">
        <v>2957</v>
      </c>
      <c r="E100">
        <v>773</v>
      </c>
      <c r="F100" t="s">
        <v>2958</v>
      </c>
      <c r="G100" t="s">
        <v>2959</v>
      </c>
      <c r="H100" t="s">
        <v>1093</v>
      </c>
      <c r="I100" t="s">
        <v>2960</v>
      </c>
      <c r="L100" t="b">
        <v>1</v>
      </c>
      <c r="M100" t="s">
        <v>31</v>
      </c>
      <c r="N100" t="s">
        <v>32</v>
      </c>
      <c r="O100" t="s">
        <v>26</v>
      </c>
      <c r="P100" t="s">
        <v>33</v>
      </c>
      <c r="Q100">
        <v>1</v>
      </c>
      <c r="R100">
        <v>3</v>
      </c>
      <c r="S100">
        <v>0</v>
      </c>
      <c r="T100">
        <v>1832195</v>
      </c>
      <c r="U100">
        <v>1832195</v>
      </c>
      <c r="V100">
        <v>1</v>
      </c>
      <c r="W100">
        <v>0</v>
      </c>
      <c r="X100">
        <v>0</v>
      </c>
      <c r="Y100">
        <v>0</v>
      </c>
      <c r="Z100" t="s">
        <v>2869</v>
      </c>
    </row>
    <row r="101" spans="1:26" x14ac:dyDescent="0.25">
      <c r="A101">
        <v>20</v>
      </c>
      <c r="B101" t="s">
        <v>25</v>
      </c>
      <c r="C101" t="s">
        <v>26</v>
      </c>
      <c r="D101" t="s">
        <v>2961</v>
      </c>
      <c r="E101">
        <v>775</v>
      </c>
      <c r="F101" t="s">
        <v>1095</v>
      </c>
      <c r="G101" t="s">
        <v>2962</v>
      </c>
      <c r="H101" t="s">
        <v>1093</v>
      </c>
      <c r="I101" t="s">
        <v>1094</v>
      </c>
      <c r="J101" t="s">
        <v>1095</v>
      </c>
      <c r="K101" t="s">
        <v>1091</v>
      </c>
      <c r="L101" t="b">
        <v>1</v>
      </c>
      <c r="M101" t="s">
        <v>31</v>
      </c>
      <c r="N101" t="s">
        <v>32</v>
      </c>
      <c r="O101" t="s">
        <v>26</v>
      </c>
      <c r="P101" t="s">
        <v>33</v>
      </c>
      <c r="Q101">
        <v>1</v>
      </c>
      <c r="R101">
        <v>3</v>
      </c>
      <c r="S101">
        <v>0</v>
      </c>
      <c r="T101">
        <v>5200000</v>
      </c>
      <c r="U101">
        <v>5200000</v>
      </c>
      <c r="V101">
        <v>1</v>
      </c>
      <c r="W101">
        <v>0</v>
      </c>
      <c r="X101">
        <v>0</v>
      </c>
      <c r="Y101">
        <v>0</v>
      </c>
      <c r="Z101" t="s">
        <v>2869</v>
      </c>
    </row>
    <row r="102" spans="1:26" x14ac:dyDescent="0.25">
      <c r="A102">
        <v>20</v>
      </c>
      <c r="B102" t="s">
        <v>25</v>
      </c>
      <c r="C102" t="s">
        <v>26</v>
      </c>
      <c r="D102" t="s">
        <v>2963</v>
      </c>
      <c r="E102">
        <v>777</v>
      </c>
      <c r="F102" t="s">
        <v>1100</v>
      </c>
      <c r="G102" t="s">
        <v>2964</v>
      </c>
      <c r="H102" t="s">
        <v>1093</v>
      </c>
      <c r="I102" t="s">
        <v>1099</v>
      </c>
      <c r="J102" t="s">
        <v>1100</v>
      </c>
      <c r="K102" t="s">
        <v>1097</v>
      </c>
      <c r="L102" t="b">
        <v>1</v>
      </c>
      <c r="M102" t="s">
        <v>31</v>
      </c>
      <c r="N102" t="s">
        <v>32</v>
      </c>
      <c r="O102" t="s">
        <v>26</v>
      </c>
      <c r="P102" t="s">
        <v>33</v>
      </c>
      <c r="Q102">
        <v>1</v>
      </c>
      <c r="R102">
        <v>3</v>
      </c>
      <c r="S102">
        <v>0</v>
      </c>
      <c r="T102">
        <v>3758000</v>
      </c>
      <c r="U102">
        <v>3758000</v>
      </c>
      <c r="V102">
        <v>1</v>
      </c>
      <c r="W102">
        <v>0</v>
      </c>
      <c r="X102">
        <v>0</v>
      </c>
      <c r="Y102">
        <v>0</v>
      </c>
      <c r="Z102" t="s">
        <v>2869</v>
      </c>
    </row>
    <row r="103" spans="1:26" x14ac:dyDescent="0.25">
      <c r="A103">
        <v>20</v>
      </c>
      <c r="B103" t="s">
        <v>25</v>
      </c>
      <c r="C103" t="s">
        <v>26</v>
      </c>
      <c r="D103" t="s">
        <v>2965</v>
      </c>
      <c r="E103">
        <v>160766</v>
      </c>
      <c r="F103" t="s">
        <v>2966</v>
      </c>
      <c r="G103" t="s">
        <v>2967</v>
      </c>
      <c r="H103" t="s">
        <v>1076</v>
      </c>
      <c r="I103" t="s">
        <v>2967</v>
      </c>
      <c r="L103" t="b">
        <v>0</v>
      </c>
      <c r="M103" t="s">
        <v>50</v>
      </c>
      <c r="N103" t="s">
        <v>32</v>
      </c>
      <c r="O103" t="s">
        <v>26</v>
      </c>
      <c r="P103" t="s">
        <v>33</v>
      </c>
      <c r="Q103">
        <v>1</v>
      </c>
      <c r="R103">
        <v>3</v>
      </c>
      <c r="S103">
        <v>39.369999999999997</v>
      </c>
      <c r="T103">
        <v>17385699</v>
      </c>
      <c r="U103">
        <v>17385699</v>
      </c>
      <c r="V103">
        <v>1</v>
      </c>
      <c r="W103">
        <v>71927341.220000014</v>
      </c>
      <c r="X103">
        <v>6371503705.7399988</v>
      </c>
      <c r="Y103">
        <v>6443431046.9599991</v>
      </c>
      <c r="Z103" t="s">
        <v>2869</v>
      </c>
    </row>
    <row r="104" spans="1:26" x14ac:dyDescent="0.25">
      <c r="A104">
        <v>20</v>
      </c>
      <c r="B104" t="s">
        <v>25</v>
      </c>
      <c r="C104" t="s">
        <v>26</v>
      </c>
      <c r="D104" t="s">
        <v>3002</v>
      </c>
      <c r="E104">
        <v>4311</v>
      </c>
      <c r="F104" t="s">
        <v>3003</v>
      </c>
      <c r="G104" t="s">
        <v>3004</v>
      </c>
      <c r="H104" t="s">
        <v>3005</v>
      </c>
      <c r="I104" t="s">
        <v>3006</v>
      </c>
      <c r="L104" t="b">
        <v>1</v>
      </c>
      <c r="M104" t="s">
        <v>44</v>
      </c>
      <c r="N104" t="s">
        <v>32</v>
      </c>
      <c r="O104" t="s">
        <v>26</v>
      </c>
      <c r="P104" t="s">
        <v>33</v>
      </c>
      <c r="Q104">
        <v>1</v>
      </c>
      <c r="R104">
        <v>3</v>
      </c>
      <c r="S104">
        <v>0.246</v>
      </c>
      <c r="T104">
        <v>2400000</v>
      </c>
      <c r="U104">
        <v>2400000</v>
      </c>
      <c r="V104">
        <v>1</v>
      </c>
      <c r="W104">
        <v>0</v>
      </c>
      <c r="X104">
        <v>5495797.4400000274</v>
      </c>
      <c r="Y104">
        <v>5495797.4400000274</v>
      </c>
      <c r="Z104" t="s">
        <v>2869</v>
      </c>
    </row>
    <row r="105" spans="1:26" x14ac:dyDescent="0.25">
      <c r="A105">
        <v>68</v>
      </c>
      <c r="B105" t="s">
        <v>1545</v>
      </c>
      <c r="C105" t="s">
        <v>32</v>
      </c>
      <c r="D105" t="s">
        <v>3102</v>
      </c>
      <c r="E105">
        <v>201208</v>
      </c>
      <c r="F105" t="s">
        <v>3103</v>
      </c>
      <c r="G105" t="s">
        <v>3104</v>
      </c>
      <c r="H105" t="s">
        <v>3105</v>
      </c>
      <c r="I105" t="s">
        <v>3104</v>
      </c>
      <c r="L105" t="b">
        <v>0</v>
      </c>
      <c r="M105" t="s">
        <v>31</v>
      </c>
      <c r="N105" t="s">
        <v>358</v>
      </c>
      <c r="P105" t="s">
        <v>579</v>
      </c>
      <c r="Q105">
        <v>1</v>
      </c>
      <c r="R105">
        <v>3</v>
      </c>
      <c r="S105">
        <v>38.120020417649997</v>
      </c>
      <c r="T105">
        <v>13481</v>
      </c>
      <c r="U105">
        <v>13481</v>
      </c>
      <c r="V105">
        <v>1</v>
      </c>
      <c r="W105">
        <v>409.88</v>
      </c>
      <c r="X105">
        <v>1011.48</v>
      </c>
      <c r="Y105">
        <v>1421.36</v>
      </c>
      <c r="Z105" t="s">
        <v>2928</v>
      </c>
    </row>
    <row r="106" spans="1:26" x14ac:dyDescent="0.25">
      <c r="A106">
        <v>16</v>
      </c>
      <c r="B106" t="s">
        <v>578</v>
      </c>
      <c r="C106" t="s">
        <v>32</v>
      </c>
      <c r="D106" t="s">
        <v>3106</v>
      </c>
      <c r="E106">
        <v>135284</v>
      </c>
      <c r="F106" t="s">
        <v>3107</v>
      </c>
      <c r="G106" t="s">
        <v>3108</v>
      </c>
      <c r="H106" t="s">
        <v>3101</v>
      </c>
      <c r="I106" t="s">
        <v>3108</v>
      </c>
      <c r="L106" t="b">
        <v>0</v>
      </c>
      <c r="M106" t="s">
        <v>44</v>
      </c>
      <c r="N106" t="s">
        <v>32</v>
      </c>
      <c r="P106" t="s">
        <v>579</v>
      </c>
      <c r="Q106">
        <v>1</v>
      </c>
      <c r="R106">
        <v>3</v>
      </c>
      <c r="S106">
        <v>2.7</v>
      </c>
      <c r="T106">
        <v>3240000</v>
      </c>
      <c r="U106">
        <v>3240000</v>
      </c>
      <c r="V106">
        <v>1</v>
      </c>
      <c r="W106">
        <v>0</v>
      </c>
      <c r="X106">
        <v>87480</v>
      </c>
      <c r="Y106">
        <v>87480</v>
      </c>
      <c r="Z106" t="s">
        <v>2928</v>
      </c>
    </row>
    <row r="107" spans="1:26" x14ac:dyDescent="0.25">
      <c r="A107">
        <v>16</v>
      </c>
      <c r="B107" t="s">
        <v>578</v>
      </c>
      <c r="C107" t="s">
        <v>32</v>
      </c>
      <c r="D107" t="s">
        <v>3109</v>
      </c>
      <c r="E107">
        <v>135282</v>
      </c>
      <c r="F107" t="s">
        <v>3110</v>
      </c>
      <c r="G107" t="s">
        <v>3111</v>
      </c>
      <c r="H107" t="s">
        <v>3101</v>
      </c>
      <c r="I107" t="s">
        <v>3111</v>
      </c>
      <c r="L107" t="b">
        <v>0</v>
      </c>
      <c r="M107" t="s">
        <v>44</v>
      </c>
      <c r="N107" t="s">
        <v>32</v>
      </c>
      <c r="P107" t="s">
        <v>579</v>
      </c>
      <c r="Q107">
        <v>1</v>
      </c>
      <c r="R107">
        <v>3</v>
      </c>
      <c r="S107">
        <v>2.7</v>
      </c>
      <c r="T107">
        <v>11200000</v>
      </c>
      <c r="U107">
        <v>11200000</v>
      </c>
      <c r="V107">
        <v>1</v>
      </c>
      <c r="W107">
        <v>0</v>
      </c>
      <c r="X107">
        <v>302400</v>
      </c>
      <c r="Y107">
        <v>302400</v>
      </c>
      <c r="Z107" t="s">
        <v>2928</v>
      </c>
    </row>
    <row r="108" spans="1:26" x14ac:dyDescent="0.25">
      <c r="A108">
        <v>16</v>
      </c>
      <c r="B108" t="s">
        <v>578</v>
      </c>
      <c r="C108" t="s">
        <v>32</v>
      </c>
      <c r="D108" t="s">
        <v>3112</v>
      </c>
      <c r="E108">
        <v>135280</v>
      </c>
      <c r="F108" t="s">
        <v>3113</v>
      </c>
      <c r="G108" t="s">
        <v>3114</v>
      </c>
      <c r="H108" t="s">
        <v>3101</v>
      </c>
      <c r="I108" t="s">
        <v>3114</v>
      </c>
      <c r="L108" t="b">
        <v>0</v>
      </c>
      <c r="M108" t="s">
        <v>44</v>
      </c>
      <c r="N108" t="s">
        <v>32</v>
      </c>
      <c r="P108" t="s">
        <v>579</v>
      </c>
      <c r="Q108">
        <v>1</v>
      </c>
      <c r="R108">
        <v>3</v>
      </c>
      <c r="S108">
        <v>2.7</v>
      </c>
      <c r="T108">
        <v>2810000</v>
      </c>
      <c r="U108">
        <v>2810000</v>
      </c>
      <c r="V108">
        <v>1</v>
      </c>
      <c r="W108">
        <v>0</v>
      </c>
      <c r="X108">
        <v>75870</v>
      </c>
      <c r="Y108">
        <v>75870</v>
      </c>
      <c r="Z108" t="s">
        <v>2928</v>
      </c>
    </row>
    <row r="109" spans="1:26" x14ac:dyDescent="0.25">
      <c r="A109">
        <v>16</v>
      </c>
      <c r="B109" t="s">
        <v>578</v>
      </c>
      <c r="C109" t="s">
        <v>32</v>
      </c>
      <c r="D109" t="s">
        <v>3115</v>
      </c>
      <c r="E109">
        <v>135286</v>
      </c>
      <c r="F109" t="s">
        <v>3116</v>
      </c>
      <c r="G109" t="s">
        <v>3117</v>
      </c>
      <c r="H109" t="s">
        <v>3101</v>
      </c>
      <c r="I109" t="s">
        <v>3117</v>
      </c>
      <c r="L109" t="b">
        <v>0</v>
      </c>
      <c r="M109" t="s">
        <v>44</v>
      </c>
      <c r="N109" t="s">
        <v>32</v>
      </c>
      <c r="P109" t="s">
        <v>579</v>
      </c>
      <c r="Q109">
        <v>1</v>
      </c>
      <c r="R109">
        <v>3</v>
      </c>
      <c r="S109">
        <v>5.5</v>
      </c>
      <c r="T109">
        <v>3610000</v>
      </c>
      <c r="U109">
        <v>3610000</v>
      </c>
      <c r="V109">
        <v>1</v>
      </c>
      <c r="W109">
        <v>0</v>
      </c>
      <c r="X109">
        <v>198550</v>
      </c>
      <c r="Y109">
        <v>198550</v>
      </c>
      <c r="Z109" t="s">
        <v>2928</v>
      </c>
    </row>
    <row r="110" spans="1:26" x14ac:dyDescent="0.25">
      <c r="A110">
        <v>16</v>
      </c>
      <c r="B110" t="s">
        <v>578</v>
      </c>
      <c r="C110" t="s">
        <v>32</v>
      </c>
      <c r="D110" t="s">
        <v>3118</v>
      </c>
      <c r="E110">
        <v>161091</v>
      </c>
      <c r="F110" t="s">
        <v>3119</v>
      </c>
      <c r="G110" t="s">
        <v>3120</v>
      </c>
      <c r="H110" t="s">
        <v>1656</v>
      </c>
      <c r="I110" t="s">
        <v>3121</v>
      </c>
      <c r="J110" t="s">
        <v>3119</v>
      </c>
      <c r="K110" t="s">
        <v>3122</v>
      </c>
      <c r="L110" t="b">
        <v>1</v>
      </c>
      <c r="M110" t="s">
        <v>31</v>
      </c>
      <c r="N110" t="s">
        <v>32</v>
      </c>
      <c r="P110" t="s">
        <v>579</v>
      </c>
      <c r="Q110">
        <v>1</v>
      </c>
      <c r="R110">
        <v>3</v>
      </c>
      <c r="S110">
        <v>16.975000000000001</v>
      </c>
      <c r="T110">
        <v>4165531</v>
      </c>
      <c r="U110">
        <v>4165531</v>
      </c>
      <c r="V110">
        <v>1</v>
      </c>
      <c r="W110">
        <v>0</v>
      </c>
      <c r="X110">
        <v>707098.88999999966</v>
      </c>
      <c r="Y110">
        <v>707098.88999999966</v>
      </c>
      <c r="Z110" t="s">
        <v>2869</v>
      </c>
    </row>
    <row r="111" spans="1:26" x14ac:dyDescent="0.25">
      <c r="A111">
        <v>16</v>
      </c>
      <c r="B111" t="s">
        <v>578</v>
      </c>
      <c r="C111" t="s">
        <v>32</v>
      </c>
      <c r="D111" t="s">
        <v>3123</v>
      </c>
      <c r="E111">
        <v>161001</v>
      </c>
      <c r="F111" t="s">
        <v>3124</v>
      </c>
      <c r="G111" t="s">
        <v>3125</v>
      </c>
      <c r="H111" t="s">
        <v>1656</v>
      </c>
      <c r="I111" t="s">
        <v>3126</v>
      </c>
      <c r="L111" t="b">
        <v>1</v>
      </c>
      <c r="M111" t="s">
        <v>31</v>
      </c>
      <c r="N111" t="s">
        <v>32</v>
      </c>
      <c r="P111" t="s">
        <v>579</v>
      </c>
      <c r="Q111">
        <v>1</v>
      </c>
      <c r="R111">
        <v>3</v>
      </c>
      <c r="S111">
        <v>5.4999999999999997E-3</v>
      </c>
      <c r="T111">
        <v>10965860</v>
      </c>
      <c r="U111">
        <v>10965860</v>
      </c>
      <c r="V111">
        <v>1</v>
      </c>
      <c r="W111">
        <v>0</v>
      </c>
      <c r="X111">
        <v>603.12</v>
      </c>
      <c r="Y111">
        <v>603.12</v>
      </c>
      <c r="Z111" t="s">
        <v>2869</v>
      </c>
    </row>
    <row r="112" spans="1:26" x14ac:dyDescent="0.25">
      <c r="A112">
        <v>68</v>
      </c>
      <c r="B112" t="s">
        <v>1545</v>
      </c>
      <c r="C112" t="s">
        <v>32</v>
      </c>
      <c r="D112" t="s">
        <v>2965</v>
      </c>
      <c r="E112">
        <v>160766</v>
      </c>
      <c r="F112" t="s">
        <v>2966</v>
      </c>
      <c r="G112" t="s">
        <v>2967</v>
      </c>
      <c r="H112" t="s">
        <v>1076</v>
      </c>
      <c r="I112" t="s">
        <v>2967</v>
      </c>
      <c r="L112" t="b">
        <v>0</v>
      </c>
      <c r="M112" t="s">
        <v>50</v>
      </c>
      <c r="N112" t="s">
        <v>32</v>
      </c>
      <c r="P112" t="s">
        <v>579</v>
      </c>
      <c r="Q112">
        <v>1</v>
      </c>
      <c r="R112">
        <v>3</v>
      </c>
      <c r="S112">
        <v>39.369999999999997</v>
      </c>
      <c r="T112">
        <v>720551</v>
      </c>
      <c r="U112">
        <v>720551</v>
      </c>
      <c r="V112">
        <v>1</v>
      </c>
      <c r="W112">
        <v>3202.45</v>
      </c>
      <c r="X112">
        <v>283680.93</v>
      </c>
      <c r="Y112">
        <v>286883.38</v>
      </c>
      <c r="Z112" t="s">
        <v>2869</v>
      </c>
    </row>
    <row r="113" spans="1:26" x14ac:dyDescent="0.25">
      <c r="A113">
        <v>68</v>
      </c>
      <c r="B113" t="s">
        <v>1545</v>
      </c>
      <c r="C113" t="s">
        <v>32</v>
      </c>
      <c r="D113" t="s">
        <v>2987</v>
      </c>
      <c r="E113">
        <v>204645</v>
      </c>
      <c r="F113" t="s">
        <v>2988</v>
      </c>
      <c r="G113" t="s">
        <v>2989</v>
      </c>
      <c r="H113" t="s">
        <v>1122</v>
      </c>
      <c r="I113" t="s">
        <v>2989</v>
      </c>
      <c r="L113" t="b">
        <v>0</v>
      </c>
      <c r="M113" t="s">
        <v>31</v>
      </c>
      <c r="N113" t="s">
        <v>32</v>
      </c>
      <c r="P113" t="s">
        <v>579</v>
      </c>
      <c r="Q113">
        <v>1</v>
      </c>
      <c r="R113">
        <v>3</v>
      </c>
      <c r="S113">
        <v>0</v>
      </c>
      <c r="T113">
        <v>12000</v>
      </c>
      <c r="U113">
        <v>12000</v>
      </c>
      <c r="V113">
        <v>1</v>
      </c>
      <c r="W113">
        <v>0</v>
      </c>
      <c r="X113">
        <v>0</v>
      </c>
      <c r="Y113">
        <v>0</v>
      </c>
      <c r="Z113" t="s">
        <v>2928</v>
      </c>
    </row>
    <row r="114" spans="1:26" x14ac:dyDescent="0.25">
      <c r="A114">
        <v>68</v>
      </c>
      <c r="B114" t="s">
        <v>1545</v>
      </c>
      <c r="C114" t="s">
        <v>32</v>
      </c>
      <c r="D114" t="s">
        <v>2990</v>
      </c>
      <c r="E114">
        <v>214791</v>
      </c>
      <c r="F114" t="s">
        <v>2991</v>
      </c>
      <c r="G114" t="s">
        <v>2992</v>
      </c>
      <c r="H114" t="s">
        <v>1122</v>
      </c>
      <c r="I114" t="s">
        <v>2992</v>
      </c>
      <c r="L114" t="b">
        <v>0</v>
      </c>
      <c r="M114" t="s">
        <v>31</v>
      </c>
      <c r="N114" t="s">
        <v>32</v>
      </c>
      <c r="P114" t="s">
        <v>579</v>
      </c>
      <c r="Q114">
        <v>1</v>
      </c>
      <c r="R114">
        <v>3</v>
      </c>
      <c r="S114">
        <v>0</v>
      </c>
      <c r="T114">
        <v>12000</v>
      </c>
      <c r="U114">
        <v>12000</v>
      </c>
      <c r="V114">
        <v>1</v>
      </c>
      <c r="W114">
        <v>0</v>
      </c>
      <c r="X114">
        <v>0</v>
      </c>
      <c r="Y114">
        <v>0</v>
      </c>
      <c r="Z114" t="s">
        <v>2928</v>
      </c>
    </row>
    <row r="115" spans="1:26" x14ac:dyDescent="0.25">
      <c r="A115">
        <v>68</v>
      </c>
      <c r="B115" t="s">
        <v>1545</v>
      </c>
      <c r="C115" t="s">
        <v>32</v>
      </c>
      <c r="D115" t="s">
        <v>2993</v>
      </c>
      <c r="E115">
        <v>193873</v>
      </c>
      <c r="F115" t="s">
        <v>2994</v>
      </c>
      <c r="G115" t="s">
        <v>2995</v>
      </c>
      <c r="H115" t="s">
        <v>1122</v>
      </c>
      <c r="I115" t="s">
        <v>2995</v>
      </c>
      <c r="L115" t="b">
        <v>0</v>
      </c>
      <c r="M115" t="s">
        <v>31</v>
      </c>
      <c r="N115" t="s">
        <v>32</v>
      </c>
      <c r="P115" t="s">
        <v>579</v>
      </c>
      <c r="Q115">
        <v>1</v>
      </c>
      <c r="R115">
        <v>3</v>
      </c>
      <c r="S115">
        <v>0</v>
      </c>
      <c r="T115">
        <v>12000</v>
      </c>
      <c r="U115">
        <v>12000</v>
      </c>
      <c r="V115">
        <v>1</v>
      </c>
      <c r="W115">
        <v>0</v>
      </c>
      <c r="X115">
        <v>0</v>
      </c>
      <c r="Y115">
        <v>0</v>
      </c>
      <c r="Z115" t="s">
        <v>2928</v>
      </c>
    </row>
    <row r="116" spans="1:26" x14ac:dyDescent="0.25">
      <c r="A116">
        <v>68</v>
      </c>
      <c r="B116" t="s">
        <v>1545</v>
      </c>
      <c r="C116" t="s">
        <v>32</v>
      </c>
      <c r="D116" t="s">
        <v>2996</v>
      </c>
      <c r="E116">
        <v>181402</v>
      </c>
      <c r="F116" t="s">
        <v>2997</v>
      </c>
      <c r="G116" t="s">
        <v>2998</v>
      </c>
      <c r="H116" t="s">
        <v>1122</v>
      </c>
      <c r="I116" t="s">
        <v>2998</v>
      </c>
      <c r="L116" t="b">
        <v>0</v>
      </c>
      <c r="M116" t="s">
        <v>31</v>
      </c>
      <c r="N116" t="s">
        <v>32</v>
      </c>
      <c r="P116" t="s">
        <v>579</v>
      </c>
      <c r="Q116">
        <v>1</v>
      </c>
      <c r="R116">
        <v>3</v>
      </c>
      <c r="S116">
        <v>0</v>
      </c>
      <c r="T116">
        <v>12150</v>
      </c>
      <c r="U116">
        <v>12150</v>
      </c>
      <c r="V116">
        <v>1</v>
      </c>
      <c r="W116">
        <v>0</v>
      </c>
      <c r="X116">
        <v>0</v>
      </c>
      <c r="Y116">
        <v>0</v>
      </c>
      <c r="Z116" t="s">
        <v>2928</v>
      </c>
    </row>
    <row r="117" spans="1:26" x14ac:dyDescent="0.25">
      <c r="A117">
        <v>68</v>
      </c>
      <c r="B117" t="s">
        <v>1545</v>
      </c>
      <c r="C117" t="s">
        <v>32</v>
      </c>
      <c r="D117" t="s">
        <v>3002</v>
      </c>
      <c r="E117">
        <v>4311</v>
      </c>
      <c r="F117" t="s">
        <v>3003</v>
      </c>
      <c r="G117" t="s">
        <v>3004</v>
      </c>
      <c r="H117" t="s">
        <v>3005</v>
      </c>
      <c r="I117" t="s">
        <v>3006</v>
      </c>
      <c r="L117" t="b">
        <v>1</v>
      </c>
      <c r="M117" t="s">
        <v>44</v>
      </c>
      <c r="N117" t="s">
        <v>32</v>
      </c>
      <c r="P117" t="s">
        <v>579</v>
      </c>
      <c r="Q117">
        <v>1</v>
      </c>
      <c r="R117">
        <v>3</v>
      </c>
      <c r="S117">
        <v>0.85</v>
      </c>
      <c r="T117">
        <v>4000000</v>
      </c>
      <c r="U117">
        <v>4000000</v>
      </c>
      <c r="V117">
        <v>1</v>
      </c>
      <c r="W117">
        <v>0</v>
      </c>
      <c r="X117">
        <v>34000</v>
      </c>
      <c r="Y117">
        <v>34000</v>
      </c>
      <c r="Z117" t="s">
        <v>2869</v>
      </c>
    </row>
    <row r="118" spans="1:26" x14ac:dyDescent="0.25">
      <c r="A118">
        <v>68</v>
      </c>
      <c r="B118" t="s">
        <v>1545</v>
      </c>
      <c r="C118" t="s">
        <v>32</v>
      </c>
      <c r="D118" t="s">
        <v>3034</v>
      </c>
      <c r="E118">
        <v>159173</v>
      </c>
      <c r="F118" t="s">
        <v>3035</v>
      </c>
      <c r="G118" t="s">
        <v>3036</v>
      </c>
      <c r="H118" t="s">
        <v>1233</v>
      </c>
      <c r="I118" t="s">
        <v>3036</v>
      </c>
      <c r="L118" t="b">
        <v>0</v>
      </c>
      <c r="M118" t="s">
        <v>31</v>
      </c>
      <c r="N118" t="s">
        <v>32</v>
      </c>
      <c r="P118" t="s">
        <v>579</v>
      </c>
      <c r="Q118">
        <v>1</v>
      </c>
      <c r="R118">
        <v>3</v>
      </c>
      <c r="S118">
        <v>27.5</v>
      </c>
      <c r="T118">
        <v>162862</v>
      </c>
      <c r="U118">
        <v>162862</v>
      </c>
      <c r="V118">
        <v>1</v>
      </c>
      <c r="W118">
        <v>0</v>
      </c>
      <c r="X118">
        <v>44787.05</v>
      </c>
      <c r="Y118">
        <v>44787.05</v>
      </c>
      <c r="Z118" t="s">
        <v>2928</v>
      </c>
    </row>
    <row r="119" spans="1:26" x14ac:dyDescent="0.25">
      <c r="A119">
        <v>11</v>
      </c>
      <c r="B119" t="s">
        <v>1781</v>
      </c>
      <c r="C119" t="s">
        <v>26</v>
      </c>
      <c r="D119" t="s">
        <v>2965</v>
      </c>
      <c r="E119">
        <v>160766</v>
      </c>
      <c r="F119" t="s">
        <v>2966</v>
      </c>
      <c r="G119" t="s">
        <v>2967</v>
      </c>
      <c r="H119" t="s">
        <v>1076</v>
      </c>
      <c r="I119" t="s">
        <v>2967</v>
      </c>
      <c r="L119" t="b">
        <v>0</v>
      </c>
      <c r="M119" t="s">
        <v>50</v>
      </c>
      <c r="N119" t="s">
        <v>32</v>
      </c>
      <c r="O119" t="s">
        <v>26</v>
      </c>
      <c r="P119" t="s">
        <v>33</v>
      </c>
      <c r="Q119">
        <v>1</v>
      </c>
      <c r="R119">
        <v>3</v>
      </c>
      <c r="S119">
        <v>39.369999999999997</v>
      </c>
      <c r="T119">
        <v>3089878</v>
      </c>
      <c r="U119">
        <v>3089878</v>
      </c>
      <c r="V119">
        <v>1</v>
      </c>
      <c r="W119">
        <v>12783305.939999999</v>
      </c>
      <c r="X119">
        <v>1132377189.8699999</v>
      </c>
      <c r="Y119">
        <v>1145160495.8099999</v>
      </c>
      <c r="Z119" t="s">
        <v>2869</v>
      </c>
    </row>
    <row r="120" spans="1:26" x14ac:dyDescent="0.25">
      <c r="A120">
        <v>68</v>
      </c>
      <c r="B120" t="s">
        <v>1545</v>
      </c>
      <c r="C120" t="s">
        <v>32</v>
      </c>
      <c r="D120" t="s">
        <v>3044</v>
      </c>
      <c r="E120">
        <v>32259</v>
      </c>
      <c r="F120" t="s">
        <v>3045</v>
      </c>
      <c r="G120" t="s">
        <v>3046</v>
      </c>
      <c r="H120" t="s">
        <v>1291</v>
      </c>
      <c r="I120" t="s">
        <v>3046</v>
      </c>
      <c r="L120" t="b">
        <v>0</v>
      </c>
      <c r="M120" t="s">
        <v>31</v>
      </c>
      <c r="N120" t="s">
        <v>32</v>
      </c>
      <c r="P120" t="s">
        <v>579</v>
      </c>
      <c r="Q120">
        <v>1</v>
      </c>
      <c r="R120">
        <v>3</v>
      </c>
      <c r="S120">
        <v>10</v>
      </c>
      <c r="T120">
        <v>250000</v>
      </c>
      <c r="U120">
        <v>250000</v>
      </c>
      <c r="V120">
        <v>1</v>
      </c>
      <c r="W120">
        <v>0</v>
      </c>
      <c r="X120">
        <v>25000</v>
      </c>
      <c r="Y120">
        <v>25000</v>
      </c>
      <c r="Z120" t="s">
        <v>2869</v>
      </c>
    </row>
    <row r="121" spans="1:26" x14ac:dyDescent="0.25">
      <c r="A121">
        <v>68</v>
      </c>
      <c r="B121" t="s">
        <v>1545</v>
      </c>
      <c r="C121" t="s">
        <v>32</v>
      </c>
      <c r="D121" t="s">
        <v>3089</v>
      </c>
      <c r="E121">
        <v>161099</v>
      </c>
      <c r="F121" t="s">
        <v>3090</v>
      </c>
      <c r="G121" t="s">
        <v>3091</v>
      </c>
      <c r="H121" t="s">
        <v>1499</v>
      </c>
      <c r="I121" t="s">
        <v>3091</v>
      </c>
      <c r="L121" t="b">
        <v>0</v>
      </c>
      <c r="M121" t="s">
        <v>31</v>
      </c>
      <c r="N121" t="s">
        <v>32</v>
      </c>
      <c r="P121" t="s">
        <v>579</v>
      </c>
      <c r="Q121">
        <v>1</v>
      </c>
      <c r="R121">
        <v>3</v>
      </c>
      <c r="S121">
        <v>0</v>
      </c>
      <c r="T121">
        <v>40000</v>
      </c>
      <c r="U121">
        <v>40000</v>
      </c>
      <c r="V121">
        <v>1</v>
      </c>
      <c r="W121">
        <v>0</v>
      </c>
      <c r="X121">
        <v>0</v>
      </c>
      <c r="Y121">
        <v>0</v>
      </c>
      <c r="Z121" t="s">
        <v>2869</v>
      </c>
    </row>
    <row r="122" spans="1:26" x14ac:dyDescent="0.25">
      <c r="A122">
        <v>68</v>
      </c>
      <c r="B122" t="s">
        <v>1545</v>
      </c>
      <c r="C122" t="s">
        <v>32</v>
      </c>
      <c r="D122" t="s">
        <v>3092</v>
      </c>
      <c r="E122">
        <v>205354</v>
      </c>
      <c r="F122" t="s">
        <v>3093</v>
      </c>
      <c r="G122" t="s">
        <v>3094</v>
      </c>
      <c r="H122" t="s">
        <v>1499</v>
      </c>
      <c r="I122" t="s">
        <v>3094</v>
      </c>
      <c r="L122" t="b">
        <v>0</v>
      </c>
      <c r="M122" t="s">
        <v>31</v>
      </c>
      <c r="N122" t="s">
        <v>32</v>
      </c>
      <c r="P122" t="s">
        <v>579</v>
      </c>
      <c r="Q122">
        <v>1</v>
      </c>
      <c r="R122">
        <v>3</v>
      </c>
      <c r="S122">
        <v>0</v>
      </c>
      <c r="T122">
        <v>34357</v>
      </c>
      <c r="U122">
        <v>34357</v>
      </c>
      <c r="V122">
        <v>1</v>
      </c>
      <c r="W122">
        <v>0</v>
      </c>
      <c r="X122">
        <v>0</v>
      </c>
      <c r="Y122">
        <v>0</v>
      </c>
      <c r="Z122" t="s">
        <v>2869</v>
      </c>
    </row>
    <row r="123" spans="1:26" x14ac:dyDescent="0.25">
      <c r="A123">
        <v>68</v>
      </c>
      <c r="B123" t="s">
        <v>1545</v>
      </c>
      <c r="C123" t="s">
        <v>32</v>
      </c>
      <c r="D123" t="s">
        <v>3095</v>
      </c>
      <c r="E123">
        <v>181048</v>
      </c>
      <c r="F123" t="s">
        <v>3096</v>
      </c>
      <c r="G123" t="s">
        <v>3097</v>
      </c>
      <c r="H123" t="s">
        <v>1499</v>
      </c>
      <c r="I123" t="s">
        <v>3097</v>
      </c>
      <c r="L123" t="b">
        <v>0</v>
      </c>
      <c r="M123" t="s">
        <v>31</v>
      </c>
      <c r="N123" t="s">
        <v>32</v>
      </c>
      <c r="P123" t="s">
        <v>579</v>
      </c>
      <c r="Q123">
        <v>1</v>
      </c>
      <c r="R123">
        <v>3</v>
      </c>
      <c r="S123">
        <v>0</v>
      </c>
      <c r="T123">
        <v>34357</v>
      </c>
      <c r="U123">
        <v>34357</v>
      </c>
      <c r="V123">
        <v>1</v>
      </c>
      <c r="W123">
        <v>0</v>
      </c>
      <c r="X123">
        <v>0</v>
      </c>
      <c r="Y123">
        <v>0</v>
      </c>
      <c r="Z123" t="s">
        <v>2869</v>
      </c>
    </row>
    <row r="124" spans="1:26" x14ac:dyDescent="0.25">
      <c r="A124">
        <v>68</v>
      </c>
      <c r="B124" t="s">
        <v>1545</v>
      </c>
      <c r="C124" t="s">
        <v>32</v>
      </c>
      <c r="D124" t="s">
        <v>3118</v>
      </c>
      <c r="E124">
        <v>161091</v>
      </c>
      <c r="F124" t="s">
        <v>3119</v>
      </c>
      <c r="G124" t="s">
        <v>3120</v>
      </c>
      <c r="H124" t="s">
        <v>1656</v>
      </c>
      <c r="I124" t="s">
        <v>3121</v>
      </c>
      <c r="J124" t="s">
        <v>3119</v>
      </c>
      <c r="K124" t="s">
        <v>3122</v>
      </c>
      <c r="L124" t="b">
        <v>1</v>
      </c>
      <c r="M124" t="s">
        <v>31</v>
      </c>
      <c r="N124" t="s">
        <v>32</v>
      </c>
      <c r="P124" t="s">
        <v>579</v>
      </c>
      <c r="Q124">
        <v>1</v>
      </c>
      <c r="R124">
        <v>3</v>
      </c>
      <c r="S124">
        <v>6</v>
      </c>
      <c r="T124">
        <v>664864</v>
      </c>
      <c r="U124">
        <v>664864</v>
      </c>
      <c r="V124">
        <v>1</v>
      </c>
      <c r="W124">
        <v>0</v>
      </c>
      <c r="X124">
        <v>39891.839999999989</v>
      </c>
      <c r="Y124">
        <v>39891.839999999989</v>
      </c>
      <c r="Z124" t="s">
        <v>2869</v>
      </c>
    </row>
    <row r="125" spans="1:26" x14ac:dyDescent="0.25">
      <c r="A125">
        <v>68</v>
      </c>
      <c r="B125" t="s">
        <v>1545</v>
      </c>
      <c r="C125" t="s">
        <v>32</v>
      </c>
      <c r="D125" t="s">
        <v>3123</v>
      </c>
      <c r="E125">
        <v>161001</v>
      </c>
      <c r="F125" t="s">
        <v>3124</v>
      </c>
      <c r="G125" t="s">
        <v>3125</v>
      </c>
      <c r="H125" t="s">
        <v>1656</v>
      </c>
      <c r="I125" t="s">
        <v>3126</v>
      </c>
      <c r="L125" t="b">
        <v>1</v>
      </c>
      <c r="M125" t="s">
        <v>31</v>
      </c>
      <c r="N125" t="s">
        <v>32</v>
      </c>
      <c r="P125" t="s">
        <v>579</v>
      </c>
      <c r="Q125">
        <v>1</v>
      </c>
      <c r="R125">
        <v>3</v>
      </c>
      <c r="S125">
        <v>2</v>
      </c>
      <c r="T125">
        <v>373812</v>
      </c>
      <c r="U125">
        <v>373812</v>
      </c>
      <c r="V125">
        <v>1</v>
      </c>
      <c r="W125">
        <v>0</v>
      </c>
      <c r="X125">
        <v>7476.24</v>
      </c>
      <c r="Y125">
        <v>7476.24</v>
      </c>
      <c r="Z125" t="s">
        <v>2869</v>
      </c>
    </row>
    <row r="126" spans="1:26" x14ac:dyDescent="0.25">
      <c r="A126">
        <v>2</v>
      </c>
      <c r="B126" t="s">
        <v>2174</v>
      </c>
      <c r="C126" t="s">
        <v>32</v>
      </c>
      <c r="D126" t="s">
        <v>3014</v>
      </c>
      <c r="E126">
        <v>441</v>
      </c>
      <c r="F126" t="s">
        <v>3015</v>
      </c>
      <c r="G126" t="s">
        <v>3016</v>
      </c>
      <c r="H126" t="s">
        <v>3017</v>
      </c>
      <c r="I126" t="s">
        <v>3016</v>
      </c>
      <c r="L126" t="b">
        <v>0</v>
      </c>
      <c r="M126" t="s">
        <v>3018</v>
      </c>
      <c r="N126" t="s">
        <v>32</v>
      </c>
      <c r="P126" t="s">
        <v>579</v>
      </c>
      <c r="Q126">
        <v>1</v>
      </c>
      <c r="R126">
        <v>3</v>
      </c>
      <c r="S126">
        <v>61</v>
      </c>
      <c r="T126">
        <v>5064849</v>
      </c>
      <c r="U126">
        <v>5064849</v>
      </c>
      <c r="V126">
        <v>1</v>
      </c>
      <c r="W126">
        <v>0</v>
      </c>
      <c r="X126">
        <v>3089557.89</v>
      </c>
      <c r="Y126">
        <v>3089557.89</v>
      </c>
      <c r="Z126" t="s">
        <v>2869</v>
      </c>
    </row>
    <row r="127" spans="1:26" x14ac:dyDescent="0.25">
      <c r="A127">
        <v>59</v>
      </c>
      <c r="B127" t="s">
        <v>2200</v>
      </c>
      <c r="C127" t="s">
        <v>32</v>
      </c>
      <c r="D127" t="s">
        <v>2926</v>
      </c>
      <c r="E127">
        <v>213458</v>
      </c>
      <c r="G127" t="s">
        <v>2927</v>
      </c>
      <c r="H127" t="s">
        <v>30</v>
      </c>
      <c r="I127" t="s">
        <v>2927</v>
      </c>
      <c r="L127" t="b">
        <v>0</v>
      </c>
      <c r="M127" t="s">
        <v>31</v>
      </c>
      <c r="N127" t="s">
        <v>358</v>
      </c>
      <c r="P127" t="s">
        <v>579</v>
      </c>
      <c r="Q127">
        <v>1</v>
      </c>
      <c r="R127">
        <v>3</v>
      </c>
      <c r="S127">
        <v>1244.4982997653001</v>
      </c>
      <c r="T127">
        <v>86975</v>
      </c>
      <c r="U127">
        <v>86975</v>
      </c>
      <c r="V127">
        <v>1</v>
      </c>
      <c r="W127">
        <v>0</v>
      </c>
      <c r="X127">
        <v>19969328.120000001</v>
      </c>
      <c r="Y127">
        <v>19969328.120000001</v>
      </c>
      <c r="Z127" t="s">
        <v>2928</v>
      </c>
    </row>
    <row r="128" spans="1:26" x14ac:dyDescent="0.25">
      <c r="A128">
        <v>59</v>
      </c>
      <c r="B128" t="s">
        <v>2200</v>
      </c>
      <c r="C128" t="s">
        <v>32</v>
      </c>
      <c r="D128" t="s">
        <v>2929</v>
      </c>
      <c r="E128">
        <v>213459</v>
      </c>
      <c r="G128" t="s">
        <v>2930</v>
      </c>
      <c r="H128" t="s">
        <v>30</v>
      </c>
      <c r="I128" t="s">
        <v>2930</v>
      </c>
      <c r="L128" t="b">
        <v>0</v>
      </c>
      <c r="M128" t="s">
        <v>31</v>
      </c>
      <c r="N128" t="s">
        <v>358</v>
      </c>
      <c r="P128" t="s">
        <v>579</v>
      </c>
      <c r="Q128">
        <v>1</v>
      </c>
      <c r="R128">
        <v>3</v>
      </c>
      <c r="S128">
        <v>1244.4982997653001</v>
      </c>
      <c r="T128">
        <v>191673</v>
      </c>
      <c r="U128">
        <v>191673</v>
      </c>
      <c r="V128">
        <v>1</v>
      </c>
      <c r="W128">
        <v>0</v>
      </c>
      <c r="X128">
        <v>44007830.169999987</v>
      </c>
      <c r="Y128">
        <v>44007830.169999987</v>
      </c>
      <c r="Z128" t="s">
        <v>2928</v>
      </c>
    </row>
    <row r="129" spans="1:26" x14ac:dyDescent="0.25">
      <c r="A129">
        <v>59</v>
      </c>
      <c r="B129" t="s">
        <v>2200</v>
      </c>
      <c r="C129" t="s">
        <v>32</v>
      </c>
      <c r="D129" t="s">
        <v>2931</v>
      </c>
      <c r="E129">
        <v>213460</v>
      </c>
      <c r="G129" t="s">
        <v>2932</v>
      </c>
      <c r="H129" t="s">
        <v>30</v>
      </c>
      <c r="I129" t="s">
        <v>2932</v>
      </c>
      <c r="L129" t="b">
        <v>0</v>
      </c>
      <c r="M129" t="s">
        <v>31</v>
      </c>
      <c r="N129" t="s">
        <v>358</v>
      </c>
      <c r="P129" t="s">
        <v>579</v>
      </c>
      <c r="Q129">
        <v>1</v>
      </c>
      <c r="R129">
        <v>3</v>
      </c>
      <c r="S129">
        <v>1244.4982997653001</v>
      </c>
      <c r="T129">
        <v>25763</v>
      </c>
      <c r="U129">
        <v>25763</v>
      </c>
      <c r="V129">
        <v>1</v>
      </c>
      <c r="W129">
        <v>0</v>
      </c>
      <c r="X129">
        <v>5915145.7399999993</v>
      </c>
      <c r="Y129">
        <v>5915145.7399999993</v>
      </c>
      <c r="Z129" t="s">
        <v>2928</v>
      </c>
    </row>
    <row r="130" spans="1:26" x14ac:dyDescent="0.25">
      <c r="A130">
        <v>59</v>
      </c>
      <c r="B130" t="s">
        <v>2200</v>
      </c>
      <c r="C130" t="s">
        <v>32</v>
      </c>
      <c r="D130" t="s">
        <v>2938</v>
      </c>
      <c r="E130">
        <v>157263</v>
      </c>
      <c r="F130" t="s">
        <v>2939</v>
      </c>
      <c r="G130" t="s">
        <v>2940</v>
      </c>
      <c r="H130" t="s">
        <v>2941</v>
      </c>
      <c r="I130" t="s">
        <v>2940</v>
      </c>
      <c r="L130" t="b">
        <v>0</v>
      </c>
      <c r="M130" t="s">
        <v>31</v>
      </c>
      <c r="N130" t="s">
        <v>32</v>
      </c>
      <c r="P130" t="s">
        <v>579</v>
      </c>
      <c r="Q130">
        <v>1</v>
      </c>
      <c r="R130">
        <v>3</v>
      </c>
      <c r="S130">
        <v>26.11</v>
      </c>
      <c r="T130">
        <v>981166.99699999997</v>
      </c>
      <c r="U130">
        <v>981166.99699999997</v>
      </c>
      <c r="V130">
        <v>1</v>
      </c>
      <c r="W130">
        <v>0</v>
      </c>
      <c r="X130">
        <v>256182.71</v>
      </c>
      <c r="Y130">
        <v>256182.71</v>
      </c>
      <c r="Z130" t="s">
        <v>2869</v>
      </c>
    </row>
    <row r="131" spans="1:26" x14ac:dyDescent="0.25">
      <c r="A131">
        <v>59</v>
      </c>
      <c r="B131" t="s">
        <v>2200</v>
      </c>
      <c r="C131" t="s">
        <v>32</v>
      </c>
      <c r="D131" t="s">
        <v>2946</v>
      </c>
      <c r="E131">
        <v>4286</v>
      </c>
      <c r="F131" t="s">
        <v>2947</v>
      </c>
      <c r="G131" t="s">
        <v>2948</v>
      </c>
      <c r="H131" t="s">
        <v>2949</v>
      </c>
      <c r="I131" t="s">
        <v>2950</v>
      </c>
      <c r="L131" t="b">
        <v>1</v>
      </c>
      <c r="M131" t="s">
        <v>81</v>
      </c>
      <c r="N131" t="s">
        <v>32</v>
      </c>
      <c r="P131" t="s">
        <v>579</v>
      </c>
      <c r="Q131">
        <v>1</v>
      </c>
      <c r="R131">
        <v>3</v>
      </c>
      <c r="S131">
        <v>0.376</v>
      </c>
      <c r="T131">
        <v>11882000</v>
      </c>
      <c r="U131">
        <v>11882000</v>
      </c>
      <c r="V131">
        <v>1</v>
      </c>
      <c r="W131">
        <v>0</v>
      </c>
      <c r="X131">
        <v>44676.319999999949</v>
      </c>
      <c r="Y131">
        <v>44676.319999999949</v>
      </c>
      <c r="Z131" t="s">
        <v>2869</v>
      </c>
    </row>
    <row r="132" spans="1:26" x14ac:dyDescent="0.25">
      <c r="A132">
        <v>59</v>
      </c>
      <c r="B132" t="s">
        <v>2200</v>
      </c>
      <c r="C132" t="s">
        <v>32</v>
      </c>
      <c r="D132" t="s">
        <v>2965</v>
      </c>
      <c r="E132">
        <v>160766</v>
      </c>
      <c r="F132" t="s">
        <v>2966</v>
      </c>
      <c r="G132" t="s">
        <v>2967</v>
      </c>
      <c r="H132" t="s">
        <v>1076</v>
      </c>
      <c r="I132" t="s">
        <v>2967</v>
      </c>
      <c r="L132" t="b">
        <v>0</v>
      </c>
      <c r="M132" t="s">
        <v>50</v>
      </c>
      <c r="N132" t="s">
        <v>32</v>
      </c>
      <c r="P132" t="s">
        <v>579</v>
      </c>
      <c r="Q132">
        <v>1</v>
      </c>
      <c r="R132">
        <v>3</v>
      </c>
      <c r="S132">
        <v>39.369999999999997</v>
      </c>
      <c r="T132">
        <v>28706819</v>
      </c>
      <c r="U132">
        <v>28706819</v>
      </c>
      <c r="V132">
        <v>1</v>
      </c>
      <c r="W132">
        <v>133965.15</v>
      </c>
      <c r="X132">
        <v>11301874.640000001</v>
      </c>
      <c r="Y132">
        <v>11435839.789999999</v>
      </c>
      <c r="Z132" t="s">
        <v>2869</v>
      </c>
    </row>
    <row r="133" spans="1:26" x14ac:dyDescent="0.25">
      <c r="A133">
        <v>59</v>
      </c>
      <c r="B133" t="s">
        <v>2200</v>
      </c>
      <c r="C133" t="s">
        <v>32</v>
      </c>
      <c r="D133" t="s">
        <v>2987</v>
      </c>
      <c r="E133">
        <v>204645</v>
      </c>
      <c r="F133" t="s">
        <v>2988</v>
      </c>
      <c r="G133" t="s">
        <v>2989</v>
      </c>
      <c r="H133" t="s">
        <v>1122</v>
      </c>
      <c r="I133" t="s">
        <v>2989</v>
      </c>
      <c r="L133" t="b">
        <v>0</v>
      </c>
      <c r="M133" t="s">
        <v>31</v>
      </c>
      <c r="N133" t="s">
        <v>32</v>
      </c>
      <c r="P133" t="s">
        <v>579</v>
      </c>
      <c r="Q133">
        <v>1</v>
      </c>
      <c r="R133">
        <v>3</v>
      </c>
      <c r="S133">
        <v>0</v>
      </c>
      <c r="T133">
        <v>112000</v>
      </c>
      <c r="U133">
        <v>112000</v>
      </c>
      <c r="V133">
        <v>1</v>
      </c>
      <c r="W133">
        <v>0</v>
      </c>
      <c r="X133">
        <v>0</v>
      </c>
      <c r="Y133">
        <v>0</v>
      </c>
      <c r="Z133" t="s">
        <v>2928</v>
      </c>
    </row>
    <row r="134" spans="1:26" x14ac:dyDescent="0.25">
      <c r="A134">
        <v>59</v>
      </c>
      <c r="B134" t="s">
        <v>2200</v>
      </c>
      <c r="C134" t="s">
        <v>32</v>
      </c>
      <c r="D134" t="s">
        <v>2990</v>
      </c>
      <c r="E134">
        <v>214791</v>
      </c>
      <c r="F134" t="s">
        <v>2991</v>
      </c>
      <c r="G134" t="s">
        <v>2992</v>
      </c>
      <c r="H134" t="s">
        <v>1122</v>
      </c>
      <c r="I134" t="s">
        <v>2992</v>
      </c>
      <c r="L134" t="b">
        <v>0</v>
      </c>
      <c r="M134" t="s">
        <v>31</v>
      </c>
      <c r="N134" t="s">
        <v>32</v>
      </c>
      <c r="P134" t="s">
        <v>579</v>
      </c>
      <c r="Q134">
        <v>1</v>
      </c>
      <c r="R134">
        <v>3</v>
      </c>
      <c r="S134">
        <v>0</v>
      </c>
      <c r="T134">
        <v>112000</v>
      </c>
      <c r="U134">
        <v>112000</v>
      </c>
      <c r="V134">
        <v>1</v>
      </c>
      <c r="W134">
        <v>0</v>
      </c>
      <c r="X134">
        <v>0</v>
      </c>
      <c r="Y134">
        <v>0</v>
      </c>
      <c r="Z134" t="s">
        <v>2928</v>
      </c>
    </row>
    <row r="135" spans="1:26" x14ac:dyDescent="0.25">
      <c r="A135">
        <v>59</v>
      </c>
      <c r="B135" t="s">
        <v>2200</v>
      </c>
      <c r="C135" t="s">
        <v>32</v>
      </c>
      <c r="D135" t="s">
        <v>2993</v>
      </c>
      <c r="E135">
        <v>193873</v>
      </c>
      <c r="F135" t="s">
        <v>2994</v>
      </c>
      <c r="G135" t="s">
        <v>2995</v>
      </c>
      <c r="H135" t="s">
        <v>1122</v>
      </c>
      <c r="I135" t="s">
        <v>2995</v>
      </c>
      <c r="L135" t="b">
        <v>0</v>
      </c>
      <c r="M135" t="s">
        <v>31</v>
      </c>
      <c r="N135" t="s">
        <v>32</v>
      </c>
      <c r="P135" t="s">
        <v>579</v>
      </c>
      <c r="Q135">
        <v>1</v>
      </c>
      <c r="R135">
        <v>3</v>
      </c>
      <c r="S135">
        <v>0</v>
      </c>
      <c r="T135">
        <v>112000</v>
      </c>
      <c r="U135">
        <v>112000</v>
      </c>
      <c r="V135">
        <v>1</v>
      </c>
      <c r="W135">
        <v>0</v>
      </c>
      <c r="X135">
        <v>0</v>
      </c>
      <c r="Y135">
        <v>0</v>
      </c>
      <c r="Z135" t="s">
        <v>2928</v>
      </c>
    </row>
    <row r="136" spans="1:26" x14ac:dyDescent="0.25">
      <c r="A136">
        <v>59</v>
      </c>
      <c r="B136" t="s">
        <v>2200</v>
      </c>
      <c r="C136" t="s">
        <v>32</v>
      </c>
      <c r="D136" t="s">
        <v>2996</v>
      </c>
      <c r="E136">
        <v>181402</v>
      </c>
      <c r="F136" t="s">
        <v>2997</v>
      </c>
      <c r="G136" t="s">
        <v>2998</v>
      </c>
      <c r="H136" t="s">
        <v>1122</v>
      </c>
      <c r="I136" t="s">
        <v>2998</v>
      </c>
      <c r="L136" t="b">
        <v>0</v>
      </c>
      <c r="M136" t="s">
        <v>31</v>
      </c>
      <c r="N136" t="s">
        <v>32</v>
      </c>
      <c r="P136" t="s">
        <v>579</v>
      </c>
      <c r="Q136">
        <v>1</v>
      </c>
      <c r="R136">
        <v>3</v>
      </c>
      <c r="S136">
        <v>0</v>
      </c>
      <c r="T136">
        <v>81000</v>
      </c>
      <c r="U136">
        <v>81000</v>
      </c>
      <c r="V136">
        <v>1</v>
      </c>
      <c r="W136">
        <v>0</v>
      </c>
      <c r="X136">
        <v>0</v>
      </c>
      <c r="Y136">
        <v>0</v>
      </c>
      <c r="Z136" t="s">
        <v>2928</v>
      </c>
    </row>
    <row r="137" spans="1:26" x14ac:dyDescent="0.25">
      <c r="A137">
        <v>59</v>
      </c>
      <c r="B137" t="s">
        <v>2200</v>
      </c>
      <c r="C137" t="s">
        <v>32</v>
      </c>
      <c r="D137" t="s">
        <v>2999</v>
      </c>
      <c r="E137">
        <v>199992</v>
      </c>
      <c r="F137" t="s">
        <v>3000</v>
      </c>
      <c r="G137" t="s">
        <v>3001</v>
      </c>
      <c r="H137" t="s">
        <v>1132</v>
      </c>
      <c r="I137" t="s">
        <v>3001</v>
      </c>
      <c r="L137" t="b">
        <v>0</v>
      </c>
      <c r="M137" t="s">
        <v>112</v>
      </c>
      <c r="N137" t="s">
        <v>32</v>
      </c>
      <c r="P137" t="s">
        <v>579</v>
      </c>
      <c r="Q137">
        <v>1</v>
      </c>
      <c r="R137">
        <v>3</v>
      </c>
      <c r="S137">
        <v>0</v>
      </c>
      <c r="T137">
        <v>895181</v>
      </c>
      <c r="U137">
        <v>895181</v>
      </c>
      <c r="V137">
        <v>1</v>
      </c>
      <c r="W137">
        <v>0</v>
      </c>
      <c r="X137">
        <v>0</v>
      </c>
      <c r="Y137">
        <v>0</v>
      </c>
      <c r="Z137" t="s">
        <v>2928</v>
      </c>
    </row>
    <row r="138" spans="1:26" x14ac:dyDescent="0.25">
      <c r="A138">
        <v>59</v>
      </c>
      <c r="B138" t="s">
        <v>2200</v>
      </c>
      <c r="C138" t="s">
        <v>32</v>
      </c>
      <c r="D138" t="s">
        <v>3002</v>
      </c>
      <c r="E138">
        <v>4311</v>
      </c>
      <c r="F138" t="s">
        <v>3003</v>
      </c>
      <c r="G138" t="s">
        <v>3004</v>
      </c>
      <c r="H138" t="s">
        <v>3005</v>
      </c>
      <c r="I138" t="s">
        <v>3006</v>
      </c>
      <c r="L138" t="b">
        <v>1</v>
      </c>
      <c r="M138" t="s">
        <v>44</v>
      </c>
      <c r="N138" t="s">
        <v>32</v>
      </c>
      <c r="P138" t="s">
        <v>579</v>
      </c>
      <c r="Q138">
        <v>1</v>
      </c>
      <c r="R138">
        <v>3</v>
      </c>
      <c r="S138">
        <v>0.85</v>
      </c>
      <c r="T138">
        <v>55845000</v>
      </c>
      <c r="U138">
        <v>55845000</v>
      </c>
      <c r="V138">
        <v>1</v>
      </c>
      <c r="W138">
        <v>0</v>
      </c>
      <c r="X138">
        <v>474682.50000000087</v>
      </c>
      <c r="Y138">
        <v>474682.50000000087</v>
      </c>
      <c r="Z138" t="s">
        <v>2869</v>
      </c>
    </row>
    <row r="139" spans="1:26" x14ac:dyDescent="0.25">
      <c r="A139">
        <v>59</v>
      </c>
      <c r="B139" t="s">
        <v>2200</v>
      </c>
      <c r="C139" t="s">
        <v>32</v>
      </c>
      <c r="D139" t="s">
        <v>3007</v>
      </c>
      <c r="E139">
        <v>840</v>
      </c>
      <c r="F139" t="s">
        <v>3008</v>
      </c>
      <c r="G139" t="s">
        <v>3009</v>
      </c>
      <c r="H139" t="s">
        <v>3010</v>
      </c>
      <c r="I139" t="s">
        <v>3009</v>
      </c>
      <c r="L139" t="b">
        <v>0</v>
      </c>
      <c r="M139" t="s">
        <v>44</v>
      </c>
      <c r="N139" t="s">
        <v>32</v>
      </c>
      <c r="P139" t="s">
        <v>579</v>
      </c>
      <c r="Q139">
        <v>1</v>
      </c>
      <c r="R139">
        <v>3</v>
      </c>
      <c r="S139">
        <v>0</v>
      </c>
      <c r="T139">
        <v>146688920</v>
      </c>
      <c r="U139">
        <v>146688920</v>
      </c>
      <c r="V139">
        <v>1</v>
      </c>
      <c r="W139">
        <v>0</v>
      </c>
      <c r="X139">
        <v>0</v>
      </c>
      <c r="Y139">
        <v>0</v>
      </c>
      <c r="Z139" t="s">
        <v>2928</v>
      </c>
    </row>
    <row r="140" spans="1:26" x14ac:dyDescent="0.25">
      <c r="A140">
        <v>59</v>
      </c>
      <c r="B140" t="s">
        <v>2200</v>
      </c>
      <c r="C140" t="s">
        <v>32</v>
      </c>
      <c r="D140" t="s">
        <v>3011</v>
      </c>
      <c r="E140">
        <v>841</v>
      </c>
      <c r="F140" t="s">
        <v>3012</v>
      </c>
      <c r="G140" t="s">
        <v>3013</v>
      </c>
      <c r="H140" t="s">
        <v>3010</v>
      </c>
      <c r="I140" t="s">
        <v>3013</v>
      </c>
      <c r="L140" t="b">
        <v>0</v>
      </c>
      <c r="M140" t="s">
        <v>44</v>
      </c>
      <c r="N140" t="s">
        <v>32</v>
      </c>
      <c r="P140" t="s">
        <v>579</v>
      </c>
      <c r="Q140">
        <v>1</v>
      </c>
      <c r="R140">
        <v>3</v>
      </c>
      <c r="S140">
        <v>0</v>
      </c>
      <c r="T140">
        <v>59732891</v>
      </c>
      <c r="U140">
        <v>59732891</v>
      </c>
      <c r="V140">
        <v>1</v>
      </c>
      <c r="W140">
        <v>0</v>
      </c>
      <c r="X140">
        <v>0</v>
      </c>
      <c r="Y140">
        <v>0</v>
      </c>
      <c r="Z140" t="s">
        <v>2928</v>
      </c>
    </row>
    <row r="141" spans="1:26" x14ac:dyDescent="0.25">
      <c r="A141">
        <v>59</v>
      </c>
      <c r="B141" t="s">
        <v>2200</v>
      </c>
      <c r="C141" t="s">
        <v>32</v>
      </c>
      <c r="D141" t="s">
        <v>3127</v>
      </c>
      <c r="E141">
        <v>151465</v>
      </c>
      <c r="F141" t="s">
        <v>2986</v>
      </c>
      <c r="G141" t="s">
        <v>3128</v>
      </c>
      <c r="H141" t="s">
        <v>1180</v>
      </c>
      <c r="I141" t="s">
        <v>2985</v>
      </c>
      <c r="J141" t="s">
        <v>2983</v>
      </c>
      <c r="K141" t="s">
        <v>2983</v>
      </c>
      <c r="L141" t="b">
        <v>1</v>
      </c>
      <c r="M141" t="s">
        <v>31</v>
      </c>
      <c r="N141" t="s">
        <v>32</v>
      </c>
      <c r="P141" t="s">
        <v>579</v>
      </c>
      <c r="Q141">
        <v>1</v>
      </c>
      <c r="R141">
        <v>3</v>
      </c>
      <c r="S141">
        <v>5.8250000000000002</v>
      </c>
      <c r="T141">
        <v>40000</v>
      </c>
      <c r="U141">
        <v>40000</v>
      </c>
      <c r="V141">
        <v>1</v>
      </c>
      <c r="W141">
        <v>0</v>
      </c>
      <c r="X141">
        <v>2330</v>
      </c>
      <c r="Y141">
        <v>2330</v>
      </c>
      <c r="Z141" t="s">
        <v>2928</v>
      </c>
    </row>
    <row r="142" spans="1:26" x14ac:dyDescent="0.25">
      <c r="A142">
        <v>59</v>
      </c>
      <c r="B142" t="s">
        <v>2200</v>
      </c>
      <c r="C142" t="s">
        <v>32</v>
      </c>
      <c r="D142" t="s">
        <v>3019</v>
      </c>
      <c r="E142">
        <v>31131</v>
      </c>
      <c r="F142" t="s">
        <v>3020</v>
      </c>
      <c r="G142" t="s">
        <v>3021</v>
      </c>
      <c r="H142" t="s">
        <v>1209</v>
      </c>
      <c r="I142" t="s">
        <v>3021</v>
      </c>
      <c r="L142" t="b">
        <v>0</v>
      </c>
      <c r="M142" t="s">
        <v>44</v>
      </c>
      <c r="N142" t="s">
        <v>32</v>
      </c>
      <c r="P142" t="s">
        <v>579</v>
      </c>
      <c r="Q142">
        <v>1</v>
      </c>
      <c r="R142">
        <v>3</v>
      </c>
      <c r="S142">
        <v>0</v>
      </c>
      <c r="T142">
        <v>498006</v>
      </c>
      <c r="U142">
        <v>498006</v>
      </c>
      <c r="V142">
        <v>1</v>
      </c>
      <c r="W142">
        <v>0</v>
      </c>
      <c r="X142">
        <v>0</v>
      </c>
      <c r="Y142">
        <v>0</v>
      </c>
      <c r="Z142" t="s">
        <v>2869</v>
      </c>
    </row>
    <row r="143" spans="1:26" x14ac:dyDescent="0.25">
      <c r="A143">
        <v>59</v>
      </c>
      <c r="B143" t="s">
        <v>2200</v>
      </c>
      <c r="C143" t="s">
        <v>32</v>
      </c>
      <c r="D143" t="s">
        <v>3022</v>
      </c>
      <c r="E143">
        <v>31130</v>
      </c>
      <c r="F143" t="s">
        <v>3023</v>
      </c>
      <c r="G143" t="s">
        <v>3024</v>
      </c>
      <c r="H143" t="s">
        <v>1209</v>
      </c>
      <c r="I143" t="s">
        <v>3024</v>
      </c>
      <c r="L143" t="b">
        <v>0</v>
      </c>
      <c r="M143" t="s">
        <v>44</v>
      </c>
      <c r="N143" t="s">
        <v>32</v>
      </c>
      <c r="P143" t="s">
        <v>579</v>
      </c>
      <c r="Q143">
        <v>1</v>
      </c>
      <c r="R143">
        <v>3</v>
      </c>
      <c r="S143">
        <v>0</v>
      </c>
      <c r="T143">
        <v>498007</v>
      </c>
      <c r="U143">
        <v>498007</v>
      </c>
      <c r="V143">
        <v>1</v>
      </c>
      <c r="W143">
        <v>0</v>
      </c>
      <c r="X143">
        <v>0</v>
      </c>
      <c r="Y143">
        <v>0</v>
      </c>
      <c r="Z143" t="s">
        <v>2869</v>
      </c>
    </row>
    <row r="144" spans="1:26" x14ac:dyDescent="0.25">
      <c r="A144">
        <v>59</v>
      </c>
      <c r="B144" t="s">
        <v>2200</v>
      </c>
      <c r="C144" t="s">
        <v>32</v>
      </c>
      <c r="D144" t="s">
        <v>3025</v>
      </c>
      <c r="E144">
        <v>31129</v>
      </c>
      <c r="F144" t="s">
        <v>3026</v>
      </c>
      <c r="G144" t="s">
        <v>3027</v>
      </c>
      <c r="H144" t="s">
        <v>1209</v>
      </c>
      <c r="I144" t="s">
        <v>3027</v>
      </c>
      <c r="L144" t="b">
        <v>0</v>
      </c>
      <c r="M144" t="s">
        <v>44</v>
      </c>
      <c r="N144" t="s">
        <v>32</v>
      </c>
      <c r="P144" t="s">
        <v>579</v>
      </c>
      <c r="Q144">
        <v>1</v>
      </c>
      <c r="R144">
        <v>3</v>
      </c>
      <c r="S144">
        <v>0</v>
      </c>
      <c r="T144">
        <v>498007</v>
      </c>
      <c r="U144">
        <v>498007</v>
      </c>
      <c r="V144">
        <v>1</v>
      </c>
      <c r="W144">
        <v>0</v>
      </c>
      <c r="X144">
        <v>0</v>
      </c>
      <c r="Y144">
        <v>0</v>
      </c>
      <c r="Z144" t="s">
        <v>2869</v>
      </c>
    </row>
    <row r="145" spans="1:26" x14ac:dyDescent="0.25">
      <c r="A145">
        <v>59</v>
      </c>
      <c r="B145" t="s">
        <v>2200</v>
      </c>
      <c r="C145" t="s">
        <v>32</v>
      </c>
      <c r="D145" t="s">
        <v>3028</v>
      </c>
      <c r="E145">
        <v>865</v>
      </c>
      <c r="F145" t="s">
        <v>3029</v>
      </c>
      <c r="G145" t="s">
        <v>3030</v>
      </c>
      <c r="H145" t="s">
        <v>1209</v>
      </c>
      <c r="I145" t="s">
        <v>3030</v>
      </c>
      <c r="L145" t="b">
        <v>0</v>
      </c>
      <c r="M145" t="s">
        <v>44</v>
      </c>
      <c r="N145" t="s">
        <v>32</v>
      </c>
      <c r="P145" t="s">
        <v>579</v>
      </c>
      <c r="Q145">
        <v>1</v>
      </c>
      <c r="R145">
        <v>3</v>
      </c>
      <c r="S145">
        <v>0</v>
      </c>
      <c r="T145">
        <v>498007</v>
      </c>
      <c r="U145">
        <v>498007</v>
      </c>
      <c r="V145">
        <v>1</v>
      </c>
      <c r="W145">
        <v>0</v>
      </c>
      <c r="X145">
        <v>0</v>
      </c>
      <c r="Y145">
        <v>0</v>
      </c>
      <c r="Z145" t="s">
        <v>2869</v>
      </c>
    </row>
    <row r="146" spans="1:26" x14ac:dyDescent="0.25">
      <c r="A146">
        <v>59</v>
      </c>
      <c r="B146" t="s">
        <v>2200</v>
      </c>
      <c r="C146" t="s">
        <v>32</v>
      </c>
      <c r="D146" t="s">
        <v>3031</v>
      </c>
      <c r="E146">
        <v>31128</v>
      </c>
      <c r="F146" t="s">
        <v>3032</v>
      </c>
      <c r="G146" t="s">
        <v>3033</v>
      </c>
      <c r="H146" t="s">
        <v>1209</v>
      </c>
      <c r="I146" t="s">
        <v>3033</v>
      </c>
      <c r="L146" t="b">
        <v>0</v>
      </c>
      <c r="M146" t="s">
        <v>44</v>
      </c>
      <c r="N146" t="s">
        <v>32</v>
      </c>
      <c r="P146" t="s">
        <v>579</v>
      </c>
      <c r="Q146">
        <v>1</v>
      </c>
      <c r="R146">
        <v>3</v>
      </c>
      <c r="S146">
        <v>0</v>
      </c>
      <c r="T146">
        <v>498007</v>
      </c>
      <c r="U146">
        <v>498007</v>
      </c>
      <c r="V146">
        <v>1</v>
      </c>
      <c r="W146">
        <v>0</v>
      </c>
      <c r="X146">
        <v>0</v>
      </c>
      <c r="Y146">
        <v>0</v>
      </c>
      <c r="Z146" t="s">
        <v>2869</v>
      </c>
    </row>
    <row r="147" spans="1:26" x14ac:dyDescent="0.25">
      <c r="A147">
        <v>59</v>
      </c>
      <c r="B147" t="s">
        <v>2200</v>
      </c>
      <c r="C147" t="s">
        <v>32</v>
      </c>
      <c r="D147" t="s">
        <v>3034</v>
      </c>
      <c r="E147">
        <v>159173</v>
      </c>
      <c r="F147" t="s">
        <v>3035</v>
      </c>
      <c r="G147" t="s">
        <v>3036</v>
      </c>
      <c r="H147" t="s">
        <v>1233</v>
      </c>
      <c r="I147" t="s">
        <v>3036</v>
      </c>
      <c r="L147" t="b">
        <v>0</v>
      </c>
      <c r="M147" t="s">
        <v>31</v>
      </c>
      <c r="N147" t="s">
        <v>32</v>
      </c>
      <c r="P147" t="s">
        <v>579</v>
      </c>
      <c r="Q147">
        <v>1</v>
      </c>
      <c r="R147">
        <v>3</v>
      </c>
      <c r="S147">
        <v>27.5</v>
      </c>
      <c r="T147">
        <v>5460708</v>
      </c>
      <c r="U147">
        <v>5460708</v>
      </c>
      <c r="V147">
        <v>1</v>
      </c>
      <c r="W147">
        <v>0</v>
      </c>
      <c r="X147">
        <v>1501694.7</v>
      </c>
      <c r="Y147">
        <v>1501694.7</v>
      </c>
      <c r="Z147" t="s">
        <v>2928</v>
      </c>
    </row>
    <row r="148" spans="1:26" x14ac:dyDescent="0.25">
      <c r="A148">
        <v>59</v>
      </c>
      <c r="B148" t="s">
        <v>2200</v>
      </c>
      <c r="C148" t="s">
        <v>32</v>
      </c>
      <c r="D148" t="s">
        <v>3037</v>
      </c>
      <c r="E148">
        <v>35811</v>
      </c>
      <c r="F148" t="s">
        <v>3038</v>
      </c>
      <c r="G148" t="s">
        <v>3039</v>
      </c>
      <c r="H148" t="s">
        <v>3040</v>
      </c>
      <c r="I148" t="s">
        <v>3039</v>
      </c>
      <c r="L148" t="b">
        <v>0</v>
      </c>
      <c r="M148" t="s">
        <v>31</v>
      </c>
      <c r="N148" t="s">
        <v>32</v>
      </c>
      <c r="P148" t="s">
        <v>579</v>
      </c>
      <c r="Q148">
        <v>1</v>
      </c>
      <c r="R148">
        <v>3</v>
      </c>
      <c r="S148">
        <v>5.4</v>
      </c>
      <c r="T148">
        <v>1588688</v>
      </c>
      <c r="U148">
        <v>1659880</v>
      </c>
      <c r="V148">
        <v>0.95709999999999995</v>
      </c>
      <c r="W148">
        <v>0</v>
      </c>
      <c r="X148">
        <v>85789.150000000009</v>
      </c>
      <c r="Y148">
        <v>85789.150000000009</v>
      </c>
      <c r="Z148" t="s">
        <v>2869</v>
      </c>
    </row>
    <row r="149" spans="1:26" x14ac:dyDescent="0.25">
      <c r="A149">
        <v>59</v>
      </c>
      <c r="B149" t="s">
        <v>2200</v>
      </c>
      <c r="C149" t="s">
        <v>32</v>
      </c>
      <c r="D149" t="s">
        <v>2864</v>
      </c>
      <c r="E149">
        <v>928</v>
      </c>
      <c r="F149" t="s">
        <v>2865</v>
      </c>
      <c r="G149" t="s">
        <v>2866</v>
      </c>
      <c r="H149" t="s">
        <v>2867</v>
      </c>
      <c r="I149" t="s">
        <v>2868</v>
      </c>
      <c r="L149" t="b">
        <v>1</v>
      </c>
      <c r="M149" t="s">
        <v>44</v>
      </c>
      <c r="N149" t="s">
        <v>32</v>
      </c>
      <c r="P149" t="s">
        <v>579</v>
      </c>
      <c r="Q149">
        <v>1</v>
      </c>
      <c r="R149">
        <v>3</v>
      </c>
      <c r="S149">
        <v>1</v>
      </c>
      <c r="T149">
        <v>32861000</v>
      </c>
      <c r="U149">
        <v>32861000</v>
      </c>
      <c r="V149">
        <v>1</v>
      </c>
      <c r="W149">
        <v>0</v>
      </c>
      <c r="X149">
        <v>328610</v>
      </c>
      <c r="Y149">
        <v>328610</v>
      </c>
      <c r="Z149" t="s">
        <v>2869</v>
      </c>
    </row>
    <row r="150" spans="1:26" x14ac:dyDescent="0.25">
      <c r="A150">
        <v>59</v>
      </c>
      <c r="B150" t="s">
        <v>2200</v>
      </c>
      <c r="C150" t="s">
        <v>32</v>
      </c>
      <c r="D150" t="s">
        <v>3041</v>
      </c>
      <c r="E150">
        <v>929</v>
      </c>
      <c r="F150" t="s">
        <v>3042</v>
      </c>
      <c r="G150" t="s">
        <v>3043</v>
      </c>
      <c r="H150" t="s">
        <v>2867</v>
      </c>
      <c r="I150" t="s">
        <v>3043</v>
      </c>
      <c r="L150" t="b">
        <v>0</v>
      </c>
      <c r="M150" t="s">
        <v>44</v>
      </c>
      <c r="N150" t="s">
        <v>32</v>
      </c>
      <c r="P150" t="s">
        <v>579</v>
      </c>
      <c r="Q150">
        <v>1</v>
      </c>
      <c r="R150">
        <v>3</v>
      </c>
      <c r="S150">
        <v>2.0321799999999999</v>
      </c>
      <c r="T150">
        <v>3615237.9980000001</v>
      </c>
      <c r="U150">
        <v>3615237.9980000001</v>
      </c>
      <c r="V150">
        <v>1</v>
      </c>
      <c r="W150">
        <v>0</v>
      </c>
      <c r="X150">
        <v>73468.139999999985</v>
      </c>
      <c r="Y150">
        <v>73468.139999999985</v>
      </c>
      <c r="Z150" t="s">
        <v>2869</v>
      </c>
    </row>
    <row r="151" spans="1:26" x14ac:dyDescent="0.25">
      <c r="A151">
        <v>59</v>
      </c>
      <c r="B151" t="s">
        <v>2200</v>
      </c>
      <c r="C151" t="s">
        <v>32</v>
      </c>
      <c r="D151" t="s">
        <v>3044</v>
      </c>
      <c r="E151">
        <v>32259</v>
      </c>
      <c r="F151" t="s">
        <v>3045</v>
      </c>
      <c r="G151" t="s">
        <v>3046</v>
      </c>
      <c r="H151" t="s">
        <v>1291</v>
      </c>
      <c r="I151" t="s">
        <v>3046</v>
      </c>
      <c r="L151" t="b">
        <v>0</v>
      </c>
      <c r="M151" t="s">
        <v>31</v>
      </c>
      <c r="N151" t="s">
        <v>32</v>
      </c>
      <c r="P151" t="s">
        <v>579</v>
      </c>
      <c r="Q151">
        <v>1</v>
      </c>
      <c r="R151">
        <v>3</v>
      </c>
      <c r="S151">
        <v>10</v>
      </c>
      <c r="T151">
        <v>930000</v>
      </c>
      <c r="U151">
        <v>930000</v>
      </c>
      <c r="V151">
        <v>1</v>
      </c>
      <c r="W151">
        <v>0</v>
      </c>
      <c r="X151">
        <v>93000</v>
      </c>
      <c r="Y151">
        <v>93000</v>
      </c>
      <c r="Z151" t="s">
        <v>2869</v>
      </c>
    </row>
    <row r="152" spans="1:26" x14ac:dyDescent="0.25">
      <c r="A152">
        <v>59</v>
      </c>
      <c r="B152" t="s">
        <v>2200</v>
      </c>
      <c r="C152" t="s">
        <v>32</v>
      </c>
      <c r="D152" t="s">
        <v>3129</v>
      </c>
      <c r="E152">
        <v>219502</v>
      </c>
      <c r="F152" t="s">
        <v>3130</v>
      </c>
      <c r="G152" t="s">
        <v>3131</v>
      </c>
      <c r="H152" t="s">
        <v>1209</v>
      </c>
      <c r="I152" t="s">
        <v>3131</v>
      </c>
      <c r="L152" t="b">
        <v>0</v>
      </c>
      <c r="M152" t="s">
        <v>44</v>
      </c>
      <c r="N152" t="s">
        <v>32</v>
      </c>
      <c r="P152" t="s">
        <v>579</v>
      </c>
      <c r="Q152">
        <v>1</v>
      </c>
      <c r="R152">
        <v>3</v>
      </c>
      <c r="S152">
        <v>100</v>
      </c>
      <c r="T152">
        <v>221408</v>
      </c>
      <c r="U152">
        <v>221408</v>
      </c>
      <c r="V152">
        <v>1</v>
      </c>
      <c r="W152">
        <v>0</v>
      </c>
      <c r="X152">
        <v>221408</v>
      </c>
      <c r="Y152">
        <v>221408</v>
      </c>
      <c r="Z152" t="s">
        <v>2928</v>
      </c>
    </row>
    <row r="153" spans="1:26" x14ac:dyDescent="0.25">
      <c r="A153">
        <v>59</v>
      </c>
      <c r="B153" t="s">
        <v>2200</v>
      </c>
      <c r="C153" t="s">
        <v>32</v>
      </c>
      <c r="D153" t="s">
        <v>3047</v>
      </c>
      <c r="E153">
        <v>941</v>
      </c>
      <c r="F153" t="s">
        <v>3048</v>
      </c>
      <c r="G153" t="s">
        <v>3049</v>
      </c>
      <c r="H153" t="s">
        <v>1209</v>
      </c>
      <c r="I153" t="s">
        <v>3049</v>
      </c>
      <c r="L153" t="b">
        <v>0</v>
      </c>
      <c r="M153" t="s">
        <v>44</v>
      </c>
      <c r="N153" t="s">
        <v>32</v>
      </c>
      <c r="P153" t="s">
        <v>579</v>
      </c>
      <c r="Q153">
        <v>1</v>
      </c>
      <c r="R153">
        <v>3</v>
      </c>
      <c r="S153">
        <v>5</v>
      </c>
      <c r="T153">
        <v>6397045</v>
      </c>
      <c r="U153">
        <v>6397045</v>
      </c>
      <c r="V153">
        <v>1</v>
      </c>
      <c r="W153">
        <v>0</v>
      </c>
      <c r="X153">
        <v>319852.24999999988</v>
      </c>
      <c r="Y153">
        <v>319852.24999999988</v>
      </c>
      <c r="Z153" t="s">
        <v>2869</v>
      </c>
    </row>
    <row r="154" spans="1:26" x14ac:dyDescent="0.25">
      <c r="A154">
        <v>59</v>
      </c>
      <c r="B154" t="s">
        <v>2200</v>
      </c>
      <c r="C154" t="s">
        <v>32</v>
      </c>
      <c r="D154" t="s">
        <v>3089</v>
      </c>
      <c r="E154">
        <v>161099</v>
      </c>
      <c r="F154" t="s">
        <v>3090</v>
      </c>
      <c r="G154" t="s">
        <v>3091</v>
      </c>
      <c r="H154" t="s">
        <v>1499</v>
      </c>
      <c r="I154" t="s">
        <v>3091</v>
      </c>
      <c r="L154" t="b">
        <v>0</v>
      </c>
      <c r="M154" t="s">
        <v>31</v>
      </c>
      <c r="N154" t="s">
        <v>32</v>
      </c>
      <c r="P154" t="s">
        <v>579</v>
      </c>
      <c r="Q154">
        <v>1</v>
      </c>
      <c r="R154">
        <v>3</v>
      </c>
      <c r="S154">
        <v>0</v>
      </c>
      <c r="T154">
        <v>600000</v>
      </c>
      <c r="U154">
        <v>600000</v>
      </c>
      <c r="V154">
        <v>1</v>
      </c>
      <c r="W154">
        <v>0</v>
      </c>
      <c r="X154">
        <v>0</v>
      </c>
      <c r="Y154">
        <v>0</v>
      </c>
      <c r="Z154" t="s">
        <v>2869</v>
      </c>
    </row>
    <row r="155" spans="1:26" x14ac:dyDescent="0.25">
      <c r="A155">
        <v>59</v>
      </c>
      <c r="B155" t="s">
        <v>2200</v>
      </c>
      <c r="C155" t="s">
        <v>32</v>
      </c>
      <c r="D155" t="s">
        <v>3095</v>
      </c>
      <c r="E155">
        <v>181048</v>
      </c>
      <c r="F155" t="s">
        <v>3096</v>
      </c>
      <c r="G155" t="s">
        <v>3097</v>
      </c>
      <c r="H155" t="s">
        <v>1499</v>
      </c>
      <c r="I155" t="s">
        <v>3097</v>
      </c>
      <c r="L155" t="b">
        <v>0</v>
      </c>
      <c r="M155" t="s">
        <v>31</v>
      </c>
      <c r="N155" t="s">
        <v>32</v>
      </c>
      <c r="P155" t="s">
        <v>579</v>
      </c>
      <c r="Q155">
        <v>1</v>
      </c>
      <c r="R155">
        <v>3</v>
      </c>
      <c r="S155">
        <v>0</v>
      </c>
      <c r="T155">
        <v>515356</v>
      </c>
      <c r="U155">
        <v>515356</v>
      </c>
      <c r="V155">
        <v>1</v>
      </c>
      <c r="W155">
        <v>0</v>
      </c>
      <c r="X155">
        <v>0</v>
      </c>
      <c r="Y155">
        <v>0</v>
      </c>
      <c r="Z155" t="s">
        <v>2869</v>
      </c>
    </row>
    <row r="156" spans="1:26" x14ac:dyDescent="0.25">
      <c r="A156">
        <v>59</v>
      </c>
      <c r="B156" t="s">
        <v>2200</v>
      </c>
      <c r="C156" t="s">
        <v>32</v>
      </c>
      <c r="D156" t="s">
        <v>3098</v>
      </c>
      <c r="E156">
        <v>135285</v>
      </c>
      <c r="F156" t="s">
        <v>3099</v>
      </c>
      <c r="G156" t="s">
        <v>3100</v>
      </c>
      <c r="H156" t="s">
        <v>3101</v>
      </c>
      <c r="I156" t="s">
        <v>3100</v>
      </c>
      <c r="L156" t="b">
        <v>0</v>
      </c>
      <c r="M156" t="s">
        <v>44</v>
      </c>
      <c r="N156" t="s">
        <v>32</v>
      </c>
      <c r="P156" t="s">
        <v>579</v>
      </c>
      <c r="Q156">
        <v>1</v>
      </c>
      <c r="R156">
        <v>3</v>
      </c>
      <c r="S156">
        <v>2.7</v>
      </c>
      <c r="T156">
        <v>35907000</v>
      </c>
      <c r="U156">
        <v>35907000</v>
      </c>
      <c r="V156">
        <v>1</v>
      </c>
      <c r="W156">
        <v>0</v>
      </c>
      <c r="X156">
        <v>969489</v>
      </c>
      <c r="Y156">
        <v>969489</v>
      </c>
      <c r="Z156" t="s">
        <v>2928</v>
      </c>
    </row>
    <row r="157" spans="1:26" x14ac:dyDescent="0.25">
      <c r="A157">
        <v>59</v>
      </c>
      <c r="B157" t="s">
        <v>2200</v>
      </c>
      <c r="C157" t="s">
        <v>32</v>
      </c>
      <c r="D157" t="s">
        <v>3106</v>
      </c>
      <c r="E157">
        <v>135284</v>
      </c>
      <c r="F157" t="s">
        <v>3107</v>
      </c>
      <c r="G157" t="s">
        <v>3108</v>
      </c>
      <c r="H157" t="s">
        <v>3101</v>
      </c>
      <c r="I157" t="s">
        <v>3108</v>
      </c>
      <c r="L157" t="b">
        <v>0</v>
      </c>
      <c r="M157" t="s">
        <v>44</v>
      </c>
      <c r="N157" t="s">
        <v>32</v>
      </c>
      <c r="P157" t="s">
        <v>579</v>
      </c>
      <c r="Q157">
        <v>1</v>
      </c>
      <c r="R157">
        <v>3</v>
      </c>
      <c r="S157">
        <v>2.7</v>
      </c>
      <c r="T157">
        <v>7667000</v>
      </c>
      <c r="U157">
        <v>7667000</v>
      </c>
      <c r="V157">
        <v>1</v>
      </c>
      <c r="W157">
        <v>0</v>
      </c>
      <c r="X157">
        <v>207009</v>
      </c>
      <c r="Y157">
        <v>207009</v>
      </c>
      <c r="Z157" t="s">
        <v>2928</v>
      </c>
    </row>
    <row r="158" spans="1:26" x14ac:dyDescent="0.25">
      <c r="A158">
        <v>59</v>
      </c>
      <c r="B158" t="s">
        <v>2200</v>
      </c>
      <c r="C158" t="s">
        <v>32</v>
      </c>
      <c r="D158" t="s">
        <v>3109</v>
      </c>
      <c r="E158">
        <v>135282</v>
      </c>
      <c r="F158" t="s">
        <v>3110</v>
      </c>
      <c r="G158" t="s">
        <v>3111</v>
      </c>
      <c r="H158" t="s">
        <v>3101</v>
      </c>
      <c r="I158" t="s">
        <v>3111</v>
      </c>
      <c r="L158" t="b">
        <v>0</v>
      </c>
      <c r="M158" t="s">
        <v>44</v>
      </c>
      <c r="N158" t="s">
        <v>32</v>
      </c>
      <c r="P158" t="s">
        <v>579</v>
      </c>
      <c r="Q158">
        <v>1</v>
      </c>
      <c r="R158">
        <v>3</v>
      </c>
      <c r="S158">
        <v>2.7</v>
      </c>
      <c r="T158">
        <v>35053000</v>
      </c>
      <c r="U158">
        <v>35053000</v>
      </c>
      <c r="V158">
        <v>1</v>
      </c>
      <c r="W158">
        <v>0</v>
      </c>
      <c r="X158">
        <v>946430.99999999953</v>
      </c>
      <c r="Y158">
        <v>946430.99999999953</v>
      </c>
      <c r="Z158" t="s">
        <v>2928</v>
      </c>
    </row>
    <row r="159" spans="1:26" x14ac:dyDescent="0.25">
      <c r="A159">
        <v>59</v>
      </c>
      <c r="B159" t="s">
        <v>2200</v>
      </c>
      <c r="C159" t="s">
        <v>32</v>
      </c>
      <c r="D159" t="s">
        <v>3112</v>
      </c>
      <c r="E159">
        <v>135280</v>
      </c>
      <c r="F159" t="s">
        <v>3113</v>
      </c>
      <c r="G159" t="s">
        <v>3114</v>
      </c>
      <c r="H159" t="s">
        <v>3101</v>
      </c>
      <c r="I159" t="s">
        <v>3114</v>
      </c>
      <c r="L159" t="b">
        <v>0</v>
      </c>
      <c r="M159" t="s">
        <v>44</v>
      </c>
      <c r="N159" t="s">
        <v>32</v>
      </c>
      <c r="P159" t="s">
        <v>579</v>
      </c>
      <c r="Q159">
        <v>1</v>
      </c>
      <c r="R159">
        <v>3</v>
      </c>
      <c r="S159">
        <v>2.7</v>
      </c>
      <c r="T159">
        <v>23481000</v>
      </c>
      <c r="U159">
        <v>23481000</v>
      </c>
      <c r="V159">
        <v>1</v>
      </c>
      <c r="W159">
        <v>0</v>
      </c>
      <c r="X159">
        <v>633986.99999999988</v>
      </c>
      <c r="Y159">
        <v>633986.99999999988</v>
      </c>
      <c r="Z159" t="s">
        <v>2928</v>
      </c>
    </row>
    <row r="160" spans="1:26" x14ac:dyDescent="0.25">
      <c r="A160">
        <v>59</v>
      </c>
      <c r="B160" t="s">
        <v>2200</v>
      </c>
      <c r="C160" t="s">
        <v>32</v>
      </c>
      <c r="D160" t="s">
        <v>3115</v>
      </c>
      <c r="E160">
        <v>135286</v>
      </c>
      <c r="F160" t="s">
        <v>3116</v>
      </c>
      <c r="G160" t="s">
        <v>3117</v>
      </c>
      <c r="H160" t="s">
        <v>3101</v>
      </c>
      <c r="I160" t="s">
        <v>3117</v>
      </c>
      <c r="L160" t="b">
        <v>0</v>
      </c>
      <c r="M160" t="s">
        <v>44</v>
      </c>
      <c r="N160" t="s">
        <v>32</v>
      </c>
      <c r="P160" t="s">
        <v>579</v>
      </c>
      <c r="Q160">
        <v>1</v>
      </c>
      <c r="R160">
        <v>3</v>
      </c>
      <c r="S160">
        <v>5.5</v>
      </c>
      <c r="T160">
        <v>17082000</v>
      </c>
      <c r="U160">
        <v>17082000</v>
      </c>
      <c r="V160">
        <v>1</v>
      </c>
      <c r="W160">
        <v>0</v>
      </c>
      <c r="X160">
        <v>939510</v>
      </c>
      <c r="Y160">
        <v>939510</v>
      </c>
      <c r="Z160" t="s">
        <v>2928</v>
      </c>
    </row>
    <row r="161" spans="1:26" x14ac:dyDescent="0.25">
      <c r="A161">
        <v>59</v>
      </c>
      <c r="B161" t="s">
        <v>2200</v>
      </c>
      <c r="C161" t="s">
        <v>32</v>
      </c>
      <c r="D161" t="s">
        <v>3118</v>
      </c>
      <c r="E161">
        <v>161091</v>
      </c>
      <c r="F161" t="s">
        <v>3119</v>
      </c>
      <c r="G161" t="s">
        <v>3120</v>
      </c>
      <c r="H161" t="s">
        <v>1656</v>
      </c>
      <c r="I161" t="s">
        <v>3121</v>
      </c>
      <c r="J161" t="s">
        <v>3119</v>
      </c>
      <c r="K161" t="s">
        <v>3122</v>
      </c>
      <c r="L161" t="b">
        <v>1</v>
      </c>
      <c r="M161" t="s">
        <v>31</v>
      </c>
      <c r="N161" t="s">
        <v>32</v>
      </c>
      <c r="P161" t="s">
        <v>579</v>
      </c>
      <c r="Q161">
        <v>1</v>
      </c>
      <c r="R161">
        <v>3</v>
      </c>
      <c r="S161">
        <v>16.975000000000001</v>
      </c>
      <c r="T161">
        <v>16038340</v>
      </c>
      <c r="U161">
        <v>16038340</v>
      </c>
      <c r="V161">
        <v>1</v>
      </c>
      <c r="W161">
        <v>0</v>
      </c>
      <c r="X161">
        <v>2722508.2200000011</v>
      </c>
      <c r="Y161">
        <v>2722508.2200000011</v>
      </c>
      <c r="Z161" t="s">
        <v>2869</v>
      </c>
    </row>
    <row r="162" spans="1:26" x14ac:dyDescent="0.25">
      <c r="A162">
        <v>59</v>
      </c>
      <c r="B162" t="s">
        <v>2200</v>
      </c>
      <c r="C162" t="s">
        <v>32</v>
      </c>
      <c r="D162" t="s">
        <v>3123</v>
      </c>
      <c r="E162">
        <v>161001</v>
      </c>
      <c r="F162" t="s">
        <v>3124</v>
      </c>
      <c r="G162" t="s">
        <v>3125</v>
      </c>
      <c r="H162" t="s">
        <v>1656</v>
      </c>
      <c r="I162" t="s">
        <v>3126</v>
      </c>
      <c r="L162" t="b">
        <v>1</v>
      </c>
      <c r="M162" t="s">
        <v>31</v>
      </c>
      <c r="N162" t="s">
        <v>32</v>
      </c>
      <c r="P162" t="s">
        <v>579</v>
      </c>
      <c r="Q162">
        <v>1</v>
      </c>
      <c r="R162">
        <v>3</v>
      </c>
      <c r="S162">
        <v>2</v>
      </c>
      <c r="T162">
        <v>38803915</v>
      </c>
      <c r="U162">
        <v>38803915</v>
      </c>
      <c r="V162">
        <v>1</v>
      </c>
      <c r="W162">
        <v>0</v>
      </c>
      <c r="X162">
        <v>776078.3</v>
      </c>
      <c r="Y162">
        <v>776078.3</v>
      </c>
      <c r="Z162" t="s">
        <v>2869</v>
      </c>
    </row>
    <row r="163" spans="1:26" x14ac:dyDescent="0.25">
      <c r="A163">
        <v>65</v>
      </c>
      <c r="B163" t="s">
        <v>2242</v>
      </c>
      <c r="C163" t="s">
        <v>32</v>
      </c>
      <c r="D163" t="s">
        <v>2946</v>
      </c>
      <c r="E163">
        <v>4286</v>
      </c>
      <c r="F163" t="s">
        <v>2947</v>
      </c>
      <c r="G163" t="s">
        <v>2948</v>
      </c>
      <c r="H163" t="s">
        <v>2949</v>
      </c>
      <c r="I163" t="s">
        <v>2950</v>
      </c>
      <c r="L163" t="b">
        <v>1</v>
      </c>
      <c r="M163" t="s">
        <v>81</v>
      </c>
      <c r="N163" t="s">
        <v>32</v>
      </c>
      <c r="P163" t="s">
        <v>579</v>
      </c>
      <c r="Q163">
        <v>1</v>
      </c>
      <c r="R163">
        <v>3</v>
      </c>
      <c r="S163">
        <v>0.376</v>
      </c>
      <c r="T163">
        <v>355000</v>
      </c>
      <c r="U163">
        <v>355000</v>
      </c>
      <c r="V163">
        <v>1</v>
      </c>
      <c r="W163">
        <v>0</v>
      </c>
      <c r="X163">
        <v>1334.799999999999</v>
      </c>
      <c r="Y163">
        <v>1334.799999999999</v>
      </c>
      <c r="Z163" t="s">
        <v>2869</v>
      </c>
    </row>
    <row r="164" spans="1:26" x14ac:dyDescent="0.25">
      <c r="A164">
        <v>65</v>
      </c>
      <c r="B164" t="s">
        <v>2242</v>
      </c>
      <c r="C164" t="s">
        <v>32</v>
      </c>
      <c r="D164" t="s">
        <v>2987</v>
      </c>
      <c r="E164">
        <v>204645</v>
      </c>
      <c r="F164" t="s">
        <v>2988</v>
      </c>
      <c r="G164" t="s">
        <v>2989</v>
      </c>
      <c r="H164" t="s">
        <v>1122</v>
      </c>
      <c r="I164" t="s">
        <v>2989</v>
      </c>
      <c r="L164" t="b">
        <v>0</v>
      </c>
      <c r="M164" t="s">
        <v>31</v>
      </c>
      <c r="N164" t="s">
        <v>32</v>
      </c>
      <c r="P164" t="s">
        <v>579</v>
      </c>
      <c r="Q164">
        <v>1</v>
      </c>
      <c r="R164">
        <v>3</v>
      </c>
      <c r="S164">
        <v>2.5000000000000001E-4</v>
      </c>
      <c r="T164">
        <v>4000</v>
      </c>
      <c r="U164">
        <v>4000</v>
      </c>
      <c r="V164">
        <v>1</v>
      </c>
      <c r="W164">
        <v>0</v>
      </c>
      <c r="X164">
        <v>1.00000000002183E-2</v>
      </c>
      <c r="Y164">
        <v>1.00000000002183E-2</v>
      </c>
      <c r="Z164" t="s">
        <v>2928</v>
      </c>
    </row>
    <row r="165" spans="1:26" x14ac:dyDescent="0.25">
      <c r="A165">
        <v>65</v>
      </c>
      <c r="B165" t="s">
        <v>2242</v>
      </c>
      <c r="C165" t="s">
        <v>32</v>
      </c>
      <c r="D165" t="s">
        <v>2990</v>
      </c>
      <c r="E165">
        <v>214791</v>
      </c>
      <c r="F165" t="s">
        <v>2991</v>
      </c>
      <c r="G165" t="s">
        <v>2992</v>
      </c>
      <c r="H165" t="s">
        <v>1122</v>
      </c>
      <c r="I165" t="s">
        <v>2992</v>
      </c>
      <c r="L165" t="b">
        <v>0</v>
      </c>
      <c r="M165" t="s">
        <v>31</v>
      </c>
      <c r="N165" t="s">
        <v>32</v>
      </c>
      <c r="P165" t="s">
        <v>579</v>
      </c>
      <c r="Q165">
        <v>1</v>
      </c>
      <c r="R165">
        <v>3</v>
      </c>
      <c r="S165">
        <v>2.5000000000000001E-4</v>
      </c>
      <c r="T165">
        <v>4000</v>
      </c>
      <c r="U165">
        <v>4000</v>
      </c>
      <c r="V165">
        <v>1</v>
      </c>
      <c r="W165">
        <v>0</v>
      </c>
      <c r="X165">
        <v>1.00000000002183E-2</v>
      </c>
      <c r="Y165">
        <v>1.00000000002183E-2</v>
      </c>
      <c r="Z165" t="s">
        <v>2928</v>
      </c>
    </row>
    <row r="166" spans="1:26" x14ac:dyDescent="0.25">
      <c r="A166">
        <v>65</v>
      </c>
      <c r="B166" t="s">
        <v>2242</v>
      </c>
      <c r="C166" t="s">
        <v>32</v>
      </c>
      <c r="D166" t="s">
        <v>2993</v>
      </c>
      <c r="E166">
        <v>193873</v>
      </c>
      <c r="F166" t="s">
        <v>2994</v>
      </c>
      <c r="G166" t="s">
        <v>2995</v>
      </c>
      <c r="H166" t="s">
        <v>1122</v>
      </c>
      <c r="I166" t="s">
        <v>2995</v>
      </c>
      <c r="L166" t="b">
        <v>0</v>
      </c>
      <c r="M166" t="s">
        <v>31</v>
      </c>
      <c r="N166" t="s">
        <v>32</v>
      </c>
      <c r="P166" t="s">
        <v>579</v>
      </c>
      <c r="Q166">
        <v>1</v>
      </c>
      <c r="R166">
        <v>3</v>
      </c>
      <c r="S166">
        <v>2.5000000000000001E-4</v>
      </c>
      <c r="T166">
        <v>4000</v>
      </c>
      <c r="U166">
        <v>4000</v>
      </c>
      <c r="V166">
        <v>1</v>
      </c>
      <c r="W166">
        <v>0</v>
      </c>
      <c r="X166">
        <v>1.00000000002183E-2</v>
      </c>
      <c r="Y166">
        <v>1.00000000002183E-2</v>
      </c>
      <c r="Z166" t="s">
        <v>2928</v>
      </c>
    </row>
    <row r="167" spans="1:26" x14ac:dyDescent="0.25">
      <c r="A167">
        <v>65</v>
      </c>
      <c r="B167" t="s">
        <v>2242</v>
      </c>
      <c r="C167" t="s">
        <v>32</v>
      </c>
      <c r="D167" t="s">
        <v>2996</v>
      </c>
      <c r="E167">
        <v>181402</v>
      </c>
      <c r="F167" t="s">
        <v>2997</v>
      </c>
      <c r="G167" t="s">
        <v>2998</v>
      </c>
      <c r="H167" t="s">
        <v>1122</v>
      </c>
      <c r="I167" t="s">
        <v>2998</v>
      </c>
      <c r="L167" t="b">
        <v>0</v>
      </c>
      <c r="M167" t="s">
        <v>31</v>
      </c>
      <c r="N167" t="s">
        <v>32</v>
      </c>
      <c r="P167" t="s">
        <v>579</v>
      </c>
      <c r="Q167">
        <v>1</v>
      </c>
      <c r="R167">
        <v>3</v>
      </c>
      <c r="S167">
        <v>2.7399999999999999E-4</v>
      </c>
      <c r="T167">
        <v>3645</v>
      </c>
      <c r="U167">
        <v>3645</v>
      </c>
      <c r="V167">
        <v>1</v>
      </c>
      <c r="W167">
        <v>0</v>
      </c>
      <c r="X167">
        <v>0.01</v>
      </c>
      <c r="Y167">
        <v>0.01</v>
      </c>
      <c r="Z167" t="s">
        <v>2928</v>
      </c>
    </row>
    <row r="168" spans="1:26" x14ac:dyDescent="0.25">
      <c r="A168">
        <v>65</v>
      </c>
      <c r="B168" t="s">
        <v>2242</v>
      </c>
      <c r="C168" t="s">
        <v>32</v>
      </c>
      <c r="D168" t="s">
        <v>2999</v>
      </c>
      <c r="E168">
        <v>199992</v>
      </c>
      <c r="F168" t="s">
        <v>3000</v>
      </c>
      <c r="G168" t="s">
        <v>3001</v>
      </c>
      <c r="H168" t="s">
        <v>1132</v>
      </c>
      <c r="I168" t="s">
        <v>3001</v>
      </c>
      <c r="L168" t="b">
        <v>0</v>
      </c>
      <c r="M168" t="s">
        <v>112</v>
      </c>
      <c r="N168" t="s">
        <v>32</v>
      </c>
      <c r="P168" t="s">
        <v>579</v>
      </c>
      <c r="Q168">
        <v>1</v>
      </c>
      <c r="R168">
        <v>3</v>
      </c>
      <c r="S168">
        <v>4.1999999999999998E-5</v>
      </c>
      <c r="T168">
        <v>23871</v>
      </c>
      <c r="U168">
        <v>23871</v>
      </c>
      <c r="V168">
        <v>1</v>
      </c>
      <c r="W168">
        <v>0</v>
      </c>
      <c r="X168">
        <v>0.01</v>
      </c>
      <c r="Y168">
        <v>0.01</v>
      </c>
      <c r="Z168" t="s">
        <v>2928</v>
      </c>
    </row>
    <row r="169" spans="1:26" x14ac:dyDescent="0.25">
      <c r="A169">
        <v>65</v>
      </c>
      <c r="B169" t="s">
        <v>2242</v>
      </c>
      <c r="C169" t="s">
        <v>32</v>
      </c>
      <c r="D169" t="s">
        <v>3002</v>
      </c>
      <c r="E169">
        <v>4311</v>
      </c>
      <c r="F169" t="s">
        <v>3003</v>
      </c>
      <c r="G169" t="s">
        <v>3004</v>
      </c>
      <c r="H169" t="s">
        <v>3005</v>
      </c>
      <c r="I169" t="s">
        <v>3006</v>
      </c>
      <c r="L169" t="b">
        <v>1</v>
      </c>
      <c r="M169" t="s">
        <v>44</v>
      </c>
      <c r="N169" t="s">
        <v>32</v>
      </c>
      <c r="P169" t="s">
        <v>579</v>
      </c>
      <c r="Q169">
        <v>1</v>
      </c>
      <c r="R169">
        <v>3</v>
      </c>
      <c r="S169">
        <v>0.85</v>
      </c>
      <c r="T169">
        <v>3156000</v>
      </c>
      <c r="U169">
        <v>3156000</v>
      </c>
      <c r="V169">
        <v>1</v>
      </c>
      <c r="W169">
        <v>0</v>
      </c>
      <c r="X169">
        <v>26826</v>
      </c>
      <c r="Y169">
        <v>26826</v>
      </c>
      <c r="Z169" t="s">
        <v>2869</v>
      </c>
    </row>
    <row r="170" spans="1:26" x14ac:dyDescent="0.25">
      <c r="A170">
        <v>65</v>
      </c>
      <c r="B170" t="s">
        <v>2242</v>
      </c>
      <c r="C170" t="s">
        <v>32</v>
      </c>
      <c r="D170" t="s">
        <v>3127</v>
      </c>
      <c r="E170">
        <v>151465</v>
      </c>
      <c r="F170" t="s">
        <v>2986</v>
      </c>
      <c r="G170" t="s">
        <v>3128</v>
      </c>
      <c r="H170" t="s">
        <v>1180</v>
      </c>
      <c r="I170" t="s">
        <v>2985</v>
      </c>
      <c r="J170" t="s">
        <v>2983</v>
      </c>
      <c r="K170" t="s">
        <v>2983</v>
      </c>
      <c r="L170" t="b">
        <v>1</v>
      </c>
      <c r="M170" t="s">
        <v>31</v>
      </c>
      <c r="N170" t="s">
        <v>32</v>
      </c>
      <c r="P170" t="s">
        <v>579</v>
      </c>
      <c r="Q170">
        <v>1</v>
      </c>
      <c r="R170">
        <v>3</v>
      </c>
      <c r="S170">
        <v>5.8250000000000002</v>
      </c>
      <c r="T170">
        <v>1000000</v>
      </c>
      <c r="U170">
        <v>1000000</v>
      </c>
      <c r="V170">
        <v>1</v>
      </c>
      <c r="W170">
        <v>0</v>
      </c>
      <c r="X170">
        <v>58250</v>
      </c>
      <c r="Y170">
        <v>58250</v>
      </c>
      <c r="Z170" t="s">
        <v>2928</v>
      </c>
    </row>
    <row r="171" spans="1:26" x14ac:dyDescent="0.25">
      <c r="A171">
        <v>65</v>
      </c>
      <c r="B171" t="s">
        <v>2242</v>
      </c>
      <c r="C171" t="s">
        <v>32</v>
      </c>
      <c r="D171" t="s">
        <v>3034</v>
      </c>
      <c r="E171">
        <v>159173</v>
      </c>
      <c r="F171" t="s">
        <v>3035</v>
      </c>
      <c r="G171" t="s">
        <v>3036</v>
      </c>
      <c r="H171" t="s">
        <v>1233</v>
      </c>
      <c r="I171" t="s">
        <v>3036</v>
      </c>
      <c r="L171" t="b">
        <v>0</v>
      </c>
      <c r="M171" t="s">
        <v>31</v>
      </c>
      <c r="N171" t="s">
        <v>32</v>
      </c>
      <c r="P171" t="s">
        <v>579</v>
      </c>
      <c r="Q171">
        <v>1</v>
      </c>
      <c r="R171">
        <v>3</v>
      </c>
      <c r="S171">
        <v>27.500001000000001</v>
      </c>
      <c r="T171">
        <v>309441</v>
      </c>
      <c r="U171">
        <v>309441</v>
      </c>
      <c r="V171">
        <v>1</v>
      </c>
      <c r="W171">
        <v>0</v>
      </c>
      <c r="X171">
        <v>85096.28</v>
      </c>
      <c r="Y171">
        <v>85096.28</v>
      </c>
      <c r="Z171" t="s">
        <v>2928</v>
      </c>
    </row>
    <row r="172" spans="1:26" x14ac:dyDescent="0.25">
      <c r="A172">
        <v>65</v>
      </c>
      <c r="B172" t="s">
        <v>2242</v>
      </c>
      <c r="C172" t="s">
        <v>32</v>
      </c>
      <c r="D172" t="s">
        <v>3044</v>
      </c>
      <c r="E172">
        <v>32259</v>
      </c>
      <c r="F172" t="s">
        <v>3045</v>
      </c>
      <c r="G172" t="s">
        <v>3046</v>
      </c>
      <c r="H172" t="s">
        <v>1291</v>
      </c>
      <c r="I172" t="s">
        <v>3046</v>
      </c>
      <c r="L172" t="b">
        <v>0</v>
      </c>
      <c r="M172" t="s">
        <v>31</v>
      </c>
      <c r="N172" t="s">
        <v>32</v>
      </c>
      <c r="P172" t="s">
        <v>579</v>
      </c>
      <c r="Q172">
        <v>1</v>
      </c>
      <c r="R172">
        <v>3</v>
      </c>
      <c r="S172">
        <v>5.6280000000000001</v>
      </c>
      <c r="T172">
        <v>400000</v>
      </c>
      <c r="U172">
        <v>400000</v>
      </c>
      <c r="V172">
        <v>1</v>
      </c>
      <c r="W172">
        <v>0</v>
      </c>
      <c r="X172">
        <v>22512</v>
      </c>
      <c r="Y172">
        <v>22512</v>
      </c>
      <c r="Z172" t="s">
        <v>2869</v>
      </c>
    </row>
    <row r="173" spans="1:26" x14ac:dyDescent="0.25">
      <c r="A173">
        <v>65</v>
      </c>
      <c r="B173" t="s">
        <v>2242</v>
      </c>
      <c r="C173" t="s">
        <v>32</v>
      </c>
      <c r="D173" t="s">
        <v>3089</v>
      </c>
      <c r="E173">
        <v>161099</v>
      </c>
      <c r="F173" t="s">
        <v>3090</v>
      </c>
      <c r="G173" t="s">
        <v>3091</v>
      </c>
      <c r="H173" t="s">
        <v>1499</v>
      </c>
      <c r="I173" t="s">
        <v>3091</v>
      </c>
      <c r="L173" t="b">
        <v>0</v>
      </c>
      <c r="M173" t="s">
        <v>31</v>
      </c>
      <c r="N173" t="s">
        <v>32</v>
      </c>
      <c r="P173" t="s">
        <v>579</v>
      </c>
      <c r="Q173">
        <v>1</v>
      </c>
      <c r="R173">
        <v>3</v>
      </c>
      <c r="S173">
        <v>4.6E-5</v>
      </c>
      <c r="T173">
        <v>21600</v>
      </c>
      <c r="U173">
        <v>21600</v>
      </c>
      <c r="V173">
        <v>1</v>
      </c>
      <c r="W173">
        <v>0</v>
      </c>
      <c r="X173">
        <v>9.9999999983992893E-3</v>
      </c>
      <c r="Y173">
        <v>9.9999999983992893E-3</v>
      </c>
      <c r="Z173" t="s">
        <v>2869</v>
      </c>
    </row>
    <row r="174" spans="1:26" x14ac:dyDescent="0.25">
      <c r="A174">
        <v>65</v>
      </c>
      <c r="B174" t="s">
        <v>2242</v>
      </c>
      <c r="C174" t="s">
        <v>32</v>
      </c>
      <c r="D174" t="s">
        <v>3092</v>
      </c>
      <c r="E174">
        <v>205354</v>
      </c>
      <c r="F174" t="s">
        <v>3093</v>
      </c>
      <c r="G174" t="s">
        <v>3094</v>
      </c>
      <c r="H174" t="s">
        <v>1499</v>
      </c>
      <c r="I174" t="s">
        <v>3094</v>
      </c>
      <c r="L174" t="b">
        <v>0</v>
      </c>
      <c r="M174" t="s">
        <v>31</v>
      </c>
      <c r="N174" t="s">
        <v>32</v>
      </c>
      <c r="P174" t="s">
        <v>579</v>
      </c>
      <c r="Q174">
        <v>1</v>
      </c>
      <c r="R174">
        <v>3</v>
      </c>
      <c r="S174">
        <v>5.3999999999999998E-5</v>
      </c>
      <c r="T174">
        <v>18553</v>
      </c>
      <c r="U174">
        <v>18553</v>
      </c>
      <c r="V174">
        <v>1</v>
      </c>
      <c r="W174">
        <v>0</v>
      </c>
      <c r="X174">
        <v>0.01</v>
      </c>
      <c r="Y174">
        <v>0.01</v>
      </c>
      <c r="Z174" t="s">
        <v>2869</v>
      </c>
    </row>
    <row r="175" spans="1:26" x14ac:dyDescent="0.25">
      <c r="A175">
        <v>65</v>
      </c>
      <c r="B175" t="s">
        <v>2242</v>
      </c>
      <c r="C175" t="s">
        <v>32</v>
      </c>
      <c r="D175" t="s">
        <v>3095</v>
      </c>
      <c r="E175">
        <v>181048</v>
      </c>
      <c r="F175" t="s">
        <v>3096</v>
      </c>
      <c r="G175" t="s">
        <v>3097</v>
      </c>
      <c r="H175" t="s">
        <v>1499</v>
      </c>
      <c r="I175" t="s">
        <v>3097</v>
      </c>
      <c r="L175" t="b">
        <v>0</v>
      </c>
      <c r="M175" t="s">
        <v>31</v>
      </c>
      <c r="N175" t="s">
        <v>32</v>
      </c>
      <c r="P175" t="s">
        <v>579</v>
      </c>
      <c r="Q175">
        <v>1</v>
      </c>
      <c r="R175">
        <v>3</v>
      </c>
      <c r="S175">
        <v>5.3999999999999998E-5</v>
      </c>
      <c r="T175">
        <v>18553</v>
      </c>
      <c r="U175">
        <v>18553</v>
      </c>
      <c r="V175">
        <v>1</v>
      </c>
      <c r="W175">
        <v>0</v>
      </c>
      <c r="X175">
        <v>0.01</v>
      </c>
      <c r="Y175">
        <v>0.01</v>
      </c>
      <c r="Z175" t="s">
        <v>2869</v>
      </c>
    </row>
    <row r="176" spans="1:26" x14ac:dyDescent="0.25">
      <c r="A176">
        <v>65</v>
      </c>
      <c r="B176" t="s">
        <v>2242</v>
      </c>
      <c r="C176" t="s">
        <v>32</v>
      </c>
      <c r="D176" t="s">
        <v>3098</v>
      </c>
      <c r="E176">
        <v>135285</v>
      </c>
      <c r="F176" t="s">
        <v>3099</v>
      </c>
      <c r="G176" t="s">
        <v>3100</v>
      </c>
      <c r="H176" t="s">
        <v>3101</v>
      </c>
      <c r="I176" t="s">
        <v>3100</v>
      </c>
      <c r="L176" t="b">
        <v>0</v>
      </c>
      <c r="M176" t="s">
        <v>44</v>
      </c>
      <c r="N176" t="s">
        <v>32</v>
      </c>
      <c r="P176" t="s">
        <v>579</v>
      </c>
      <c r="Q176">
        <v>1</v>
      </c>
      <c r="R176">
        <v>3</v>
      </c>
      <c r="S176">
        <v>7.2309530000000004</v>
      </c>
      <c r="T176">
        <v>580000</v>
      </c>
      <c r="U176">
        <v>580000</v>
      </c>
      <c r="V176">
        <v>1</v>
      </c>
      <c r="W176">
        <v>0</v>
      </c>
      <c r="X176">
        <v>41939.530000000013</v>
      </c>
      <c r="Y176">
        <v>41939.530000000013</v>
      </c>
      <c r="Z176" t="s">
        <v>2928</v>
      </c>
    </row>
    <row r="177" spans="1:26" x14ac:dyDescent="0.25">
      <c r="A177">
        <v>65</v>
      </c>
      <c r="B177" t="s">
        <v>2242</v>
      </c>
      <c r="C177" t="s">
        <v>32</v>
      </c>
      <c r="D177" t="s">
        <v>3109</v>
      </c>
      <c r="E177">
        <v>135282</v>
      </c>
      <c r="F177" t="s">
        <v>3110</v>
      </c>
      <c r="G177" t="s">
        <v>3111</v>
      </c>
      <c r="H177" t="s">
        <v>3101</v>
      </c>
      <c r="I177" t="s">
        <v>3111</v>
      </c>
      <c r="L177" t="b">
        <v>0</v>
      </c>
      <c r="M177" t="s">
        <v>44</v>
      </c>
      <c r="N177" t="s">
        <v>32</v>
      </c>
      <c r="P177" t="s">
        <v>579</v>
      </c>
      <c r="Q177">
        <v>1</v>
      </c>
      <c r="R177">
        <v>3</v>
      </c>
      <c r="S177">
        <v>2.7</v>
      </c>
      <c r="T177">
        <v>700000</v>
      </c>
      <c r="U177">
        <v>700000</v>
      </c>
      <c r="V177">
        <v>1</v>
      </c>
      <c r="W177">
        <v>0</v>
      </c>
      <c r="X177">
        <v>18900</v>
      </c>
      <c r="Y177">
        <v>18900</v>
      </c>
      <c r="Z177" t="s">
        <v>2928</v>
      </c>
    </row>
    <row r="178" spans="1:26" x14ac:dyDescent="0.25">
      <c r="A178">
        <v>65</v>
      </c>
      <c r="B178" t="s">
        <v>2242</v>
      </c>
      <c r="C178" t="s">
        <v>32</v>
      </c>
      <c r="D178" t="s">
        <v>3112</v>
      </c>
      <c r="E178">
        <v>135280</v>
      </c>
      <c r="F178" t="s">
        <v>3113</v>
      </c>
      <c r="G178" t="s">
        <v>3114</v>
      </c>
      <c r="H178" t="s">
        <v>3101</v>
      </c>
      <c r="I178" t="s">
        <v>3114</v>
      </c>
      <c r="L178" t="b">
        <v>0</v>
      </c>
      <c r="M178" t="s">
        <v>44</v>
      </c>
      <c r="N178" t="s">
        <v>32</v>
      </c>
      <c r="P178" t="s">
        <v>579</v>
      </c>
      <c r="Q178">
        <v>1</v>
      </c>
      <c r="R178">
        <v>3</v>
      </c>
      <c r="S178">
        <v>5.5</v>
      </c>
      <c r="T178">
        <v>1890000</v>
      </c>
      <c r="U178">
        <v>1890000</v>
      </c>
      <c r="V178">
        <v>1</v>
      </c>
      <c r="W178">
        <v>0</v>
      </c>
      <c r="X178">
        <v>103950</v>
      </c>
      <c r="Y178">
        <v>103950</v>
      </c>
      <c r="Z178" t="s">
        <v>2928</v>
      </c>
    </row>
    <row r="179" spans="1:26" x14ac:dyDescent="0.25">
      <c r="A179">
        <v>65</v>
      </c>
      <c r="B179" t="s">
        <v>2242</v>
      </c>
      <c r="C179" t="s">
        <v>32</v>
      </c>
      <c r="D179" t="s">
        <v>3132</v>
      </c>
      <c r="E179">
        <v>161090</v>
      </c>
      <c r="F179" t="s">
        <v>3122</v>
      </c>
      <c r="G179" t="s">
        <v>3133</v>
      </c>
      <c r="H179" t="s">
        <v>1656</v>
      </c>
      <c r="I179" t="s">
        <v>3121</v>
      </c>
      <c r="J179" t="s">
        <v>3119</v>
      </c>
      <c r="K179" t="s">
        <v>3119</v>
      </c>
      <c r="L179" t="b">
        <v>1</v>
      </c>
      <c r="M179" t="s">
        <v>31</v>
      </c>
      <c r="N179" t="s">
        <v>32</v>
      </c>
      <c r="P179" t="s">
        <v>579</v>
      </c>
      <c r="Q179">
        <v>1</v>
      </c>
      <c r="R179">
        <v>3</v>
      </c>
      <c r="S179">
        <v>6</v>
      </c>
      <c r="T179">
        <v>108704</v>
      </c>
      <c r="U179">
        <v>108704</v>
      </c>
      <c r="V179">
        <v>1</v>
      </c>
      <c r="W179">
        <v>0</v>
      </c>
      <c r="X179">
        <v>6522.2399999999934</v>
      </c>
      <c r="Y179">
        <v>6522.2399999999934</v>
      </c>
      <c r="Z179" t="s">
        <v>2869</v>
      </c>
    </row>
    <row r="180" spans="1:26" x14ac:dyDescent="0.25">
      <c r="A180">
        <v>17</v>
      </c>
      <c r="B180" t="s">
        <v>124</v>
      </c>
      <c r="C180" t="s">
        <v>32</v>
      </c>
      <c r="D180" t="s">
        <v>3050</v>
      </c>
      <c r="E180">
        <v>209439</v>
      </c>
      <c r="F180" t="s">
        <v>3051</v>
      </c>
      <c r="G180" t="s">
        <v>3052</v>
      </c>
      <c r="H180" t="s">
        <v>1297</v>
      </c>
      <c r="I180" t="s">
        <v>3052</v>
      </c>
      <c r="L180" t="b">
        <v>0</v>
      </c>
      <c r="M180" t="s">
        <v>31</v>
      </c>
      <c r="N180" t="s">
        <v>358</v>
      </c>
      <c r="P180" t="s">
        <v>33</v>
      </c>
      <c r="Q180">
        <v>1</v>
      </c>
      <c r="R180">
        <v>3</v>
      </c>
      <c r="S180">
        <v>683.93780500000003</v>
      </c>
      <c r="T180">
        <v>13974</v>
      </c>
      <c r="U180">
        <v>13974</v>
      </c>
      <c r="V180">
        <v>1</v>
      </c>
      <c r="W180">
        <v>0</v>
      </c>
      <c r="X180">
        <v>1884000.65</v>
      </c>
      <c r="Y180">
        <v>1884000.65</v>
      </c>
      <c r="Z180" t="s">
        <v>2869</v>
      </c>
    </row>
    <row r="181" spans="1:26" x14ac:dyDescent="0.25">
      <c r="A181">
        <v>17</v>
      </c>
      <c r="B181" t="s">
        <v>124</v>
      </c>
      <c r="C181" t="s">
        <v>32</v>
      </c>
      <c r="D181" t="s">
        <v>3053</v>
      </c>
      <c r="E181">
        <v>209273</v>
      </c>
      <c r="F181" t="s">
        <v>3054</v>
      </c>
      <c r="G181" t="s">
        <v>3055</v>
      </c>
      <c r="H181" t="s">
        <v>1297</v>
      </c>
      <c r="I181" t="s">
        <v>3055</v>
      </c>
      <c r="L181" t="b">
        <v>0</v>
      </c>
      <c r="M181" t="s">
        <v>31</v>
      </c>
      <c r="N181" t="s">
        <v>358</v>
      </c>
      <c r="P181" t="s">
        <v>33</v>
      </c>
      <c r="Q181">
        <v>1</v>
      </c>
      <c r="R181">
        <v>3</v>
      </c>
      <c r="S181">
        <v>534.72803199999998</v>
      </c>
      <c r="T181">
        <v>653</v>
      </c>
      <c r="U181">
        <v>653</v>
      </c>
      <c r="V181">
        <v>1</v>
      </c>
      <c r="W181">
        <v>0</v>
      </c>
      <c r="X181">
        <v>68831.91</v>
      </c>
      <c r="Y181">
        <v>68831.91</v>
      </c>
      <c r="Z181" t="s">
        <v>2869</v>
      </c>
    </row>
    <row r="182" spans="1:26" x14ac:dyDescent="0.25">
      <c r="A182">
        <v>17</v>
      </c>
      <c r="B182" t="s">
        <v>124</v>
      </c>
      <c r="C182" t="s">
        <v>32</v>
      </c>
      <c r="D182" t="s">
        <v>3056</v>
      </c>
      <c r="E182">
        <v>226683</v>
      </c>
      <c r="F182" t="s">
        <v>3057</v>
      </c>
      <c r="G182" t="s">
        <v>3058</v>
      </c>
      <c r="H182" t="s">
        <v>1297</v>
      </c>
      <c r="I182" t="s">
        <v>3058</v>
      </c>
      <c r="L182" t="b">
        <v>0</v>
      </c>
      <c r="M182" t="s">
        <v>31</v>
      </c>
      <c r="N182" t="s">
        <v>358</v>
      </c>
      <c r="P182" t="s">
        <v>33</v>
      </c>
      <c r="Q182">
        <v>1</v>
      </c>
      <c r="R182">
        <v>3</v>
      </c>
      <c r="S182">
        <v>474.8218</v>
      </c>
      <c r="T182">
        <v>73</v>
      </c>
      <c r="U182">
        <v>73</v>
      </c>
      <c r="V182">
        <v>1</v>
      </c>
      <c r="W182">
        <v>0</v>
      </c>
      <c r="X182">
        <v>6832.7800000000007</v>
      </c>
      <c r="Y182">
        <v>6832.7800000000007</v>
      </c>
      <c r="Z182" t="s">
        <v>2869</v>
      </c>
    </row>
    <row r="183" spans="1:26" x14ac:dyDescent="0.25">
      <c r="A183">
        <v>17</v>
      </c>
      <c r="B183" t="s">
        <v>124</v>
      </c>
      <c r="C183" t="s">
        <v>32</v>
      </c>
      <c r="D183" t="s">
        <v>3059</v>
      </c>
      <c r="E183">
        <v>226684</v>
      </c>
      <c r="F183" t="s">
        <v>3060</v>
      </c>
      <c r="G183" t="s">
        <v>3061</v>
      </c>
      <c r="H183" t="s">
        <v>1297</v>
      </c>
      <c r="I183" t="s">
        <v>3061</v>
      </c>
      <c r="L183" t="b">
        <v>0</v>
      </c>
      <c r="M183" t="s">
        <v>31</v>
      </c>
      <c r="N183" t="s">
        <v>358</v>
      </c>
      <c r="P183" t="s">
        <v>33</v>
      </c>
      <c r="Q183">
        <v>1</v>
      </c>
      <c r="R183">
        <v>3</v>
      </c>
      <c r="S183">
        <v>563.93260299999997</v>
      </c>
      <c r="T183">
        <v>958</v>
      </c>
      <c r="U183">
        <v>958</v>
      </c>
      <c r="V183">
        <v>1</v>
      </c>
      <c r="W183">
        <v>0</v>
      </c>
      <c r="X183">
        <v>106496.76</v>
      </c>
      <c r="Y183">
        <v>106496.76</v>
      </c>
      <c r="Z183" t="s">
        <v>2869</v>
      </c>
    </row>
    <row r="184" spans="1:26" x14ac:dyDescent="0.25">
      <c r="A184">
        <v>17</v>
      </c>
      <c r="B184" t="s">
        <v>124</v>
      </c>
      <c r="C184" t="s">
        <v>32</v>
      </c>
      <c r="D184" t="s">
        <v>3062</v>
      </c>
      <c r="E184">
        <v>226685</v>
      </c>
      <c r="F184" t="s">
        <v>3063</v>
      </c>
      <c r="G184" t="s">
        <v>3064</v>
      </c>
      <c r="H184" t="s">
        <v>1297</v>
      </c>
      <c r="I184" t="s">
        <v>3064</v>
      </c>
      <c r="L184" t="b">
        <v>0</v>
      </c>
      <c r="M184" t="s">
        <v>31</v>
      </c>
      <c r="N184" t="s">
        <v>358</v>
      </c>
      <c r="P184" t="s">
        <v>33</v>
      </c>
      <c r="Q184">
        <v>1</v>
      </c>
      <c r="R184">
        <v>3</v>
      </c>
      <c r="S184">
        <v>491.70194199999997</v>
      </c>
      <c r="T184">
        <v>933</v>
      </c>
      <c r="U184">
        <v>933</v>
      </c>
      <c r="V184">
        <v>1</v>
      </c>
      <c r="W184">
        <v>0</v>
      </c>
      <c r="X184">
        <v>90433.069999999992</v>
      </c>
      <c r="Y184">
        <v>90433.069999999992</v>
      </c>
      <c r="Z184" t="s">
        <v>2869</v>
      </c>
    </row>
    <row r="185" spans="1:26" x14ac:dyDescent="0.25">
      <c r="A185">
        <v>17</v>
      </c>
      <c r="B185" t="s">
        <v>124</v>
      </c>
      <c r="C185" t="s">
        <v>32</v>
      </c>
      <c r="D185" t="s">
        <v>3134</v>
      </c>
      <c r="E185">
        <v>115460</v>
      </c>
      <c r="F185" t="s">
        <v>3135</v>
      </c>
      <c r="G185" t="s">
        <v>3136</v>
      </c>
      <c r="H185" t="s">
        <v>478</v>
      </c>
      <c r="I185" t="s">
        <v>3136</v>
      </c>
      <c r="L185" t="b">
        <v>0</v>
      </c>
      <c r="M185" t="s">
        <v>31</v>
      </c>
      <c r="N185" t="s">
        <v>358</v>
      </c>
      <c r="P185" t="s">
        <v>33</v>
      </c>
      <c r="Q185">
        <v>1</v>
      </c>
      <c r="R185">
        <v>3</v>
      </c>
      <c r="S185">
        <v>421.09361000000001</v>
      </c>
      <c r="T185">
        <v>18254</v>
      </c>
      <c r="U185">
        <v>18254</v>
      </c>
      <c r="V185">
        <v>1</v>
      </c>
      <c r="W185">
        <v>0</v>
      </c>
      <c r="X185">
        <v>1515236.4</v>
      </c>
      <c r="Y185">
        <v>1515236.4</v>
      </c>
      <c r="Z185" t="s">
        <v>2869</v>
      </c>
    </row>
    <row r="186" spans="1:26" x14ac:dyDescent="0.25">
      <c r="A186">
        <v>17</v>
      </c>
      <c r="B186" t="s">
        <v>124</v>
      </c>
      <c r="C186" t="s">
        <v>32</v>
      </c>
      <c r="D186" t="s">
        <v>3137</v>
      </c>
      <c r="E186">
        <v>115862</v>
      </c>
      <c r="F186" t="s">
        <v>3138</v>
      </c>
      <c r="G186" t="s">
        <v>3139</v>
      </c>
      <c r="H186" t="s">
        <v>3140</v>
      </c>
      <c r="I186" t="s">
        <v>3139</v>
      </c>
      <c r="L186" t="b">
        <v>0</v>
      </c>
      <c r="M186" t="s">
        <v>31</v>
      </c>
      <c r="N186" t="s">
        <v>358</v>
      </c>
      <c r="P186" t="s">
        <v>33</v>
      </c>
      <c r="Q186">
        <v>1</v>
      </c>
      <c r="R186">
        <v>3</v>
      </c>
      <c r="S186">
        <v>320.95928500000002</v>
      </c>
      <c r="T186">
        <v>16286</v>
      </c>
      <c r="U186">
        <v>16286</v>
      </c>
      <c r="V186">
        <v>1</v>
      </c>
      <c r="W186">
        <v>0</v>
      </c>
      <c r="X186">
        <v>1030405.28</v>
      </c>
      <c r="Y186">
        <v>1030405.28</v>
      </c>
      <c r="Z186" t="s">
        <v>2928</v>
      </c>
    </row>
    <row r="187" spans="1:26" x14ac:dyDescent="0.25">
      <c r="A187">
        <v>17</v>
      </c>
      <c r="B187" t="s">
        <v>124</v>
      </c>
      <c r="C187" t="s">
        <v>32</v>
      </c>
      <c r="D187" t="s">
        <v>3141</v>
      </c>
      <c r="E187">
        <v>130023</v>
      </c>
      <c r="F187" t="s">
        <v>3142</v>
      </c>
      <c r="G187" t="s">
        <v>3143</v>
      </c>
      <c r="H187" t="s">
        <v>3144</v>
      </c>
      <c r="I187" t="s">
        <v>3143</v>
      </c>
      <c r="L187" t="b">
        <v>0</v>
      </c>
      <c r="M187" t="s">
        <v>31</v>
      </c>
      <c r="N187" t="s">
        <v>358</v>
      </c>
      <c r="P187" t="s">
        <v>33</v>
      </c>
      <c r="Q187">
        <v>1</v>
      </c>
      <c r="R187">
        <v>3</v>
      </c>
      <c r="S187">
        <v>304.06119999999999</v>
      </c>
      <c r="T187">
        <v>10508</v>
      </c>
      <c r="U187">
        <v>10508</v>
      </c>
      <c r="V187">
        <v>1</v>
      </c>
      <c r="W187">
        <v>0</v>
      </c>
      <c r="X187">
        <v>629832.05999999982</v>
      </c>
      <c r="Y187">
        <v>629832.05999999982</v>
      </c>
      <c r="Z187" t="s">
        <v>2928</v>
      </c>
    </row>
    <row r="188" spans="1:26" x14ac:dyDescent="0.25">
      <c r="A188">
        <v>17</v>
      </c>
      <c r="B188" t="s">
        <v>124</v>
      </c>
      <c r="C188" t="s">
        <v>32</v>
      </c>
      <c r="D188" t="s">
        <v>3065</v>
      </c>
      <c r="E188">
        <v>205494</v>
      </c>
      <c r="F188" t="s">
        <v>3066</v>
      </c>
      <c r="G188" t="s">
        <v>3067</v>
      </c>
      <c r="H188" t="s">
        <v>1297</v>
      </c>
      <c r="I188" t="s">
        <v>3067</v>
      </c>
      <c r="L188" t="b">
        <v>0</v>
      </c>
      <c r="M188" t="s">
        <v>31</v>
      </c>
      <c r="N188" t="s">
        <v>358</v>
      </c>
      <c r="P188" t="s">
        <v>33</v>
      </c>
      <c r="Q188">
        <v>1</v>
      </c>
      <c r="R188">
        <v>3</v>
      </c>
      <c r="S188">
        <v>703.43796999999995</v>
      </c>
      <c r="T188">
        <v>63864</v>
      </c>
      <c r="U188">
        <v>63864</v>
      </c>
      <c r="V188">
        <v>1</v>
      </c>
      <c r="W188">
        <v>0</v>
      </c>
      <c r="X188">
        <v>8855755.5800000019</v>
      </c>
      <c r="Y188">
        <v>8855755.5800000019</v>
      </c>
      <c r="Z188" t="s">
        <v>2869</v>
      </c>
    </row>
    <row r="189" spans="1:26" x14ac:dyDescent="0.25">
      <c r="A189">
        <v>17</v>
      </c>
      <c r="B189" t="s">
        <v>124</v>
      </c>
      <c r="C189" t="s">
        <v>32</v>
      </c>
      <c r="D189" t="s">
        <v>3068</v>
      </c>
      <c r="E189">
        <v>226885</v>
      </c>
      <c r="F189" t="s">
        <v>3069</v>
      </c>
      <c r="G189" t="s">
        <v>3070</v>
      </c>
      <c r="H189" t="s">
        <v>1297</v>
      </c>
      <c r="I189" t="s">
        <v>3070</v>
      </c>
      <c r="L189" t="b">
        <v>0</v>
      </c>
      <c r="M189" t="s">
        <v>31</v>
      </c>
      <c r="N189" t="s">
        <v>358</v>
      </c>
      <c r="P189" t="s">
        <v>33</v>
      </c>
      <c r="Q189">
        <v>1</v>
      </c>
      <c r="R189">
        <v>3</v>
      </c>
      <c r="S189">
        <v>704.97803799999997</v>
      </c>
      <c r="T189">
        <v>430</v>
      </c>
      <c r="U189">
        <v>430</v>
      </c>
      <c r="V189">
        <v>1</v>
      </c>
      <c r="W189">
        <v>0</v>
      </c>
      <c r="X189">
        <v>59756.86</v>
      </c>
      <c r="Y189">
        <v>59756.86</v>
      </c>
      <c r="Z189" t="s">
        <v>2869</v>
      </c>
    </row>
    <row r="190" spans="1:26" x14ac:dyDescent="0.25">
      <c r="A190">
        <v>17</v>
      </c>
      <c r="B190" t="s">
        <v>124</v>
      </c>
      <c r="C190" t="s">
        <v>32</v>
      </c>
      <c r="D190" t="s">
        <v>3071</v>
      </c>
      <c r="E190">
        <v>222699</v>
      </c>
      <c r="F190" t="s">
        <v>3072</v>
      </c>
      <c r="G190" t="s">
        <v>3073</v>
      </c>
      <c r="H190" t="s">
        <v>1297</v>
      </c>
      <c r="I190" t="s">
        <v>3073</v>
      </c>
      <c r="L190" t="b">
        <v>0</v>
      </c>
      <c r="M190" t="s">
        <v>31</v>
      </c>
      <c r="N190" t="s">
        <v>358</v>
      </c>
      <c r="P190" t="s">
        <v>33</v>
      </c>
      <c r="Q190">
        <v>1</v>
      </c>
      <c r="R190">
        <v>3</v>
      </c>
      <c r="S190">
        <v>615.183311</v>
      </c>
      <c r="T190">
        <v>6792</v>
      </c>
      <c r="U190">
        <v>6792</v>
      </c>
      <c r="V190">
        <v>1</v>
      </c>
      <c r="W190">
        <v>0</v>
      </c>
      <c r="X190">
        <v>823656.11</v>
      </c>
      <c r="Y190">
        <v>823656.11</v>
      </c>
      <c r="Z190" t="s">
        <v>2869</v>
      </c>
    </row>
    <row r="191" spans="1:26" x14ac:dyDescent="0.25">
      <c r="A191">
        <v>17</v>
      </c>
      <c r="B191" t="s">
        <v>124</v>
      </c>
      <c r="C191" t="s">
        <v>32</v>
      </c>
      <c r="D191" t="s">
        <v>3074</v>
      </c>
      <c r="E191">
        <v>226996</v>
      </c>
      <c r="F191" t="s">
        <v>3075</v>
      </c>
      <c r="G191" t="s">
        <v>3076</v>
      </c>
      <c r="H191" t="s">
        <v>1297</v>
      </c>
      <c r="I191" t="s">
        <v>3076</v>
      </c>
      <c r="L191" t="b">
        <v>0</v>
      </c>
      <c r="M191" t="s">
        <v>31</v>
      </c>
      <c r="N191" t="s">
        <v>358</v>
      </c>
      <c r="P191" t="s">
        <v>33</v>
      </c>
      <c r="Q191">
        <v>1</v>
      </c>
      <c r="R191">
        <v>3</v>
      </c>
      <c r="S191">
        <v>591.55899999999997</v>
      </c>
      <c r="T191">
        <v>319</v>
      </c>
      <c r="U191">
        <v>319</v>
      </c>
      <c r="V191">
        <v>1</v>
      </c>
      <c r="W191">
        <v>0</v>
      </c>
      <c r="X191">
        <v>37199.100000000013</v>
      </c>
      <c r="Y191">
        <v>37199.100000000013</v>
      </c>
      <c r="Z191" t="s">
        <v>2869</v>
      </c>
    </row>
    <row r="192" spans="1:26" x14ac:dyDescent="0.25">
      <c r="A192">
        <v>17</v>
      </c>
      <c r="B192" t="s">
        <v>124</v>
      </c>
      <c r="C192" t="s">
        <v>32</v>
      </c>
      <c r="D192" t="s">
        <v>3077</v>
      </c>
      <c r="E192">
        <v>227576</v>
      </c>
      <c r="F192" t="s">
        <v>3078</v>
      </c>
      <c r="G192" t="s">
        <v>3079</v>
      </c>
      <c r="H192" t="s">
        <v>1297</v>
      </c>
      <c r="I192" t="s">
        <v>3079</v>
      </c>
      <c r="L192" t="b">
        <v>0</v>
      </c>
      <c r="M192" t="s">
        <v>31</v>
      </c>
      <c r="N192" t="s">
        <v>358</v>
      </c>
      <c r="P192" t="s">
        <v>33</v>
      </c>
      <c r="Q192">
        <v>1</v>
      </c>
      <c r="R192">
        <v>3</v>
      </c>
      <c r="S192">
        <v>519.80700000000002</v>
      </c>
      <c r="T192">
        <v>195</v>
      </c>
      <c r="U192">
        <v>195</v>
      </c>
      <c r="V192">
        <v>1</v>
      </c>
      <c r="W192">
        <v>0</v>
      </c>
      <c r="X192">
        <v>19981.150000000001</v>
      </c>
      <c r="Y192">
        <v>19981.150000000001</v>
      </c>
      <c r="Z192" t="s">
        <v>2869</v>
      </c>
    </row>
    <row r="193" spans="1:26" x14ac:dyDescent="0.25">
      <c r="A193">
        <v>17</v>
      </c>
      <c r="B193" t="s">
        <v>124</v>
      </c>
      <c r="C193" t="s">
        <v>32</v>
      </c>
      <c r="D193" t="s">
        <v>3080</v>
      </c>
      <c r="E193">
        <v>203106</v>
      </c>
      <c r="F193" t="s">
        <v>3081</v>
      </c>
      <c r="G193" t="s">
        <v>3082</v>
      </c>
      <c r="H193" t="s">
        <v>1297</v>
      </c>
      <c r="I193" t="s">
        <v>3082</v>
      </c>
      <c r="L193" t="b">
        <v>0</v>
      </c>
      <c r="M193" t="s">
        <v>31</v>
      </c>
      <c r="N193" t="s">
        <v>358</v>
      </c>
      <c r="P193" t="s">
        <v>33</v>
      </c>
      <c r="Q193">
        <v>1</v>
      </c>
      <c r="R193">
        <v>3</v>
      </c>
      <c r="S193">
        <v>524.14517599999999</v>
      </c>
      <c r="T193">
        <v>72317</v>
      </c>
      <c r="U193">
        <v>72317</v>
      </c>
      <c r="V193">
        <v>1</v>
      </c>
      <c r="W193">
        <v>0</v>
      </c>
      <c r="X193">
        <v>7471979.8700000001</v>
      </c>
      <c r="Y193">
        <v>7471979.8700000001</v>
      </c>
      <c r="Z193" t="s">
        <v>2869</v>
      </c>
    </row>
    <row r="194" spans="1:26" x14ac:dyDescent="0.25">
      <c r="A194">
        <v>17</v>
      </c>
      <c r="B194" t="s">
        <v>124</v>
      </c>
      <c r="C194" t="s">
        <v>32</v>
      </c>
      <c r="D194" t="s">
        <v>3083</v>
      </c>
      <c r="E194">
        <v>208992</v>
      </c>
      <c r="F194" t="s">
        <v>3084</v>
      </c>
      <c r="G194" t="s">
        <v>3085</v>
      </c>
      <c r="H194" t="s">
        <v>1297</v>
      </c>
      <c r="I194" t="s">
        <v>3085</v>
      </c>
      <c r="L194" t="b">
        <v>0</v>
      </c>
      <c r="M194" t="s">
        <v>31</v>
      </c>
      <c r="N194" t="s">
        <v>358</v>
      </c>
      <c r="P194" t="s">
        <v>33</v>
      </c>
      <c r="Q194">
        <v>1</v>
      </c>
      <c r="R194">
        <v>3</v>
      </c>
      <c r="S194">
        <v>486.89159100000001</v>
      </c>
      <c r="T194">
        <v>37585</v>
      </c>
      <c r="U194">
        <v>37585</v>
      </c>
      <c r="V194">
        <v>1</v>
      </c>
      <c r="W194">
        <v>0</v>
      </c>
      <c r="X194">
        <v>3607368.65</v>
      </c>
      <c r="Y194">
        <v>3607368.65</v>
      </c>
      <c r="Z194" t="s">
        <v>2869</v>
      </c>
    </row>
    <row r="195" spans="1:26" x14ac:dyDescent="0.25">
      <c r="A195">
        <v>17</v>
      </c>
      <c r="B195" t="s">
        <v>124</v>
      </c>
      <c r="C195" t="s">
        <v>32</v>
      </c>
      <c r="D195" t="s">
        <v>3086</v>
      </c>
      <c r="E195">
        <v>226886</v>
      </c>
      <c r="F195" t="s">
        <v>3087</v>
      </c>
      <c r="G195" t="s">
        <v>3088</v>
      </c>
      <c r="H195" t="s">
        <v>1297</v>
      </c>
      <c r="I195" t="s">
        <v>3088</v>
      </c>
      <c r="L195" t="b">
        <v>0</v>
      </c>
      <c r="M195" t="s">
        <v>31</v>
      </c>
      <c r="N195" t="s">
        <v>358</v>
      </c>
      <c r="P195" t="s">
        <v>33</v>
      </c>
      <c r="Q195">
        <v>1</v>
      </c>
      <c r="R195">
        <v>3</v>
      </c>
      <c r="S195">
        <v>544.572136</v>
      </c>
      <c r="T195">
        <v>46</v>
      </c>
      <c r="U195">
        <v>46</v>
      </c>
      <c r="V195">
        <v>1</v>
      </c>
      <c r="W195">
        <v>0</v>
      </c>
      <c r="X195">
        <v>4938.07</v>
      </c>
      <c r="Y195">
        <v>4938.07</v>
      </c>
      <c r="Z195" t="s">
        <v>2869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47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9" customWidth="1"/>
    <col min="2" max="2" width="15" customWidth="1"/>
    <col min="3" max="3" width="18" customWidth="1"/>
    <col min="4" max="4" width="11" customWidth="1"/>
    <col min="5" max="5" width="16" customWidth="1"/>
    <col min="6" max="6" width="8" customWidth="1"/>
    <col min="7" max="7" width="18" customWidth="1"/>
    <col min="8" max="8" width="26" customWidth="1"/>
    <col min="9" max="9" width="17" customWidth="1"/>
    <col min="10" max="11" width="16" customWidth="1"/>
    <col min="12" max="13" width="14" customWidth="1"/>
    <col min="14" max="14" width="15" customWidth="1"/>
    <col min="15" max="15" width="16" customWidth="1"/>
    <col min="16" max="16" width="14" customWidth="1"/>
    <col min="17" max="17" width="22" customWidth="1"/>
    <col min="18" max="18" width="17" customWidth="1"/>
    <col min="19" max="19" width="16" customWidth="1"/>
    <col min="20" max="21" width="14" customWidth="1"/>
    <col min="22" max="23" width="8" customWidth="1"/>
    <col min="24" max="25" width="19" customWidth="1"/>
  </cols>
  <sheetData>
    <row r="1" spans="1:25" ht="27.9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25">
      <c r="A2">
        <v>20</v>
      </c>
      <c r="B2" t="s">
        <v>25</v>
      </c>
      <c r="C2" t="s">
        <v>26</v>
      </c>
      <c r="D2" t="s">
        <v>3145</v>
      </c>
      <c r="E2">
        <v>227718</v>
      </c>
      <c r="G2" t="s">
        <v>3146</v>
      </c>
      <c r="H2" t="s">
        <v>3147</v>
      </c>
      <c r="I2" t="s">
        <v>3146</v>
      </c>
      <c r="L2" t="b">
        <v>0</v>
      </c>
      <c r="M2" t="s">
        <v>50</v>
      </c>
      <c r="N2" t="s">
        <v>26</v>
      </c>
      <c r="P2" t="s">
        <v>33</v>
      </c>
      <c r="Q2">
        <v>1</v>
      </c>
      <c r="R2">
        <v>5</v>
      </c>
      <c r="S2">
        <v>100.051718279</v>
      </c>
      <c r="T2">
        <v>265924255</v>
      </c>
      <c r="U2">
        <v>265924255</v>
      </c>
      <c r="V2">
        <v>1</v>
      </c>
      <c r="W2">
        <v>0</v>
      </c>
      <c r="X2">
        <v>266061786.44999999</v>
      </c>
      <c r="Y2">
        <v>266061786.44999999</v>
      </c>
    </row>
    <row r="3" spans="1:25" x14ac:dyDescent="0.25">
      <c r="A3">
        <v>20</v>
      </c>
      <c r="B3" t="s">
        <v>25</v>
      </c>
      <c r="C3" t="s">
        <v>26</v>
      </c>
      <c r="D3" t="s">
        <v>3148</v>
      </c>
      <c r="E3">
        <v>227728</v>
      </c>
      <c r="G3" t="s">
        <v>3149</v>
      </c>
      <c r="H3" t="s">
        <v>3147</v>
      </c>
      <c r="I3" t="s">
        <v>3149</v>
      </c>
      <c r="L3" t="b">
        <v>0</v>
      </c>
      <c r="M3" t="s">
        <v>50</v>
      </c>
      <c r="N3" t="s">
        <v>26</v>
      </c>
      <c r="P3" t="s">
        <v>33</v>
      </c>
      <c r="Q3">
        <v>1</v>
      </c>
      <c r="R3">
        <v>5</v>
      </c>
      <c r="S3">
        <v>100.0517183316</v>
      </c>
      <c r="T3">
        <v>66481063</v>
      </c>
      <c r="U3">
        <v>66481063</v>
      </c>
      <c r="V3">
        <v>1</v>
      </c>
      <c r="W3">
        <v>0</v>
      </c>
      <c r="X3">
        <v>66515445.899999999</v>
      </c>
      <c r="Y3">
        <v>66515445.899999999</v>
      </c>
    </row>
    <row r="4" spans="1:25" x14ac:dyDescent="0.25">
      <c r="A4">
        <v>20</v>
      </c>
      <c r="B4" t="s">
        <v>25</v>
      </c>
      <c r="C4" t="s">
        <v>26</v>
      </c>
      <c r="D4" t="s">
        <v>3150</v>
      </c>
      <c r="E4">
        <v>227719</v>
      </c>
      <c r="G4" t="s">
        <v>3151</v>
      </c>
      <c r="H4" t="s">
        <v>3147</v>
      </c>
      <c r="I4" t="s">
        <v>3151</v>
      </c>
      <c r="L4" t="b">
        <v>0</v>
      </c>
      <c r="M4" t="s">
        <v>50</v>
      </c>
      <c r="N4" t="s">
        <v>26</v>
      </c>
      <c r="P4" t="s">
        <v>33</v>
      </c>
      <c r="Q4">
        <v>1</v>
      </c>
      <c r="R4">
        <v>5</v>
      </c>
      <c r="S4">
        <v>100.0517183708</v>
      </c>
      <c r="T4">
        <v>14358801</v>
      </c>
      <c r="U4">
        <v>14358801</v>
      </c>
      <c r="V4">
        <v>1</v>
      </c>
      <c r="W4">
        <v>0</v>
      </c>
      <c r="X4">
        <v>14366227.140000001</v>
      </c>
      <c r="Y4">
        <v>14366227.140000001</v>
      </c>
    </row>
    <row r="5" spans="1:25" x14ac:dyDescent="0.25">
      <c r="A5">
        <v>20</v>
      </c>
      <c r="B5" t="s">
        <v>25</v>
      </c>
      <c r="C5" t="s">
        <v>26</v>
      </c>
      <c r="D5" t="s">
        <v>3152</v>
      </c>
      <c r="E5">
        <v>227731</v>
      </c>
      <c r="G5" t="s">
        <v>3153</v>
      </c>
      <c r="H5" t="s">
        <v>3147</v>
      </c>
      <c r="I5" t="s">
        <v>3153</v>
      </c>
      <c r="L5" t="b">
        <v>0</v>
      </c>
      <c r="M5" t="s">
        <v>50</v>
      </c>
      <c r="N5" t="s">
        <v>26</v>
      </c>
      <c r="P5" t="s">
        <v>33</v>
      </c>
      <c r="Q5">
        <v>1</v>
      </c>
      <c r="R5">
        <v>5</v>
      </c>
      <c r="S5">
        <v>100.0517183804</v>
      </c>
      <c r="T5">
        <v>25621652</v>
      </c>
      <c r="U5">
        <v>25621652</v>
      </c>
      <c r="V5">
        <v>1</v>
      </c>
      <c r="W5">
        <v>0</v>
      </c>
      <c r="X5">
        <v>25634903.100000001</v>
      </c>
      <c r="Y5">
        <v>25634903.100000001</v>
      </c>
    </row>
    <row r="6" spans="1:25" x14ac:dyDescent="0.25">
      <c r="A6">
        <v>20</v>
      </c>
      <c r="B6" t="s">
        <v>25</v>
      </c>
      <c r="C6" t="s">
        <v>26</v>
      </c>
      <c r="D6" t="s">
        <v>3154</v>
      </c>
      <c r="E6">
        <v>227727</v>
      </c>
      <c r="G6" t="s">
        <v>3155</v>
      </c>
      <c r="H6" t="s">
        <v>3147</v>
      </c>
      <c r="I6" t="s">
        <v>3155</v>
      </c>
      <c r="L6" t="b">
        <v>0</v>
      </c>
      <c r="M6" t="s">
        <v>50</v>
      </c>
      <c r="N6" t="s">
        <v>26</v>
      </c>
      <c r="P6" t="s">
        <v>33</v>
      </c>
      <c r="Q6">
        <v>1</v>
      </c>
      <c r="R6">
        <v>5</v>
      </c>
      <c r="S6">
        <v>100.0517185182</v>
      </c>
      <c r="T6">
        <v>13397989</v>
      </c>
      <c r="U6">
        <v>13397989</v>
      </c>
      <c r="V6">
        <v>1</v>
      </c>
      <c r="W6">
        <v>0</v>
      </c>
      <c r="X6">
        <v>13404918.24</v>
      </c>
      <c r="Y6">
        <v>13404918.24</v>
      </c>
    </row>
    <row r="7" spans="1:25" x14ac:dyDescent="0.25">
      <c r="A7">
        <v>20</v>
      </c>
      <c r="B7" t="s">
        <v>25</v>
      </c>
      <c r="C7" t="s">
        <v>26</v>
      </c>
      <c r="D7" t="s">
        <v>3156</v>
      </c>
      <c r="E7">
        <v>227723</v>
      </c>
      <c r="G7" t="s">
        <v>3157</v>
      </c>
      <c r="H7" t="s">
        <v>3147</v>
      </c>
      <c r="I7" t="s">
        <v>3157</v>
      </c>
      <c r="L7" t="b">
        <v>0</v>
      </c>
      <c r="M7" t="s">
        <v>50</v>
      </c>
      <c r="N7" t="s">
        <v>26</v>
      </c>
      <c r="P7" t="s">
        <v>33</v>
      </c>
      <c r="Q7">
        <v>1</v>
      </c>
      <c r="R7">
        <v>5</v>
      </c>
      <c r="S7">
        <v>100.0517181198</v>
      </c>
      <c r="T7">
        <v>19541207</v>
      </c>
      <c r="U7">
        <v>19541207</v>
      </c>
      <c r="V7">
        <v>1</v>
      </c>
      <c r="W7">
        <v>0</v>
      </c>
      <c r="X7">
        <v>19551313.34</v>
      </c>
      <c r="Y7">
        <v>19551313.34</v>
      </c>
    </row>
    <row r="8" spans="1:25" x14ac:dyDescent="0.25">
      <c r="A8">
        <v>20</v>
      </c>
      <c r="B8" t="s">
        <v>25</v>
      </c>
      <c r="C8" t="s">
        <v>26</v>
      </c>
      <c r="D8" t="s">
        <v>3158</v>
      </c>
      <c r="E8">
        <v>227721</v>
      </c>
      <c r="G8" t="s">
        <v>3159</v>
      </c>
      <c r="H8" t="s">
        <v>3147</v>
      </c>
      <c r="I8" t="s">
        <v>3159</v>
      </c>
      <c r="L8" t="b">
        <v>0</v>
      </c>
      <c r="M8" t="s">
        <v>50</v>
      </c>
      <c r="N8" t="s">
        <v>26</v>
      </c>
      <c r="P8" t="s">
        <v>33</v>
      </c>
      <c r="Q8">
        <v>1</v>
      </c>
      <c r="R8">
        <v>5</v>
      </c>
      <c r="S8">
        <v>100.05171837020001</v>
      </c>
      <c r="T8">
        <v>31339228</v>
      </c>
      <c r="U8">
        <v>31339228</v>
      </c>
      <c r="V8">
        <v>1</v>
      </c>
      <c r="W8">
        <v>0</v>
      </c>
      <c r="X8">
        <v>31355436.140000001</v>
      </c>
      <c r="Y8">
        <v>31355436.140000001</v>
      </c>
    </row>
    <row r="9" spans="1:25" x14ac:dyDescent="0.25">
      <c r="A9">
        <v>20</v>
      </c>
      <c r="B9" t="s">
        <v>25</v>
      </c>
      <c r="C9" t="s">
        <v>26</v>
      </c>
      <c r="D9" t="s">
        <v>3160</v>
      </c>
      <c r="E9">
        <v>227729</v>
      </c>
      <c r="G9" t="s">
        <v>3161</v>
      </c>
      <c r="H9" t="s">
        <v>3147</v>
      </c>
      <c r="I9" t="s">
        <v>3161</v>
      </c>
      <c r="L9" t="b">
        <v>0</v>
      </c>
      <c r="M9" t="s">
        <v>50</v>
      </c>
      <c r="N9" t="s">
        <v>26</v>
      </c>
      <c r="P9" t="s">
        <v>33</v>
      </c>
      <c r="Q9">
        <v>1</v>
      </c>
      <c r="R9">
        <v>5</v>
      </c>
      <c r="S9">
        <v>100.05171824919999</v>
      </c>
      <c r="T9">
        <v>55921300</v>
      </c>
      <c r="U9">
        <v>55921300</v>
      </c>
      <c r="V9">
        <v>1</v>
      </c>
      <c r="W9">
        <v>0</v>
      </c>
      <c r="X9">
        <v>55950221.520000003</v>
      </c>
      <c r="Y9">
        <v>55950221.520000003</v>
      </c>
    </row>
    <row r="10" spans="1:25" x14ac:dyDescent="0.25">
      <c r="A10">
        <v>20</v>
      </c>
      <c r="B10" t="s">
        <v>25</v>
      </c>
      <c r="C10" t="s">
        <v>26</v>
      </c>
      <c r="D10" t="s">
        <v>3162</v>
      </c>
      <c r="E10">
        <v>227725</v>
      </c>
      <c r="G10" t="s">
        <v>3163</v>
      </c>
      <c r="H10" t="s">
        <v>3147</v>
      </c>
      <c r="I10" t="s">
        <v>3163</v>
      </c>
      <c r="L10" t="b">
        <v>0</v>
      </c>
      <c r="M10" t="s">
        <v>50</v>
      </c>
      <c r="N10" t="s">
        <v>26</v>
      </c>
      <c r="P10" t="s">
        <v>33</v>
      </c>
      <c r="Q10">
        <v>1</v>
      </c>
      <c r="R10">
        <v>5</v>
      </c>
      <c r="S10">
        <v>100.051718397</v>
      </c>
      <c r="T10">
        <v>29242179</v>
      </c>
      <c r="U10">
        <v>29242179</v>
      </c>
      <c r="V10">
        <v>1</v>
      </c>
      <c r="W10">
        <v>0</v>
      </c>
      <c r="X10">
        <v>29257302.59</v>
      </c>
      <c r="Y10">
        <v>29257302.59</v>
      </c>
    </row>
    <row r="11" spans="1:25" x14ac:dyDescent="0.25">
      <c r="A11">
        <v>20</v>
      </c>
      <c r="B11" t="s">
        <v>25</v>
      </c>
      <c r="C11" t="s">
        <v>26</v>
      </c>
      <c r="D11" t="s">
        <v>3164</v>
      </c>
      <c r="E11">
        <v>227724</v>
      </c>
      <c r="G11" t="s">
        <v>3165</v>
      </c>
      <c r="H11" t="s">
        <v>3147</v>
      </c>
      <c r="I11" t="s">
        <v>3165</v>
      </c>
      <c r="L11" t="b">
        <v>0</v>
      </c>
      <c r="M11" t="s">
        <v>50</v>
      </c>
      <c r="N11" t="s">
        <v>26</v>
      </c>
      <c r="P11" t="s">
        <v>33</v>
      </c>
      <c r="Q11">
        <v>1</v>
      </c>
      <c r="R11">
        <v>5</v>
      </c>
      <c r="S11">
        <v>100.0517189328</v>
      </c>
      <c r="T11">
        <v>3342203</v>
      </c>
      <c r="U11">
        <v>3342203</v>
      </c>
      <c r="V11">
        <v>1</v>
      </c>
      <c r="W11">
        <v>0</v>
      </c>
      <c r="X11">
        <v>3343931.55</v>
      </c>
      <c r="Y11">
        <v>3343931.55</v>
      </c>
    </row>
    <row r="12" spans="1:25" x14ac:dyDescent="0.25">
      <c r="A12">
        <v>20</v>
      </c>
      <c r="B12" t="s">
        <v>25</v>
      </c>
      <c r="C12" t="s">
        <v>26</v>
      </c>
      <c r="D12" t="s">
        <v>3166</v>
      </c>
      <c r="E12">
        <v>227722</v>
      </c>
      <c r="G12" t="s">
        <v>3167</v>
      </c>
      <c r="H12" t="s">
        <v>3147</v>
      </c>
      <c r="I12" t="s">
        <v>3167</v>
      </c>
      <c r="L12" t="b">
        <v>0</v>
      </c>
      <c r="M12" t="s">
        <v>50</v>
      </c>
      <c r="N12" t="s">
        <v>26</v>
      </c>
      <c r="P12" t="s">
        <v>33</v>
      </c>
      <c r="Q12">
        <v>1</v>
      </c>
      <c r="R12">
        <v>5</v>
      </c>
      <c r="S12">
        <v>100.0520954886</v>
      </c>
      <c r="T12">
        <v>111615551</v>
      </c>
      <c r="U12">
        <v>111615551</v>
      </c>
      <c r="V12">
        <v>1</v>
      </c>
      <c r="W12">
        <v>0</v>
      </c>
      <c r="X12">
        <v>111673697.67</v>
      </c>
      <c r="Y12">
        <v>111673697.67</v>
      </c>
    </row>
    <row r="13" spans="1:25" x14ac:dyDescent="0.25">
      <c r="A13">
        <v>20</v>
      </c>
      <c r="B13" t="s">
        <v>25</v>
      </c>
      <c r="C13" t="s">
        <v>26</v>
      </c>
      <c r="D13" t="s">
        <v>3168</v>
      </c>
      <c r="E13">
        <v>227726</v>
      </c>
      <c r="G13" t="s">
        <v>3169</v>
      </c>
      <c r="H13" t="s">
        <v>3147</v>
      </c>
      <c r="I13" t="s">
        <v>3169</v>
      </c>
      <c r="L13" t="b">
        <v>0</v>
      </c>
      <c r="M13" t="s">
        <v>50</v>
      </c>
      <c r="N13" t="s">
        <v>26</v>
      </c>
      <c r="P13" t="s">
        <v>33</v>
      </c>
      <c r="Q13">
        <v>1</v>
      </c>
      <c r="R13">
        <v>5</v>
      </c>
      <c r="S13">
        <v>100.0520955312</v>
      </c>
      <c r="T13">
        <v>41107880</v>
      </c>
      <c r="U13">
        <v>41107880</v>
      </c>
      <c r="V13">
        <v>1</v>
      </c>
      <c r="W13">
        <v>0</v>
      </c>
      <c r="X13">
        <v>41129295.369999997</v>
      </c>
      <c r="Y13">
        <v>41129295.369999997</v>
      </c>
    </row>
    <row r="14" spans="1:25" x14ac:dyDescent="0.25">
      <c r="A14">
        <v>20</v>
      </c>
      <c r="B14" t="s">
        <v>25</v>
      </c>
      <c r="C14" t="s">
        <v>26</v>
      </c>
      <c r="D14" t="s">
        <v>3170</v>
      </c>
      <c r="E14">
        <v>228103</v>
      </c>
      <c r="G14" t="s">
        <v>3171</v>
      </c>
      <c r="H14" t="s">
        <v>3147</v>
      </c>
      <c r="I14" t="s">
        <v>3171</v>
      </c>
      <c r="L14" t="b">
        <v>0</v>
      </c>
      <c r="M14" t="s">
        <v>50</v>
      </c>
      <c r="N14" t="s">
        <v>26</v>
      </c>
      <c r="P14" t="s">
        <v>33</v>
      </c>
      <c r="Q14">
        <v>1</v>
      </c>
      <c r="R14">
        <v>5</v>
      </c>
      <c r="S14">
        <v>100.0317325993</v>
      </c>
      <c r="T14">
        <v>8940835</v>
      </c>
      <c r="U14">
        <v>8940835</v>
      </c>
      <c r="V14">
        <v>1</v>
      </c>
      <c r="W14">
        <v>0</v>
      </c>
      <c r="X14">
        <v>8943672.1600000001</v>
      </c>
      <c r="Y14">
        <v>8943672.1600000001</v>
      </c>
    </row>
    <row r="15" spans="1:25" x14ac:dyDescent="0.25">
      <c r="A15">
        <v>20</v>
      </c>
      <c r="B15" t="s">
        <v>25</v>
      </c>
      <c r="C15" t="s">
        <v>26</v>
      </c>
      <c r="D15" t="s">
        <v>3172</v>
      </c>
      <c r="E15">
        <v>228102</v>
      </c>
      <c r="G15" t="s">
        <v>3173</v>
      </c>
      <c r="H15" t="s">
        <v>3147</v>
      </c>
      <c r="I15" t="s">
        <v>3173</v>
      </c>
      <c r="L15" t="b">
        <v>0</v>
      </c>
      <c r="M15" t="s">
        <v>50</v>
      </c>
      <c r="N15" t="s">
        <v>26</v>
      </c>
      <c r="P15" t="s">
        <v>33</v>
      </c>
      <c r="Q15">
        <v>1</v>
      </c>
      <c r="R15">
        <v>5</v>
      </c>
      <c r="S15">
        <v>100.03173232899999</v>
      </c>
      <c r="T15">
        <v>286566</v>
      </c>
      <c r="U15">
        <v>286566</v>
      </c>
      <c r="V15">
        <v>1</v>
      </c>
      <c r="W15">
        <v>0</v>
      </c>
      <c r="X15">
        <v>286656.93</v>
      </c>
      <c r="Y15">
        <v>286656.93</v>
      </c>
    </row>
    <row r="16" spans="1:25" x14ac:dyDescent="0.25">
      <c r="A16">
        <v>20</v>
      </c>
      <c r="B16" t="s">
        <v>25</v>
      </c>
      <c r="C16" t="s">
        <v>26</v>
      </c>
      <c r="D16" t="s">
        <v>3174</v>
      </c>
      <c r="E16">
        <v>228109</v>
      </c>
      <c r="G16" t="s">
        <v>3175</v>
      </c>
      <c r="H16" t="s">
        <v>3147</v>
      </c>
      <c r="I16" t="s">
        <v>3175</v>
      </c>
      <c r="L16" t="b">
        <v>0</v>
      </c>
      <c r="M16" t="s">
        <v>50</v>
      </c>
      <c r="N16" t="s">
        <v>26</v>
      </c>
      <c r="P16" t="s">
        <v>33</v>
      </c>
      <c r="Q16">
        <v>1</v>
      </c>
      <c r="R16">
        <v>5</v>
      </c>
      <c r="S16">
        <v>100.0302541618</v>
      </c>
      <c r="T16">
        <v>10313221</v>
      </c>
      <c r="U16">
        <v>10313221</v>
      </c>
      <c r="V16">
        <v>1</v>
      </c>
      <c r="W16">
        <v>0</v>
      </c>
      <c r="X16">
        <v>10316341.18</v>
      </c>
      <c r="Y16">
        <v>10316341.18</v>
      </c>
    </row>
    <row r="17" spans="1:25" x14ac:dyDescent="0.25">
      <c r="A17">
        <v>20</v>
      </c>
      <c r="B17" t="s">
        <v>25</v>
      </c>
      <c r="C17" t="s">
        <v>26</v>
      </c>
      <c r="D17" t="s">
        <v>3176</v>
      </c>
      <c r="E17">
        <v>228104</v>
      </c>
      <c r="G17" t="s">
        <v>3177</v>
      </c>
      <c r="H17" t="s">
        <v>3147</v>
      </c>
      <c r="I17" t="s">
        <v>3177</v>
      </c>
      <c r="L17" t="b">
        <v>0</v>
      </c>
      <c r="M17" t="s">
        <v>50</v>
      </c>
      <c r="N17" t="s">
        <v>26</v>
      </c>
      <c r="P17" t="s">
        <v>33</v>
      </c>
      <c r="Q17">
        <v>1</v>
      </c>
      <c r="R17">
        <v>5</v>
      </c>
      <c r="S17">
        <v>100.0302542204</v>
      </c>
      <c r="T17">
        <v>10560274</v>
      </c>
      <c r="U17">
        <v>10560274</v>
      </c>
      <c r="V17">
        <v>1</v>
      </c>
      <c r="W17">
        <v>0</v>
      </c>
      <c r="X17">
        <v>10563468.93</v>
      </c>
      <c r="Y17">
        <v>10563468.93</v>
      </c>
    </row>
    <row r="18" spans="1:25" x14ac:dyDescent="0.25">
      <c r="A18">
        <v>20</v>
      </c>
      <c r="B18" t="s">
        <v>25</v>
      </c>
      <c r="C18" t="s">
        <v>26</v>
      </c>
      <c r="D18" t="s">
        <v>3178</v>
      </c>
      <c r="E18">
        <v>228105</v>
      </c>
      <c r="G18" t="s">
        <v>3179</v>
      </c>
      <c r="H18" t="s">
        <v>3147</v>
      </c>
      <c r="I18" t="s">
        <v>3179</v>
      </c>
      <c r="L18" t="b">
        <v>0</v>
      </c>
      <c r="M18" t="s">
        <v>50</v>
      </c>
      <c r="N18" t="s">
        <v>26</v>
      </c>
      <c r="P18" t="s">
        <v>33</v>
      </c>
      <c r="Q18">
        <v>1</v>
      </c>
      <c r="R18">
        <v>5</v>
      </c>
      <c r="S18">
        <v>100.0302540056</v>
      </c>
      <c r="T18">
        <v>8409040</v>
      </c>
      <c r="U18">
        <v>8409040</v>
      </c>
      <c r="V18">
        <v>1</v>
      </c>
      <c r="W18">
        <v>0</v>
      </c>
      <c r="X18">
        <v>8411584.0700000003</v>
      </c>
      <c r="Y18">
        <v>8411584.0700000003</v>
      </c>
    </row>
    <row r="19" spans="1:25" x14ac:dyDescent="0.25">
      <c r="A19">
        <v>20</v>
      </c>
      <c r="B19" t="s">
        <v>25</v>
      </c>
      <c r="C19" t="s">
        <v>26</v>
      </c>
      <c r="D19" t="s">
        <v>3180</v>
      </c>
      <c r="E19">
        <v>228106</v>
      </c>
      <c r="G19" t="s">
        <v>3181</v>
      </c>
      <c r="H19" t="s">
        <v>3147</v>
      </c>
      <c r="I19" t="s">
        <v>3181</v>
      </c>
      <c r="L19" t="b">
        <v>0</v>
      </c>
      <c r="M19" t="s">
        <v>50</v>
      </c>
      <c r="N19" t="s">
        <v>26</v>
      </c>
      <c r="P19" t="s">
        <v>33</v>
      </c>
      <c r="Q19">
        <v>1</v>
      </c>
      <c r="R19">
        <v>5</v>
      </c>
      <c r="S19">
        <v>100.03025413909999</v>
      </c>
      <c r="T19">
        <v>16664780</v>
      </c>
      <c r="U19">
        <v>16664780</v>
      </c>
      <c r="V19">
        <v>1</v>
      </c>
      <c r="W19">
        <v>0</v>
      </c>
      <c r="X19">
        <v>16669821.789999999</v>
      </c>
      <c r="Y19">
        <v>16669821.789999999</v>
      </c>
    </row>
    <row r="20" spans="1:25" x14ac:dyDescent="0.25">
      <c r="A20">
        <v>20</v>
      </c>
      <c r="B20" t="s">
        <v>25</v>
      </c>
      <c r="C20" t="s">
        <v>26</v>
      </c>
      <c r="D20" t="s">
        <v>3182</v>
      </c>
      <c r="E20">
        <v>228111</v>
      </c>
      <c r="G20" t="s">
        <v>3183</v>
      </c>
      <c r="H20" t="s">
        <v>3147</v>
      </c>
      <c r="I20" t="s">
        <v>3183</v>
      </c>
      <c r="L20" t="b">
        <v>0</v>
      </c>
      <c r="M20" t="s">
        <v>50</v>
      </c>
      <c r="N20" t="s">
        <v>26</v>
      </c>
      <c r="P20" t="s">
        <v>33</v>
      </c>
      <c r="Q20">
        <v>1</v>
      </c>
      <c r="R20">
        <v>5</v>
      </c>
      <c r="S20">
        <v>100.0302540398</v>
      </c>
      <c r="T20">
        <v>18139136</v>
      </c>
      <c r="U20">
        <v>18139136</v>
      </c>
      <c r="V20">
        <v>1</v>
      </c>
      <c r="W20">
        <v>0</v>
      </c>
      <c r="X20">
        <v>18144623.82</v>
      </c>
      <c r="Y20">
        <v>18144623.82</v>
      </c>
    </row>
    <row r="21" spans="1:25" x14ac:dyDescent="0.25">
      <c r="A21">
        <v>20</v>
      </c>
      <c r="B21" t="s">
        <v>25</v>
      </c>
      <c r="C21" t="s">
        <v>26</v>
      </c>
      <c r="D21" t="s">
        <v>3184</v>
      </c>
      <c r="E21">
        <v>228107</v>
      </c>
      <c r="G21" t="s">
        <v>3185</v>
      </c>
      <c r="H21" t="s">
        <v>3147</v>
      </c>
      <c r="I21" t="s">
        <v>3185</v>
      </c>
      <c r="L21" t="b">
        <v>0</v>
      </c>
      <c r="M21" t="s">
        <v>50</v>
      </c>
      <c r="N21" t="s">
        <v>26</v>
      </c>
      <c r="P21" t="s">
        <v>33</v>
      </c>
      <c r="Q21">
        <v>1</v>
      </c>
      <c r="R21">
        <v>5</v>
      </c>
      <c r="S21">
        <v>100.0302569359</v>
      </c>
      <c r="T21">
        <v>617686</v>
      </c>
      <c r="U21">
        <v>617686</v>
      </c>
      <c r="V21">
        <v>1</v>
      </c>
      <c r="W21">
        <v>0</v>
      </c>
      <c r="X21">
        <v>617872.89</v>
      </c>
      <c r="Y21">
        <v>617872.89</v>
      </c>
    </row>
    <row r="22" spans="1:25" x14ac:dyDescent="0.25">
      <c r="A22">
        <v>20</v>
      </c>
      <c r="B22" t="s">
        <v>25</v>
      </c>
      <c r="C22" t="s">
        <v>26</v>
      </c>
      <c r="D22" t="s">
        <v>3186</v>
      </c>
      <c r="E22">
        <v>228108</v>
      </c>
      <c r="G22" t="s">
        <v>3187</v>
      </c>
      <c r="H22" t="s">
        <v>3147</v>
      </c>
      <c r="I22" t="s">
        <v>3187</v>
      </c>
      <c r="L22" t="b">
        <v>0</v>
      </c>
      <c r="M22" t="s">
        <v>50</v>
      </c>
      <c r="N22" t="s">
        <v>26</v>
      </c>
      <c r="P22" t="s">
        <v>33</v>
      </c>
      <c r="Q22">
        <v>1</v>
      </c>
      <c r="R22">
        <v>5</v>
      </c>
      <c r="S22">
        <v>100.03025411599999</v>
      </c>
      <c r="T22">
        <v>67417037</v>
      </c>
      <c r="U22">
        <v>67417037</v>
      </c>
      <c r="V22">
        <v>1</v>
      </c>
      <c r="W22">
        <v>0</v>
      </c>
      <c r="X22">
        <v>67437433.430000007</v>
      </c>
      <c r="Y22">
        <v>67437433.430000007</v>
      </c>
    </row>
    <row r="23" spans="1:25" x14ac:dyDescent="0.25">
      <c r="A23">
        <v>20</v>
      </c>
      <c r="B23" t="s">
        <v>25</v>
      </c>
      <c r="C23" t="s">
        <v>26</v>
      </c>
      <c r="D23" t="s">
        <v>3188</v>
      </c>
      <c r="E23">
        <v>228101</v>
      </c>
      <c r="G23" t="s">
        <v>3189</v>
      </c>
      <c r="H23" t="s">
        <v>3147</v>
      </c>
      <c r="I23" t="s">
        <v>3189</v>
      </c>
      <c r="L23" t="b">
        <v>0</v>
      </c>
      <c r="M23" t="s">
        <v>50</v>
      </c>
      <c r="N23" t="s">
        <v>26</v>
      </c>
      <c r="P23" t="s">
        <v>33</v>
      </c>
      <c r="Q23">
        <v>1</v>
      </c>
      <c r="R23">
        <v>5</v>
      </c>
      <c r="S23">
        <v>100.0317326581</v>
      </c>
      <c r="T23">
        <v>3862506</v>
      </c>
      <c r="U23">
        <v>3862506</v>
      </c>
      <c r="V23">
        <v>1</v>
      </c>
      <c r="W23">
        <v>0</v>
      </c>
      <c r="X23">
        <v>3863731.68</v>
      </c>
      <c r="Y23">
        <v>3863731.68</v>
      </c>
    </row>
    <row r="24" spans="1:25" x14ac:dyDescent="0.25">
      <c r="A24">
        <v>20</v>
      </c>
      <c r="B24" t="s">
        <v>25</v>
      </c>
      <c r="C24" t="s">
        <v>26</v>
      </c>
      <c r="D24" t="s">
        <v>3190</v>
      </c>
      <c r="E24">
        <v>228112</v>
      </c>
      <c r="G24" t="s">
        <v>3191</v>
      </c>
      <c r="H24" t="s">
        <v>3147</v>
      </c>
      <c r="I24" t="s">
        <v>3191</v>
      </c>
      <c r="L24" t="b">
        <v>0</v>
      </c>
      <c r="M24" t="s">
        <v>50</v>
      </c>
      <c r="N24" t="s">
        <v>26</v>
      </c>
      <c r="P24" t="s">
        <v>33</v>
      </c>
      <c r="Q24">
        <v>1</v>
      </c>
      <c r="R24">
        <v>5</v>
      </c>
      <c r="S24">
        <v>100.030254185</v>
      </c>
      <c r="T24">
        <v>14858275</v>
      </c>
      <c r="U24">
        <v>14858275</v>
      </c>
      <c r="V24">
        <v>1</v>
      </c>
      <c r="W24">
        <v>0</v>
      </c>
      <c r="X24">
        <v>14862770.25</v>
      </c>
      <c r="Y24">
        <v>14862770.25</v>
      </c>
    </row>
    <row r="25" spans="1:25" x14ac:dyDescent="0.25">
      <c r="A25">
        <v>20</v>
      </c>
      <c r="B25" t="s">
        <v>25</v>
      </c>
      <c r="C25" t="s">
        <v>26</v>
      </c>
      <c r="D25" t="s">
        <v>3192</v>
      </c>
      <c r="E25">
        <v>228110</v>
      </c>
      <c r="G25" t="s">
        <v>3193</v>
      </c>
      <c r="H25" t="s">
        <v>3147</v>
      </c>
      <c r="I25" t="s">
        <v>3193</v>
      </c>
      <c r="L25" t="b">
        <v>0</v>
      </c>
      <c r="M25" t="s">
        <v>50</v>
      </c>
      <c r="N25" t="s">
        <v>26</v>
      </c>
      <c r="P25" t="s">
        <v>33</v>
      </c>
      <c r="Q25">
        <v>1</v>
      </c>
      <c r="R25">
        <v>5</v>
      </c>
      <c r="S25">
        <v>100.0302541834</v>
      </c>
      <c r="T25">
        <v>6063034</v>
      </c>
      <c r="U25">
        <v>6063034</v>
      </c>
      <c r="V25">
        <v>1</v>
      </c>
      <c r="W25">
        <v>0</v>
      </c>
      <c r="X25">
        <v>6064868.3200000003</v>
      </c>
      <c r="Y25">
        <v>6064868.3200000003</v>
      </c>
    </row>
    <row r="26" spans="1:25" x14ac:dyDescent="0.25">
      <c r="A26">
        <v>20</v>
      </c>
      <c r="B26" t="s">
        <v>25</v>
      </c>
      <c r="C26" t="s">
        <v>26</v>
      </c>
      <c r="D26" t="s">
        <v>3194</v>
      </c>
      <c r="E26">
        <v>225896</v>
      </c>
      <c r="G26" t="s">
        <v>3195</v>
      </c>
      <c r="H26" t="s">
        <v>2652</v>
      </c>
      <c r="I26" t="s">
        <v>3195</v>
      </c>
      <c r="L26" t="b">
        <v>0</v>
      </c>
      <c r="M26" t="s">
        <v>50</v>
      </c>
      <c r="N26" t="s">
        <v>26</v>
      </c>
      <c r="P26" t="s">
        <v>33</v>
      </c>
      <c r="Q26">
        <v>1</v>
      </c>
      <c r="R26">
        <v>5</v>
      </c>
      <c r="S26">
        <v>100</v>
      </c>
      <c r="T26">
        <v>5947607</v>
      </c>
      <c r="U26">
        <v>5947607</v>
      </c>
      <c r="V26">
        <v>1</v>
      </c>
      <c r="W26">
        <v>0</v>
      </c>
      <c r="X26">
        <v>5947607</v>
      </c>
      <c r="Y26">
        <v>5947607</v>
      </c>
    </row>
    <row r="27" spans="1:25" x14ac:dyDescent="0.25">
      <c r="A27">
        <v>20</v>
      </c>
      <c r="B27" t="s">
        <v>25</v>
      </c>
      <c r="C27" t="s">
        <v>26</v>
      </c>
      <c r="D27" t="s">
        <v>3196</v>
      </c>
      <c r="E27">
        <v>225897</v>
      </c>
      <c r="G27" t="s">
        <v>3197</v>
      </c>
      <c r="H27" t="s">
        <v>2652</v>
      </c>
      <c r="I27" t="s">
        <v>3197</v>
      </c>
      <c r="L27" t="b">
        <v>0</v>
      </c>
      <c r="M27" t="s">
        <v>50</v>
      </c>
      <c r="N27" t="s">
        <v>26</v>
      </c>
      <c r="P27" t="s">
        <v>33</v>
      </c>
      <c r="Q27">
        <v>1</v>
      </c>
      <c r="R27">
        <v>5</v>
      </c>
      <c r="S27">
        <v>100</v>
      </c>
      <c r="T27">
        <v>5885538</v>
      </c>
      <c r="U27">
        <v>5885538</v>
      </c>
      <c r="V27">
        <v>1</v>
      </c>
      <c r="W27">
        <v>0</v>
      </c>
      <c r="X27">
        <v>5885538</v>
      </c>
      <c r="Y27">
        <v>5885538</v>
      </c>
    </row>
    <row r="28" spans="1:25" x14ac:dyDescent="0.25">
      <c r="A28">
        <v>20</v>
      </c>
      <c r="B28" t="s">
        <v>25</v>
      </c>
      <c r="C28" t="s">
        <v>26</v>
      </c>
      <c r="D28" t="s">
        <v>3198</v>
      </c>
      <c r="E28">
        <v>206736</v>
      </c>
      <c r="G28" t="s">
        <v>3199</v>
      </c>
      <c r="H28" t="s">
        <v>93</v>
      </c>
      <c r="I28" t="s">
        <v>3199</v>
      </c>
      <c r="L28" t="b">
        <v>0</v>
      </c>
      <c r="M28" t="s">
        <v>50</v>
      </c>
      <c r="N28" t="s">
        <v>26</v>
      </c>
      <c r="P28" t="s">
        <v>33</v>
      </c>
      <c r="Q28">
        <v>1</v>
      </c>
      <c r="R28">
        <v>5</v>
      </c>
      <c r="S28">
        <v>100.87495311249999</v>
      </c>
      <c r="T28">
        <v>581174</v>
      </c>
      <c r="U28">
        <v>581174</v>
      </c>
      <c r="V28">
        <v>1</v>
      </c>
      <c r="W28">
        <v>0</v>
      </c>
      <c r="X28">
        <v>586259</v>
      </c>
      <c r="Y28">
        <v>586259</v>
      </c>
    </row>
    <row r="29" spans="1:25" x14ac:dyDescent="0.25">
      <c r="A29">
        <v>20</v>
      </c>
      <c r="B29" t="s">
        <v>25</v>
      </c>
      <c r="C29" t="s">
        <v>26</v>
      </c>
      <c r="D29" t="s">
        <v>3200</v>
      </c>
      <c r="E29">
        <v>206735</v>
      </c>
      <c r="G29" t="s">
        <v>3201</v>
      </c>
      <c r="H29" t="s">
        <v>93</v>
      </c>
      <c r="I29" t="s">
        <v>3201</v>
      </c>
      <c r="L29" t="b">
        <v>0</v>
      </c>
      <c r="M29" t="s">
        <v>50</v>
      </c>
      <c r="N29" t="s">
        <v>26</v>
      </c>
      <c r="P29" t="s">
        <v>33</v>
      </c>
      <c r="Q29">
        <v>1</v>
      </c>
      <c r="R29">
        <v>5</v>
      </c>
      <c r="S29">
        <v>100.8749819375</v>
      </c>
      <c r="T29">
        <v>249148</v>
      </c>
      <c r="U29">
        <v>249148</v>
      </c>
      <c r="V29">
        <v>1</v>
      </c>
      <c r="W29">
        <v>0</v>
      </c>
      <c r="X29">
        <v>251328</v>
      </c>
      <c r="Y29">
        <v>251328</v>
      </c>
    </row>
    <row r="30" spans="1:25" x14ac:dyDescent="0.25">
      <c r="A30">
        <v>20</v>
      </c>
      <c r="B30" t="s">
        <v>25</v>
      </c>
      <c r="C30" t="s">
        <v>26</v>
      </c>
      <c r="D30" t="s">
        <v>3202</v>
      </c>
      <c r="E30">
        <v>206737</v>
      </c>
      <c r="G30" t="s">
        <v>3203</v>
      </c>
      <c r="H30" t="s">
        <v>93</v>
      </c>
      <c r="I30" t="s">
        <v>3203</v>
      </c>
      <c r="L30" t="b">
        <v>0</v>
      </c>
      <c r="M30" t="s">
        <v>50</v>
      </c>
      <c r="N30" t="s">
        <v>26</v>
      </c>
      <c r="P30" t="s">
        <v>33</v>
      </c>
      <c r="Q30">
        <v>1</v>
      </c>
      <c r="R30">
        <v>5</v>
      </c>
      <c r="S30">
        <v>100.87501991249999</v>
      </c>
      <c r="T30">
        <v>684213</v>
      </c>
      <c r="U30">
        <v>684213</v>
      </c>
      <c r="V30">
        <v>1</v>
      </c>
      <c r="W30">
        <v>0</v>
      </c>
      <c r="X30">
        <v>690200</v>
      </c>
      <c r="Y30">
        <v>690200</v>
      </c>
    </row>
    <row r="31" spans="1:25" x14ac:dyDescent="0.25">
      <c r="A31">
        <v>20</v>
      </c>
      <c r="B31" t="s">
        <v>25</v>
      </c>
      <c r="C31" t="s">
        <v>26</v>
      </c>
      <c r="D31" t="s">
        <v>3204</v>
      </c>
      <c r="E31">
        <v>209435</v>
      </c>
      <c r="G31" t="s">
        <v>3205</v>
      </c>
      <c r="H31" t="s">
        <v>93</v>
      </c>
      <c r="I31" t="s">
        <v>3205</v>
      </c>
      <c r="L31" t="b">
        <v>0</v>
      </c>
      <c r="M31" t="s">
        <v>50</v>
      </c>
      <c r="N31" t="s">
        <v>26</v>
      </c>
      <c r="P31" t="s">
        <v>33</v>
      </c>
      <c r="Q31">
        <v>1</v>
      </c>
      <c r="R31">
        <v>5</v>
      </c>
      <c r="S31">
        <v>100.8400047808</v>
      </c>
      <c r="T31">
        <v>4032358</v>
      </c>
      <c r="U31">
        <v>4032358</v>
      </c>
      <c r="V31">
        <v>1</v>
      </c>
      <c r="W31">
        <v>0</v>
      </c>
      <c r="X31">
        <v>4066230</v>
      </c>
      <c r="Y31">
        <v>4066230</v>
      </c>
    </row>
    <row r="32" spans="1:25" x14ac:dyDescent="0.25">
      <c r="A32">
        <v>20</v>
      </c>
      <c r="B32" t="s">
        <v>25</v>
      </c>
      <c r="C32" t="s">
        <v>26</v>
      </c>
      <c r="D32" t="s">
        <v>3206</v>
      </c>
      <c r="E32">
        <v>213988</v>
      </c>
      <c r="G32" t="s">
        <v>3207</v>
      </c>
      <c r="H32" t="s">
        <v>2652</v>
      </c>
      <c r="I32" t="s">
        <v>3207</v>
      </c>
      <c r="L32" t="b">
        <v>0</v>
      </c>
      <c r="M32" t="s">
        <v>50</v>
      </c>
      <c r="N32" t="s">
        <v>26</v>
      </c>
      <c r="P32" t="s">
        <v>33</v>
      </c>
      <c r="Q32">
        <v>1</v>
      </c>
      <c r="R32">
        <v>5</v>
      </c>
      <c r="S32">
        <v>103.2299952706</v>
      </c>
      <c r="T32">
        <v>5545922</v>
      </c>
      <c r="U32">
        <v>5545922</v>
      </c>
      <c r="V32">
        <v>1</v>
      </c>
      <c r="W32">
        <v>0</v>
      </c>
      <c r="X32">
        <v>5725055.0199999996</v>
      </c>
      <c r="Y32">
        <v>5725055.0199999996</v>
      </c>
    </row>
    <row r="33" spans="1:25" x14ac:dyDescent="0.25">
      <c r="A33">
        <v>20</v>
      </c>
      <c r="B33" t="s">
        <v>25</v>
      </c>
      <c r="C33" t="s">
        <v>26</v>
      </c>
      <c r="D33" t="s">
        <v>3208</v>
      </c>
      <c r="E33">
        <v>226392</v>
      </c>
      <c r="G33" t="s">
        <v>3209</v>
      </c>
      <c r="H33" t="s">
        <v>2652</v>
      </c>
      <c r="I33" t="s">
        <v>3209</v>
      </c>
      <c r="L33" t="b">
        <v>0</v>
      </c>
      <c r="M33" t="s">
        <v>50</v>
      </c>
      <c r="N33" t="s">
        <v>26</v>
      </c>
      <c r="P33" t="s">
        <v>33</v>
      </c>
      <c r="Q33">
        <v>1</v>
      </c>
      <c r="R33">
        <v>5</v>
      </c>
      <c r="S33">
        <v>100</v>
      </c>
      <c r="T33">
        <v>3952986</v>
      </c>
      <c r="U33">
        <v>3952986</v>
      </c>
      <c r="V33">
        <v>1</v>
      </c>
      <c r="W33">
        <v>0</v>
      </c>
      <c r="X33">
        <v>3952986</v>
      </c>
      <c r="Y33">
        <v>3952986</v>
      </c>
    </row>
    <row r="34" spans="1:25" x14ac:dyDescent="0.25">
      <c r="A34">
        <v>20</v>
      </c>
      <c r="B34" t="s">
        <v>25</v>
      </c>
      <c r="C34" t="s">
        <v>26</v>
      </c>
      <c r="D34" t="s">
        <v>3210</v>
      </c>
      <c r="E34">
        <v>225898</v>
      </c>
      <c r="G34" t="s">
        <v>3211</v>
      </c>
      <c r="H34" t="s">
        <v>2652</v>
      </c>
      <c r="I34" t="s">
        <v>3211</v>
      </c>
      <c r="L34" t="b">
        <v>0</v>
      </c>
      <c r="M34" t="s">
        <v>50</v>
      </c>
      <c r="N34" t="s">
        <v>26</v>
      </c>
      <c r="P34" t="s">
        <v>33</v>
      </c>
      <c r="Q34">
        <v>1</v>
      </c>
      <c r="R34">
        <v>5</v>
      </c>
      <c r="S34">
        <v>100</v>
      </c>
      <c r="T34">
        <v>7506909</v>
      </c>
      <c r="U34">
        <v>7506909</v>
      </c>
      <c r="V34">
        <v>1</v>
      </c>
      <c r="W34">
        <v>0</v>
      </c>
      <c r="X34">
        <v>7506909</v>
      </c>
      <c r="Y34">
        <v>7506909</v>
      </c>
    </row>
    <row r="35" spans="1:25" x14ac:dyDescent="0.25">
      <c r="A35">
        <v>20</v>
      </c>
      <c r="B35" t="s">
        <v>25</v>
      </c>
      <c r="C35" t="s">
        <v>26</v>
      </c>
      <c r="D35" t="s">
        <v>3212</v>
      </c>
      <c r="E35">
        <v>225899</v>
      </c>
      <c r="G35" t="s">
        <v>3213</v>
      </c>
      <c r="H35" t="s">
        <v>2652</v>
      </c>
      <c r="I35" t="s">
        <v>3213</v>
      </c>
      <c r="L35" t="b">
        <v>0</v>
      </c>
      <c r="M35" t="s">
        <v>50</v>
      </c>
      <c r="N35" t="s">
        <v>26</v>
      </c>
      <c r="P35" t="s">
        <v>33</v>
      </c>
      <c r="Q35">
        <v>1</v>
      </c>
      <c r="R35">
        <v>5</v>
      </c>
      <c r="S35">
        <v>100</v>
      </c>
      <c r="T35">
        <v>4760582</v>
      </c>
      <c r="U35">
        <v>4760582</v>
      </c>
      <c r="V35">
        <v>1</v>
      </c>
      <c r="W35">
        <v>0</v>
      </c>
      <c r="X35">
        <v>4760582</v>
      </c>
      <c r="Y35">
        <v>4760582</v>
      </c>
    </row>
    <row r="36" spans="1:25" x14ac:dyDescent="0.25">
      <c r="A36">
        <v>20</v>
      </c>
      <c r="B36" t="s">
        <v>25</v>
      </c>
      <c r="C36" t="s">
        <v>26</v>
      </c>
      <c r="D36" t="s">
        <v>3214</v>
      </c>
      <c r="E36">
        <v>225900</v>
      </c>
      <c r="G36" t="s">
        <v>3215</v>
      </c>
      <c r="H36" t="s">
        <v>2652</v>
      </c>
      <c r="I36" t="s">
        <v>3215</v>
      </c>
      <c r="L36" t="b">
        <v>0</v>
      </c>
      <c r="M36" t="s">
        <v>50</v>
      </c>
      <c r="N36" t="s">
        <v>26</v>
      </c>
      <c r="P36" t="s">
        <v>33</v>
      </c>
      <c r="Q36">
        <v>1</v>
      </c>
      <c r="R36">
        <v>5</v>
      </c>
      <c r="S36">
        <v>100</v>
      </c>
      <c r="T36">
        <v>3833284</v>
      </c>
      <c r="U36">
        <v>3833284</v>
      </c>
      <c r="V36">
        <v>1</v>
      </c>
      <c r="W36">
        <v>0</v>
      </c>
      <c r="X36">
        <v>3833284</v>
      </c>
      <c r="Y36">
        <v>3833284</v>
      </c>
    </row>
    <row r="37" spans="1:25" x14ac:dyDescent="0.25">
      <c r="A37">
        <v>20</v>
      </c>
      <c r="B37" t="s">
        <v>25</v>
      </c>
      <c r="C37" t="s">
        <v>26</v>
      </c>
      <c r="D37" t="s">
        <v>3216</v>
      </c>
      <c r="E37">
        <v>226393</v>
      </c>
      <c r="G37" t="s">
        <v>3217</v>
      </c>
      <c r="H37" t="s">
        <v>2652</v>
      </c>
      <c r="I37" t="s">
        <v>3217</v>
      </c>
      <c r="L37" t="b">
        <v>0</v>
      </c>
      <c r="M37" t="s">
        <v>50</v>
      </c>
      <c r="N37" t="s">
        <v>26</v>
      </c>
      <c r="P37" t="s">
        <v>33</v>
      </c>
      <c r="Q37">
        <v>1</v>
      </c>
      <c r="R37">
        <v>5</v>
      </c>
      <c r="S37">
        <v>100</v>
      </c>
      <c r="T37">
        <v>3176247</v>
      </c>
      <c r="U37">
        <v>3176247</v>
      </c>
      <c r="V37">
        <v>1</v>
      </c>
      <c r="W37">
        <v>0</v>
      </c>
      <c r="X37">
        <v>3176247</v>
      </c>
      <c r="Y37">
        <v>3176247</v>
      </c>
    </row>
    <row r="38" spans="1:25" x14ac:dyDescent="0.25">
      <c r="A38">
        <v>20</v>
      </c>
      <c r="B38" t="s">
        <v>25</v>
      </c>
      <c r="C38" t="s">
        <v>26</v>
      </c>
      <c r="D38" t="s">
        <v>3218</v>
      </c>
      <c r="E38">
        <v>226394</v>
      </c>
      <c r="G38" t="s">
        <v>3219</v>
      </c>
      <c r="H38" t="s">
        <v>2652</v>
      </c>
      <c r="I38" t="s">
        <v>3219</v>
      </c>
      <c r="L38" t="b">
        <v>0</v>
      </c>
      <c r="M38" t="s">
        <v>50</v>
      </c>
      <c r="N38" t="s">
        <v>26</v>
      </c>
      <c r="P38" t="s">
        <v>33</v>
      </c>
      <c r="Q38">
        <v>1</v>
      </c>
      <c r="R38">
        <v>5</v>
      </c>
      <c r="S38">
        <v>100</v>
      </c>
      <c r="T38">
        <v>4952290</v>
      </c>
      <c r="U38">
        <v>4952290</v>
      </c>
      <c r="V38">
        <v>1</v>
      </c>
      <c r="W38">
        <v>0</v>
      </c>
      <c r="X38">
        <v>4952290</v>
      </c>
      <c r="Y38">
        <v>4952290</v>
      </c>
    </row>
    <row r="39" spans="1:25" x14ac:dyDescent="0.25">
      <c r="A39">
        <v>20</v>
      </c>
      <c r="B39" t="s">
        <v>25</v>
      </c>
      <c r="C39" t="s">
        <v>26</v>
      </c>
      <c r="D39" t="s">
        <v>3220</v>
      </c>
      <c r="E39">
        <v>214497</v>
      </c>
      <c r="G39" t="s">
        <v>3221</v>
      </c>
      <c r="H39" t="s">
        <v>2652</v>
      </c>
      <c r="I39" t="s">
        <v>3221</v>
      </c>
      <c r="L39" t="b">
        <v>0</v>
      </c>
      <c r="M39" t="s">
        <v>50</v>
      </c>
      <c r="N39" t="s">
        <v>26</v>
      </c>
      <c r="P39" t="s">
        <v>33</v>
      </c>
      <c r="Q39">
        <v>1</v>
      </c>
      <c r="R39">
        <v>5</v>
      </c>
      <c r="S39">
        <v>102.8816705645</v>
      </c>
      <c r="T39">
        <v>3370649</v>
      </c>
      <c r="U39">
        <v>3370649</v>
      </c>
      <c r="V39">
        <v>1</v>
      </c>
      <c r="W39">
        <v>0</v>
      </c>
      <c r="X39">
        <v>3467780</v>
      </c>
      <c r="Y39">
        <v>3467780</v>
      </c>
    </row>
    <row r="40" spans="1:25" x14ac:dyDescent="0.25">
      <c r="A40">
        <v>20</v>
      </c>
      <c r="B40" t="s">
        <v>25</v>
      </c>
      <c r="C40" t="s">
        <v>26</v>
      </c>
      <c r="D40" t="s">
        <v>3222</v>
      </c>
      <c r="E40">
        <v>214498</v>
      </c>
      <c r="G40" t="s">
        <v>3223</v>
      </c>
      <c r="H40" t="s">
        <v>2652</v>
      </c>
      <c r="I40" t="s">
        <v>3223</v>
      </c>
      <c r="L40" t="b">
        <v>0</v>
      </c>
      <c r="M40" t="s">
        <v>50</v>
      </c>
      <c r="N40" t="s">
        <v>26</v>
      </c>
      <c r="P40" t="s">
        <v>33</v>
      </c>
      <c r="Q40">
        <v>1</v>
      </c>
      <c r="R40">
        <v>5</v>
      </c>
      <c r="S40">
        <v>102.8816817757</v>
      </c>
      <c r="T40">
        <v>3291099</v>
      </c>
      <c r="U40">
        <v>3291099</v>
      </c>
      <c r="V40">
        <v>1</v>
      </c>
      <c r="W40">
        <v>0</v>
      </c>
      <c r="X40">
        <v>3385938</v>
      </c>
      <c r="Y40">
        <v>3385938</v>
      </c>
    </row>
    <row r="41" spans="1:25" x14ac:dyDescent="0.25">
      <c r="A41">
        <v>20</v>
      </c>
      <c r="B41" t="s">
        <v>25</v>
      </c>
      <c r="C41" t="s">
        <v>26</v>
      </c>
      <c r="D41" t="s">
        <v>3224</v>
      </c>
      <c r="E41">
        <v>214499</v>
      </c>
      <c r="G41" t="s">
        <v>3225</v>
      </c>
      <c r="H41" t="s">
        <v>2652</v>
      </c>
      <c r="I41" t="s">
        <v>3225</v>
      </c>
      <c r="L41" t="b">
        <v>0</v>
      </c>
      <c r="M41" t="s">
        <v>50</v>
      </c>
      <c r="N41" t="s">
        <v>26</v>
      </c>
      <c r="P41" t="s">
        <v>33</v>
      </c>
      <c r="Q41">
        <v>1</v>
      </c>
      <c r="R41">
        <v>5</v>
      </c>
      <c r="S41">
        <v>102.8816662329</v>
      </c>
      <c r="T41">
        <v>2940868</v>
      </c>
      <c r="U41">
        <v>2940868</v>
      </c>
      <c r="V41">
        <v>1</v>
      </c>
      <c r="W41">
        <v>0</v>
      </c>
      <c r="X41">
        <v>3025614</v>
      </c>
      <c r="Y41">
        <v>3025614</v>
      </c>
    </row>
    <row r="42" spans="1:25" x14ac:dyDescent="0.25">
      <c r="A42">
        <v>20</v>
      </c>
      <c r="B42" t="s">
        <v>25</v>
      </c>
      <c r="C42" t="s">
        <v>26</v>
      </c>
      <c r="D42" t="s">
        <v>3226</v>
      </c>
      <c r="E42">
        <v>223326</v>
      </c>
      <c r="G42" t="s">
        <v>3227</v>
      </c>
      <c r="H42" t="s">
        <v>93</v>
      </c>
      <c r="I42" t="s">
        <v>3227</v>
      </c>
      <c r="L42" t="b">
        <v>0</v>
      </c>
      <c r="M42" t="s">
        <v>50</v>
      </c>
      <c r="N42" t="s">
        <v>26</v>
      </c>
      <c r="P42" t="s">
        <v>33</v>
      </c>
      <c r="Q42">
        <v>1</v>
      </c>
      <c r="R42">
        <v>5</v>
      </c>
      <c r="S42">
        <v>101.1759992092</v>
      </c>
      <c r="T42">
        <v>28287570</v>
      </c>
      <c r="U42">
        <v>28287570</v>
      </c>
      <c r="V42">
        <v>1</v>
      </c>
      <c r="W42">
        <v>0</v>
      </c>
      <c r="X42">
        <v>28620231.600000001</v>
      </c>
      <c r="Y42">
        <v>28620231.600000001</v>
      </c>
    </row>
    <row r="43" spans="1:25" x14ac:dyDescent="0.25">
      <c r="A43">
        <v>20</v>
      </c>
      <c r="B43" t="s">
        <v>25</v>
      </c>
      <c r="C43" t="s">
        <v>26</v>
      </c>
      <c r="D43" t="s">
        <v>3228</v>
      </c>
      <c r="E43">
        <v>223328</v>
      </c>
      <c r="G43" t="s">
        <v>3229</v>
      </c>
      <c r="H43" t="s">
        <v>93</v>
      </c>
      <c r="I43" t="s">
        <v>3229</v>
      </c>
      <c r="L43" t="b">
        <v>0</v>
      </c>
      <c r="M43" t="s">
        <v>50</v>
      </c>
      <c r="N43" t="s">
        <v>26</v>
      </c>
      <c r="P43" t="s">
        <v>33</v>
      </c>
      <c r="Q43">
        <v>1</v>
      </c>
      <c r="R43">
        <v>5</v>
      </c>
      <c r="S43">
        <v>101.17598725720001</v>
      </c>
      <c r="T43">
        <v>2399113</v>
      </c>
      <c r="U43">
        <v>2399113</v>
      </c>
      <c r="V43">
        <v>1</v>
      </c>
      <c r="W43">
        <v>0</v>
      </c>
      <c r="X43">
        <v>2427326.2599999998</v>
      </c>
      <c r="Y43">
        <v>2427326.2599999998</v>
      </c>
    </row>
    <row r="44" spans="1:25" x14ac:dyDescent="0.25">
      <c r="A44">
        <v>20</v>
      </c>
      <c r="B44" t="s">
        <v>25</v>
      </c>
      <c r="C44" t="s">
        <v>26</v>
      </c>
      <c r="D44" t="s">
        <v>3230</v>
      </c>
      <c r="E44">
        <v>223329</v>
      </c>
      <c r="G44" t="s">
        <v>3231</v>
      </c>
      <c r="H44" t="s">
        <v>93</v>
      </c>
      <c r="I44" t="s">
        <v>3231</v>
      </c>
      <c r="L44" t="b">
        <v>0</v>
      </c>
      <c r="M44" t="s">
        <v>50</v>
      </c>
      <c r="N44" t="s">
        <v>26</v>
      </c>
      <c r="P44" t="s">
        <v>33</v>
      </c>
      <c r="Q44">
        <v>1</v>
      </c>
      <c r="R44">
        <v>5</v>
      </c>
      <c r="S44">
        <v>101.1759999508</v>
      </c>
      <c r="T44">
        <v>18193932</v>
      </c>
      <c r="U44">
        <v>18193932</v>
      </c>
      <c r="V44">
        <v>1</v>
      </c>
      <c r="W44">
        <v>0</v>
      </c>
      <c r="X44">
        <v>18407892.629999999</v>
      </c>
      <c r="Y44">
        <v>18407892.629999999</v>
      </c>
    </row>
    <row r="45" spans="1:25" x14ac:dyDescent="0.25">
      <c r="A45">
        <v>20</v>
      </c>
      <c r="B45" t="s">
        <v>25</v>
      </c>
      <c r="C45" t="s">
        <v>26</v>
      </c>
      <c r="D45" t="s">
        <v>3232</v>
      </c>
      <c r="E45">
        <v>223330</v>
      </c>
      <c r="G45" t="s">
        <v>3233</v>
      </c>
      <c r="H45" t="s">
        <v>93</v>
      </c>
      <c r="I45" t="s">
        <v>3233</v>
      </c>
      <c r="L45" t="b">
        <v>0</v>
      </c>
      <c r="M45" t="s">
        <v>50</v>
      </c>
      <c r="N45" t="s">
        <v>26</v>
      </c>
      <c r="P45" t="s">
        <v>33</v>
      </c>
      <c r="Q45">
        <v>1</v>
      </c>
      <c r="R45">
        <v>5</v>
      </c>
      <c r="S45">
        <v>101.17599850000001</v>
      </c>
      <c r="T45">
        <v>19357812</v>
      </c>
      <c r="U45">
        <v>19357812</v>
      </c>
      <c r="V45">
        <v>1</v>
      </c>
      <c r="W45">
        <v>0</v>
      </c>
      <c r="X45">
        <v>19585459.579999998</v>
      </c>
      <c r="Y45">
        <v>19585459.579999998</v>
      </c>
    </row>
    <row r="46" spans="1:25" x14ac:dyDescent="0.25">
      <c r="A46">
        <v>20</v>
      </c>
      <c r="B46" t="s">
        <v>25</v>
      </c>
      <c r="C46" t="s">
        <v>26</v>
      </c>
      <c r="D46" t="s">
        <v>3234</v>
      </c>
      <c r="E46">
        <v>223331</v>
      </c>
      <c r="G46" t="s">
        <v>3235</v>
      </c>
      <c r="H46" t="s">
        <v>93</v>
      </c>
      <c r="I46" t="s">
        <v>3235</v>
      </c>
      <c r="L46" t="b">
        <v>0</v>
      </c>
      <c r="M46" t="s">
        <v>50</v>
      </c>
      <c r="N46" t="s">
        <v>26</v>
      </c>
      <c r="P46" t="s">
        <v>33</v>
      </c>
      <c r="Q46">
        <v>1</v>
      </c>
      <c r="R46">
        <v>5</v>
      </c>
      <c r="S46">
        <v>101.176000174</v>
      </c>
      <c r="T46">
        <v>15137914</v>
      </c>
      <c r="U46">
        <v>15137914</v>
      </c>
      <c r="V46">
        <v>1</v>
      </c>
      <c r="W46">
        <v>0</v>
      </c>
      <c r="X46">
        <v>15315935.890000001</v>
      </c>
      <c r="Y46">
        <v>15315935.890000001</v>
      </c>
    </row>
    <row r="47" spans="1:25" x14ac:dyDescent="0.25">
      <c r="A47">
        <v>20</v>
      </c>
      <c r="B47" t="s">
        <v>25</v>
      </c>
      <c r="C47" t="s">
        <v>26</v>
      </c>
      <c r="D47" t="s">
        <v>3236</v>
      </c>
      <c r="E47">
        <v>223519</v>
      </c>
      <c r="G47" t="s">
        <v>3237</v>
      </c>
      <c r="H47" t="s">
        <v>93</v>
      </c>
      <c r="I47" t="s">
        <v>3237</v>
      </c>
      <c r="L47" t="b">
        <v>0</v>
      </c>
      <c r="M47" t="s">
        <v>50</v>
      </c>
      <c r="N47" t="s">
        <v>26</v>
      </c>
      <c r="P47" t="s">
        <v>33</v>
      </c>
      <c r="Q47">
        <v>1</v>
      </c>
      <c r="R47">
        <v>5</v>
      </c>
      <c r="S47">
        <v>101.19999871</v>
      </c>
      <c r="T47">
        <v>23179678</v>
      </c>
      <c r="U47">
        <v>23179678</v>
      </c>
      <c r="V47">
        <v>1</v>
      </c>
      <c r="W47">
        <v>0</v>
      </c>
      <c r="X47">
        <v>23457833.84</v>
      </c>
      <c r="Y47">
        <v>23457833.84</v>
      </c>
    </row>
    <row r="48" spans="1:25" x14ac:dyDescent="0.25">
      <c r="A48">
        <v>20</v>
      </c>
      <c r="B48" t="s">
        <v>25</v>
      </c>
      <c r="C48" t="s">
        <v>26</v>
      </c>
      <c r="D48" t="s">
        <v>3238</v>
      </c>
      <c r="E48">
        <v>224197</v>
      </c>
      <c r="G48" t="s">
        <v>3239</v>
      </c>
      <c r="H48" t="s">
        <v>93</v>
      </c>
      <c r="I48" t="s">
        <v>3239</v>
      </c>
      <c r="L48" t="b">
        <v>0</v>
      </c>
      <c r="M48" t="s">
        <v>50</v>
      </c>
      <c r="N48" t="s">
        <v>26</v>
      </c>
      <c r="P48" t="s">
        <v>33</v>
      </c>
      <c r="Q48">
        <v>1</v>
      </c>
      <c r="R48">
        <v>5</v>
      </c>
      <c r="S48">
        <v>100.9473336997</v>
      </c>
      <c r="T48">
        <v>80083101</v>
      </c>
      <c r="U48">
        <v>80083101</v>
      </c>
      <c r="V48">
        <v>1</v>
      </c>
      <c r="W48">
        <v>0</v>
      </c>
      <c r="X48">
        <v>80841755.200000003</v>
      </c>
      <c r="Y48">
        <v>80841755.200000003</v>
      </c>
    </row>
    <row r="49" spans="1:25" x14ac:dyDescent="0.25">
      <c r="A49">
        <v>20</v>
      </c>
      <c r="B49" t="s">
        <v>25</v>
      </c>
      <c r="C49" t="s">
        <v>26</v>
      </c>
      <c r="D49" t="s">
        <v>3240</v>
      </c>
      <c r="E49">
        <v>224970</v>
      </c>
      <c r="G49" t="s">
        <v>3241</v>
      </c>
      <c r="H49" t="s">
        <v>93</v>
      </c>
      <c r="I49" t="s">
        <v>3241</v>
      </c>
      <c r="L49" t="b">
        <v>0</v>
      </c>
      <c r="M49" t="s">
        <v>50</v>
      </c>
      <c r="N49" t="s">
        <v>26</v>
      </c>
      <c r="P49" t="s">
        <v>33</v>
      </c>
      <c r="Q49">
        <v>1</v>
      </c>
      <c r="R49">
        <v>5</v>
      </c>
      <c r="S49">
        <v>100.8166665975</v>
      </c>
      <c r="T49">
        <v>37390741</v>
      </c>
      <c r="U49">
        <v>37390741</v>
      </c>
      <c r="V49">
        <v>1</v>
      </c>
      <c r="W49">
        <v>0</v>
      </c>
      <c r="X49">
        <v>37696098.689999998</v>
      </c>
      <c r="Y49">
        <v>37696098.689999998</v>
      </c>
    </row>
    <row r="50" spans="1:25" x14ac:dyDescent="0.25">
      <c r="A50">
        <v>20</v>
      </c>
      <c r="B50" t="s">
        <v>25</v>
      </c>
      <c r="C50" t="s">
        <v>26</v>
      </c>
      <c r="D50" t="s">
        <v>3242</v>
      </c>
      <c r="E50">
        <v>227436</v>
      </c>
      <c r="G50" t="s">
        <v>3243</v>
      </c>
      <c r="H50" t="s">
        <v>93</v>
      </c>
      <c r="I50" t="s">
        <v>3243</v>
      </c>
      <c r="L50" t="b">
        <v>0</v>
      </c>
      <c r="M50" t="s">
        <v>50</v>
      </c>
      <c r="N50" t="s">
        <v>26</v>
      </c>
      <c r="P50" t="s">
        <v>33</v>
      </c>
      <c r="Q50">
        <v>1</v>
      </c>
      <c r="R50">
        <v>5</v>
      </c>
      <c r="S50">
        <v>100.2333332246</v>
      </c>
      <c r="T50">
        <v>56421804</v>
      </c>
      <c r="U50">
        <v>56421804</v>
      </c>
      <c r="V50">
        <v>1</v>
      </c>
      <c r="W50">
        <v>0</v>
      </c>
      <c r="X50">
        <v>56553454.810000002</v>
      </c>
      <c r="Y50">
        <v>56553454.810000002</v>
      </c>
    </row>
    <row r="51" spans="1:25" x14ac:dyDescent="0.25">
      <c r="A51">
        <v>20</v>
      </c>
      <c r="B51" t="s">
        <v>25</v>
      </c>
      <c r="C51" t="s">
        <v>26</v>
      </c>
      <c r="D51" t="s">
        <v>3244</v>
      </c>
      <c r="E51">
        <v>227568</v>
      </c>
      <c r="G51" t="s">
        <v>3245</v>
      </c>
      <c r="H51" t="s">
        <v>93</v>
      </c>
      <c r="I51" t="s">
        <v>3245</v>
      </c>
      <c r="L51" t="b">
        <v>0</v>
      </c>
      <c r="M51" t="s">
        <v>50</v>
      </c>
      <c r="N51" t="s">
        <v>26</v>
      </c>
      <c r="P51" t="s">
        <v>33</v>
      </c>
      <c r="Q51">
        <v>1</v>
      </c>
      <c r="R51">
        <v>5</v>
      </c>
      <c r="S51">
        <v>100.1333342404</v>
      </c>
      <c r="T51">
        <v>8378193</v>
      </c>
      <c r="U51">
        <v>8378193</v>
      </c>
      <c r="V51">
        <v>1</v>
      </c>
      <c r="W51">
        <v>0</v>
      </c>
      <c r="X51">
        <v>8389364</v>
      </c>
      <c r="Y51">
        <v>8389364</v>
      </c>
    </row>
    <row r="52" spans="1:25" x14ac:dyDescent="0.25">
      <c r="A52">
        <v>20</v>
      </c>
      <c r="B52" t="s">
        <v>25</v>
      </c>
      <c r="C52" t="s">
        <v>26</v>
      </c>
      <c r="D52" t="s">
        <v>3246</v>
      </c>
      <c r="E52">
        <v>227567</v>
      </c>
      <c r="G52" t="s">
        <v>3247</v>
      </c>
      <c r="H52" t="s">
        <v>93</v>
      </c>
      <c r="I52" t="s">
        <v>3247</v>
      </c>
      <c r="L52" t="b">
        <v>0</v>
      </c>
      <c r="M52" t="s">
        <v>50</v>
      </c>
      <c r="N52" t="s">
        <v>26</v>
      </c>
      <c r="P52" t="s">
        <v>33</v>
      </c>
      <c r="Q52">
        <v>1</v>
      </c>
      <c r="R52">
        <v>5</v>
      </c>
      <c r="S52">
        <v>100.13336495679999</v>
      </c>
      <c r="T52">
        <v>177083</v>
      </c>
      <c r="U52">
        <v>177083</v>
      </c>
      <c r="V52">
        <v>1</v>
      </c>
      <c r="W52">
        <v>0</v>
      </c>
      <c r="X52">
        <v>177319.17</v>
      </c>
      <c r="Y52">
        <v>177319.17</v>
      </c>
    </row>
    <row r="53" spans="1:25" x14ac:dyDescent="0.25">
      <c r="A53">
        <v>20</v>
      </c>
      <c r="B53" t="s">
        <v>25</v>
      </c>
      <c r="C53" t="s">
        <v>26</v>
      </c>
      <c r="D53" t="s">
        <v>3248</v>
      </c>
      <c r="E53">
        <v>227559</v>
      </c>
      <c r="G53" t="s">
        <v>3249</v>
      </c>
      <c r="H53" t="s">
        <v>93</v>
      </c>
      <c r="I53" t="s">
        <v>3249</v>
      </c>
      <c r="L53" t="b">
        <v>0</v>
      </c>
      <c r="M53" t="s">
        <v>50</v>
      </c>
      <c r="N53" t="s">
        <v>26</v>
      </c>
      <c r="P53" t="s">
        <v>33</v>
      </c>
      <c r="Q53">
        <v>1</v>
      </c>
      <c r="R53">
        <v>5</v>
      </c>
      <c r="S53">
        <v>100.133335766</v>
      </c>
      <c r="T53">
        <v>1534722</v>
      </c>
      <c r="U53">
        <v>1534722</v>
      </c>
      <c r="V53">
        <v>1</v>
      </c>
      <c r="W53">
        <v>0</v>
      </c>
      <c r="X53">
        <v>1536768.33</v>
      </c>
      <c r="Y53">
        <v>1536768.33</v>
      </c>
    </row>
    <row r="54" spans="1:25" x14ac:dyDescent="0.25">
      <c r="A54">
        <v>20</v>
      </c>
      <c r="B54" t="s">
        <v>25</v>
      </c>
      <c r="C54" t="s">
        <v>26</v>
      </c>
      <c r="D54" t="s">
        <v>3250</v>
      </c>
      <c r="E54">
        <v>227558</v>
      </c>
      <c r="G54" t="s">
        <v>3251</v>
      </c>
      <c r="H54" t="s">
        <v>93</v>
      </c>
      <c r="I54" t="s">
        <v>3251</v>
      </c>
      <c r="L54" t="b">
        <v>0</v>
      </c>
      <c r="M54" t="s">
        <v>50</v>
      </c>
      <c r="N54" t="s">
        <v>26</v>
      </c>
      <c r="P54" t="s">
        <v>33</v>
      </c>
      <c r="Q54">
        <v>1</v>
      </c>
      <c r="R54">
        <v>5</v>
      </c>
      <c r="S54">
        <v>100.1333342976</v>
      </c>
      <c r="T54">
        <v>1936111</v>
      </c>
      <c r="U54">
        <v>1936111</v>
      </c>
      <c r="V54">
        <v>1</v>
      </c>
      <c r="W54">
        <v>0</v>
      </c>
      <c r="X54">
        <v>1938692.5</v>
      </c>
      <c r="Y54">
        <v>1938692.5</v>
      </c>
    </row>
    <row r="55" spans="1:25" x14ac:dyDescent="0.25">
      <c r="A55">
        <v>20</v>
      </c>
      <c r="B55" t="s">
        <v>25</v>
      </c>
      <c r="C55" t="s">
        <v>26</v>
      </c>
      <c r="D55" t="s">
        <v>3252</v>
      </c>
      <c r="E55">
        <v>227569</v>
      </c>
      <c r="G55" t="s">
        <v>3253</v>
      </c>
      <c r="H55" t="s">
        <v>93</v>
      </c>
      <c r="I55" t="s">
        <v>3253</v>
      </c>
      <c r="L55" t="b">
        <v>0</v>
      </c>
      <c r="M55" t="s">
        <v>50</v>
      </c>
      <c r="N55" t="s">
        <v>26</v>
      </c>
      <c r="P55" t="s">
        <v>33</v>
      </c>
      <c r="Q55">
        <v>1</v>
      </c>
      <c r="R55">
        <v>5</v>
      </c>
      <c r="S55">
        <v>100.1333356232</v>
      </c>
      <c r="T55">
        <v>2561956</v>
      </c>
      <c r="U55">
        <v>2561956</v>
      </c>
      <c r="V55">
        <v>1</v>
      </c>
      <c r="W55">
        <v>0</v>
      </c>
      <c r="X55">
        <v>2565372</v>
      </c>
      <c r="Y55">
        <v>2565372</v>
      </c>
    </row>
    <row r="56" spans="1:25" x14ac:dyDescent="0.25">
      <c r="A56">
        <v>20</v>
      </c>
      <c r="B56" t="s">
        <v>25</v>
      </c>
      <c r="C56" t="s">
        <v>26</v>
      </c>
      <c r="D56" t="s">
        <v>3254</v>
      </c>
      <c r="E56">
        <v>227566</v>
      </c>
      <c r="G56" t="s">
        <v>3255</v>
      </c>
      <c r="H56" t="s">
        <v>93</v>
      </c>
      <c r="I56" t="s">
        <v>3255</v>
      </c>
      <c r="L56" t="b">
        <v>0</v>
      </c>
      <c r="M56" t="s">
        <v>50</v>
      </c>
      <c r="N56" t="s">
        <v>26</v>
      </c>
      <c r="P56" t="s">
        <v>33</v>
      </c>
      <c r="Q56">
        <v>1</v>
      </c>
      <c r="R56">
        <v>5</v>
      </c>
      <c r="S56">
        <v>100.1333529508</v>
      </c>
      <c r="T56">
        <v>285458</v>
      </c>
      <c r="U56">
        <v>285458</v>
      </c>
      <c r="V56">
        <v>1</v>
      </c>
      <c r="W56">
        <v>0</v>
      </c>
      <c r="X56">
        <v>285838.67</v>
      </c>
      <c r="Y56">
        <v>285838.67</v>
      </c>
    </row>
    <row r="57" spans="1:25" x14ac:dyDescent="0.25">
      <c r="A57">
        <v>20</v>
      </c>
      <c r="B57" t="s">
        <v>25</v>
      </c>
      <c r="C57" t="s">
        <v>26</v>
      </c>
      <c r="D57" t="s">
        <v>3256</v>
      </c>
      <c r="E57">
        <v>227565</v>
      </c>
      <c r="G57" t="s">
        <v>3257</v>
      </c>
      <c r="H57" t="s">
        <v>93</v>
      </c>
      <c r="I57" t="s">
        <v>3257</v>
      </c>
      <c r="L57" t="b">
        <v>0</v>
      </c>
      <c r="M57" t="s">
        <v>50</v>
      </c>
      <c r="N57" t="s">
        <v>26</v>
      </c>
      <c r="P57" t="s">
        <v>33</v>
      </c>
      <c r="Q57">
        <v>1</v>
      </c>
      <c r="R57">
        <v>5</v>
      </c>
      <c r="S57">
        <v>100.1333332624</v>
      </c>
      <c r="T57">
        <v>15070008</v>
      </c>
      <c r="U57">
        <v>15070008</v>
      </c>
      <c r="V57">
        <v>1</v>
      </c>
      <c r="W57">
        <v>0</v>
      </c>
      <c r="X57">
        <v>15090101.33</v>
      </c>
      <c r="Y57">
        <v>15090101.33</v>
      </c>
    </row>
    <row r="58" spans="1:25" x14ac:dyDescent="0.25">
      <c r="A58">
        <v>20</v>
      </c>
      <c r="B58" t="s">
        <v>25</v>
      </c>
      <c r="C58" t="s">
        <v>26</v>
      </c>
      <c r="D58" t="s">
        <v>3258</v>
      </c>
      <c r="E58">
        <v>227564</v>
      </c>
      <c r="G58" t="s">
        <v>3259</v>
      </c>
      <c r="H58" t="s">
        <v>93</v>
      </c>
      <c r="I58" t="s">
        <v>3259</v>
      </c>
      <c r="L58" t="b">
        <v>0</v>
      </c>
      <c r="M58" t="s">
        <v>50</v>
      </c>
      <c r="N58" t="s">
        <v>26</v>
      </c>
      <c r="P58" t="s">
        <v>33</v>
      </c>
      <c r="Q58">
        <v>1</v>
      </c>
      <c r="R58">
        <v>5</v>
      </c>
      <c r="S58">
        <v>100.1333335592</v>
      </c>
      <c r="T58">
        <v>8268611</v>
      </c>
      <c r="U58">
        <v>8268611</v>
      </c>
      <c r="V58">
        <v>1</v>
      </c>
      <c r="W58">
        <v>0</v>
      </c>
      <c r="X58">
        <v>8279635.8300000001</v>
      </c>
      <c r="Y58">
        <v>8279635.8300000001</v>
      </c>
    </row>
    <row r="59" spans="1:25" x14ac:dyDescent="0.25">
      <c r="A59">
        <v>20</v>
      </c>
      <c r="B59" t="s">
        <v>25</v>
      </c>
      <c r="C59" t="s">
        <v>26</v>
      </c>
      <c r="D59" t="s">
        <v>3260</v>
      </c>
      <c r="E59">
        <v>227557</v>
      </c>
      <c r="G59" t="s">
        <v>3261</v>
      </c>
      <c r="H59" t="s">
        <v>93</v>
      </c>
      <c r="I59" t="s">
        <v>3261</v>
      </c>
      <c r="L59" t="b">
        <v>0</v>
      </c>
      <c r="M59" t="s">
        <v>50</v>
      </c>
      <c r="N59" t="s">
        <v>26</v>
      </c>
      <c r="P59" t="s">
        <v>33</v>
      </c>
      <c r="Q59">
        <v>1</v>
      </c>
      <c r="R59">
        <v>5</v>
      </c>
      <c r="S59">
        <v>100.1333321628</v>
      </c>
      <c r="T59">
        <v>4784792</v>
      </c>
      <c r="U59">
        <v>4784792</v>
      </c>
      <c r="V59">
        <v>1</v>
      </c>
      <c r="W59">
        <v>0</v>
      </c>
      <c r="X59">
        <v>4791171.67</v>
      </c>
      <c r="Y59">
        <v>4791171.67</v>
      </c>
    </row>
    <row r="60" spans="1:25" x14ac:dyDescent="0.25">
      <c r="A60">
        <v>20</v>
      </c>
      <c r="B60" t="s">
        <v>25</v>
      </c>
      <c r="C60" t="s">
        <v>26</v>
      </c>
      <c r="D60" t="s">
        <v>3262</v>
      </c>
      <c r="E60">
        <v>227562</v>
      </c>
      <c r="G60" t="s">
        <v>3263</v>
      </c>
      <c r="H60" t="s">
        <v>93</v>
      </c>
      <c r="I60" t="s">
        <v>3263</v>
      </c>
      <c r="L60" t="b">
        <v>0</v>
      </c>
      <c r="M60" t="s">
        <v>50</v>
      </c>
      <c r="N60" t="s">
        <v>26</v>
      </c>
      <c r="P60" t="s">
        <v>33</v>
      </c>
      <c r="Q60">
        <v>1</v>
      </c>
      <c r="R60">
        <v>5</v>
      </c>
      <c r="S60">
        <v>100.1333363884</v>
      </c>
      <c r="T60">
        <v>2138576</v>
      </c>
      <c r="U60">
        <v>2138576</v>
      </c>
      <c r="V60">
        <v>1</v>
      </c>
      <c r="W60">
        <v>0</v>
      </c>
      <c r="X60">
        <v>2141427.5</v>
      </c>
      <c r="Y60">
        <v>2141427.5</v>
      </c>
    </row>
    <row r="61" spans="1:25" x14ac:dyDescent="0.25">
      <c r="A61">
        <v>20</v>
      </c>
      <c r="B61" t="s">
        <v>25</v>
      </c>
      <c r="C61" t="s">
        <v>26</v>
      </c>
      <c r="D61" t="s">
        <v>3264</v>
      </c>
      <c r="E61">
        <v>227556</v>
      </c>
      <c r="G61" t="s">
        <v>3265</v>
      </c>
      <c r="H61" t="s">
        <v>93</v>
      </c>
      <c r="I61" t="s">
        <v>3265</v>
      </c>
      <c r="L61" t="b">
        <v>0</v>
      </c>
      <c r="M61" t="s">
        <v>50</v>
      </c>
      <c r="N61" t="s">
        <v>26</v>
      </c>
      <c r="P61" t="s">
        <v>33</v>
      </c>
      <c r="Q61">
        <v>1</v>
      </c>
      <c r="R61">
        <v>5</v>
      </c>
      <c r="S61">
        <v>100.1333333332</v>
      </c>
      <c r="T61">
        <v>752250</v>
      </c>
      <c r="U61">
        <v>752250</v>
      </c>
      <c r="V61">
        <v>1</v>
      </c>
      <c r="W61">
        <v>0</v>
      </c>
      <c r="X61">
        <v>753253</v>
      </c>
      <c r="Y61">
        <v>753253</v>
      </c>
    </row>
    <row r="62" spans="1:25" x14ac:dyDescent="0.25">
      <c r="A62">
        <v>20</v>
      </c>
      <c r="B62" t="s">
        <v>25</v>
      </c>
      <c r="C62" t="s">
        <v>26</v>
      </c>
      <c r="D62" t="s">
        <v>3266</v>
      </c>
      <c r="E62">
        <v>227555</v>
      </c>
      <c r="G62" t="s">
        <v>3267</v>
      </c>
      <c r="H62" t="s">
        <v>93</v>
      </c>
      <c r="I62" t="s">
        <v>3267</v>
      </c>
      <c r="L62" t="b">
        <v>0</v>
      </c>
      <c r="M62" t="s">
        <v>50</v>
      </c>
      <c r="N62" t="s">
        <v>26</v>
      </c>
      <c r="P62" t="s">
        <v>33</v>
      </c>
      <c r="Q62">
        <v>1</v>
      </c>
      <c r="R62">
        <v>5</v>
      </c>
      <c r="S62">
        <v>100.13333334399999</v>
      </c>
      <c r="T62">
        <v>24576248</v>
      </c>
      <c r="U62">
        <v>24576248</v>
      </c>
      <c r="V62">
        <v>1</v>
      </c>
      <c r="W62">
        <v>0</v>
      </c>
      <c r="X62">
        <v>24609016.329999998</v>
      </c>
      <c r="Y62">
        <v>24609016.329999998</v>
      </c>
    </row>
    <row r="63" spans="1:25" x14ac:dyDescent="0.25">
      <c r="A63">
        <v>20</v>
      </c>
      <c r="B63" t="s">
        <v>25</v>
      </c>
      <c r="C63" t="s">
        <v>26</v>
      </c>
      <c r="D63" t="s">
        <v>3268</v>
      </c>
      <c r="E63">
        <v>227560</v>
      </c>
      <c r="G63" t="s">
        <v>3269</v>
      </c>
      <c r="H63" t="s">
        <v>93</v>
      </c>
      <c r="I63" t="s">
        <v>3269</v>
      </c>
      <c r="L63" t="b">
        <v>0</v>
      </c>
      <c r="M63" t="s">
        <v>50</v>
      </c>
      <c r="N63" t="s">
        <v>26</v>
      </c>
      <c r="P63" t="s">
        <v>33</v>
      </c>
      <c r="Q63">
        <v>1</v>
      </c>
      <c r="R63">
        <v>5</v>
      </c>
      <c r="S63">
        <v>100.1333338732</v>
      </c>
      <c r="T63">
        <v>7904343</v>
      </c>
      <c r="U63">
        <v>7904343</v>
      </c>
      <c r="V63">
        <v>1</v>
      </c>
      <c r="W63">
        <v>0</v>
      </c>
      <c r="X63">
        <v>7914882.1699999999</v>
      </c>
      <c r="Y63">
        <v>7914882.1699999999</v>
      </c>
    </row>
    <row r="64" spans="1:25" x14ac:dyDescent="0.25">
      <c r="A64">
        <v>20</v>
      </c>
      <c r="B64" t="s">
        <v>25</v>
      </c>
      <c r="C64" t="s">
        <v>26</v>
      </c>
      <c r="D64" t="s">
        <v>3270</v>
      </c>
      <c r="E64">
        <v>227573</v>
      </c>
      <c r="G64" t="s">
        <v>3271</v>
      </c>
      <c r="H64" t="s">
        <v>93</v>
      </c>
      <c r="I64" t="s">
        <v>3271</v>
      </c>
      <c r="L64" t="b">
        <v>0</v>
      </c>
      <c r="M64" t="s">
        <v>50</v>
      </c>
      <c r="N64" t="s">
        <v>26</v>
      </c>
      <c r="P64" t="s">
        <v>33</v>
      </c>
      <c r="Q64">
        <v>1</v>
      </c>
      <c r="R64">
        <v>5</v>
      </c>
      <c r="S64">
        <v>100.1333338224</v>
      </c>
      <c r="T64">
        <v>3816736</v>
      </c>
      <c r="U64">
        <v>3816736</v>
      </c>
      <c r="V64">
        <v>1</v>
      </c>
      <c r="W64">
        <v>0</v>
      </c>
      <c r="X64">
        <v>3821825</v>
      </c>
      <c r="Y64">
        <v>3821825</v>
      </c>
    </row>
    <row r="65" spans="1:25" x14ac:dyDescent="0.25">
      <c r="A65">
        <v>20</v>
      </c>
      <c r="B65" t="s">
        <v>25</v>
      </c>
      <c r="C65" t="s">
        <v>26</v>
      </c>
      <c r="D65" t="s">
        <v>3272</v>
      </c>
      <c r="E65">
        <v>227574</v>
      </c>
      <c r="G65" t="s">
        <v>3273</v>
      </c>
      <c r="H65" t="s">
        <v>93</v>
      </c>
      <c r="I65" t="s">
        <v>3273</v>
      </c>
      <c r="L65" t="b">
        <v>0</v>
      </c>
      <c r="M65" t="s">
        <v>50</v>
      </c>
      <c r="N65" t="s">
        <v>26</v>
      </c>
      <c r="P65" t="s">
        <v>33</v>
      </c>
      <c r="Q65">
        <v>1</v>
      </c>
      <c r="R65">
        <v>5</v>
      </c>
      <c r="S65">
        <v>100.1333327648</v>
      </c>
      <c r="T65">
        <v>3284014</v>
      </c>
      <c r="U65">
        <v>3284014</v>
      </c>
      <c r="V65">
        <v>1</v>
      </c>
      <c r="W65">
        <v>0</v>
      </c>
      <c r="X65">
        <v>3288392.67</v>
      </c>
      <c r="Y65">
        <v>3288392.67</v>
      </c>
    </row>
    <row r="66" spans="1:25" x14ac:dyDescent="0.25">
      <c r="A66">
        <v>20</v>
      </c>
      <c r="B66" t="s">
        <v>25</v>
      </c>
      <c r="C66" t="s">
        <v>26</v>
      </c>
      <c r="D66" t="s">
        <v>3274</v>
      </c>
      <c r="E66">
        <v>227561</v>
      </c>
      <c r="G66" t="s">
        <v>3275</v>
      </c>
      <c r="H66" t="s">
        <v>93</v>
      </c>
      <c r="I66" t="s">
        <v>3275</v>
      </c>
      <c r="L66" t="b">
        <v>0</v>
      </c>
      <c r="M66" t="s">
        <v>50</v>
      </c>
      <c r="N66" t="s">
        <v>26</v>
      </c>
      <c r="P66" t="s">
        <v>33</v>
      </c>
      <c r="Q66">
        <v>1</v>
      </c>
      <c r="R66">
        <v>5</v>
      </c>
      <c r="S66">
        <v>100.1333374944</v>
      </c>
      <c r="T66">
        <v>897222</v>
      </c>
      <c r="U66">
        <v>897222</v>
      </c>
      <c r="V66">
        <v>1</v>
      </c>
      <c r="W66">
        <v>0</v>
      </c>
      <c r="X66">
        <v>898418.33</v>
      </c>
      <c r="Y66">
        <v>898418.33</v>
      </c>
    </row>
    <row r="67" spans="1:25" x14ac:dyDescent="0.25">
      <c r="A67">
        <v>20</v>
      </c>
      <c r="B67" t="s">
        <v>25</v>
      </c>
      <c r="C67" t="s">
        <v>26</v>
      </c>
      <c r="D67" t="s">
        <v>3276</v>
      </c>
      <c r="E67">
        <v>227572</v>
      </c>
      <c r="G67" t="s">
        <v>3277</v>
      </c>
      <c r="H67" t="s">
        <v>93</v>
      </c>
      <c r="I67" t="s">
        <v>3277</v>
      </c>
      <c r="L67" t="b">
        <v>0</v>
      </c>
      <c r="M67" t="s">
        <v>50</v>
      </c>
      <c r="N67" t="s">
        <v>26</v>
      </c>
      <c r="P67" t="s">
        <v>33</v>
      </c>
      <c r="Q67">
        <v>1</v>
      </c>
      <c r="R67">
        <v>5</v>
      </c>
      <c r="S67">
        <v>100.1333378228</v>
      </c>
      <c r="T67">
        <v>1069214</v>
      </c>
      <c r="U67">
        <v>1069214</v>
      </c>
      <c r="V67">
        <v>1</v>
      </c>
      <c r="W67">
        <v>0</v>
      </c>
      <c r="X67">
        <v>1070639.67</v>
      </c>
      <c r="Y67">
        <v>1070639.67</v>
      </c>
    </row>
    <row r="68" spans="1:25" x14ac:dyDescent="0.25">
      <c r="A68">
        <v>20</v>
      </c>
      <c r="B68" t="s">
        <v>25</v>
      </c>
      <c r="C68" t="s">
        <v>26</v>
      </c>
      <c r="D68" t="s">
        <v>3278</v>
      </c>
      <c r="E68">
        <v>227563</v>
      </c>
      <c r="G68" t="s">
        <v>3279</v>
      </c>
      <c r="H68" t="s">
        <v>93</v>
      </c>
      <c r="I68" t="s">
        <v>3279</v>
      </c>
      <c r="L68" t="b">
        <v>0</v>
      </c>
      <c r="M68" t="s">
        <v>50</v>
      </c>
      <c r="N68" t="s">
        <v>26</v>
      </c>
      <c r="P68" t="s">
        <v>33</v>
      </c>
      <c r="Q68">
        <v>1</v>
      </c>
      <c r="R68">
        <v>5</v>
      </c>
      <c r="S68">
        <v>100.1333438396</v>
      </c>
      <c r="T68">
        <v>710694</v>
      </c>
      <c r="U68">
        <v>710694</v>
      </c>
      <c r="V68">
        <v>1</v>
      </c>
      <c r="W68">
        <v>0</v>
      </c>
      <c r="X68">
        <v>711641.67</v>
      </c>
      <c r="Y68">
        <v>711641.67</v>
      </c>
    </row>
    <row r="69" spans="1:25" x14ac:dyDescent="0.25">
      <c r="A69">
        <v>20</v>
      </c>
      <c r="B69" t="s">
        <v>25</v>
      </c>
      <c r="C69" t="s">
        <v>26</v>
      </c>
      <c r="D69" t="s">
        <v>3280</v>
      </c>
      <c r="E69">
        <v>227570</v>
      </c>
      <c r="G69" t="s">
        <v>3281</v>
      </c>
      <c r="H69" t="s">
        <v>93</v>
      </c>
      <c r="I69" t="s">
        <v>3281</v>
      </c>
      <c r="L69" t="b">
        <v>0</v>
      </c>
      <c r="M69" t="s">
        <v>50</v>
      </c>
      <c r="N69" t="s">
        <v>26</v>
      </c>
      <c r="P69" t="s">
        <v>33</v>
      </c>
      <c r="Q69">
        <v>1</v>
      </c>
      <c r="R69">
        <v>5</v>
      </c>
      <c r="S69">
        <v>100.0849999987</v>
      </c>
      <c r="T69">
        <v>2092536540</v>
      </c>
      <c r="U69">
        <v>2092536540</v>
      </c>
      <c r="V69">
        <v>1</v>
      </c>
      <c r="W69">
        <v>0</v>
      </c>
      <c r="X69">
        <v>2094315196.03</v>
      </c>
      <c r="Y69">
        <v>2094315196.03</v>
      </c>
    </row>
    <row r="70" spans="1:25" x14ac:dyDescent="0.25">
      <c r="A70">
        <v>20</v>
      </c>
      <c r="B70" t="s">
        <v>25</v>
      </c>
      <c r="C70" t="s">
        <v>26</v>
      </c>
      <c r="D70" t="s">
        <v>3282</v>
      </c>
      <c r="E70">
        <v>227748</v>
      </c>
      <c r="G70" t="s">
        <v>3283</v>
      </c>
      <c r="H70" t="s">
        <v>93</v>
      </c>
      <c r="I70" t="s">
        <v>3283</v>
      </c>
      <c r="L70" t="b">
        <v>0</v>
      </c>
      <c r="M70" t="s">
        <v>50</v>
      </c>
      <c r="N70" t="s">
        <v>26</v>
      </c>
      <c r="P70" t="s">
        <v>33</v>
      </c>
      <c r="Q70">
        <v>1</v>
      </c>
      <c r="R70">
        <v>5</v>
      </c>
      <c r="S70">
        <v>100.10000269</v>
      </c>
      <c r="T70">
        <v>337817</v>
      </c>
      <c r="U70">
        <v>337817</v>
      </c>
      <c r="V70">
        <v>1</v>
      </c>
      <c r="W70">
        <v>0</v>
      </c>
      <c r="X70">
        <v>338154.83</v>
      </c>
      <c r="Y70">
        <v>338154.83</v>
      </c>
    </row>
    <row r="71" spans="1:25" x14ac:dyDescent="0.25">
      <c r="A71">
        <v>20</v>
      </c>
      <c r="B71" t="s">
        <v>25</v>
      </c>
      <c r="C71" t="s">
        <v>26</v>
      </c>
      <c r="D71" t="s">
        <v>3284</v>
      </c>
      <c r="E71">
        <v>227747</v>
      </c>
      <c r="G71" t="s">
        <v>3285</v>
      </c>
      <c r="H71" t="s">
        <v>93</v>
      </c>
      <c r="I71" t="s">
        <v>3285</v>
      </c>
      <c r="L71" t="b">
        <v>0</v>
      </c>
      <c r="M71" t="s">
        <v>50</v>
      </c>
      <c r="N71" t="s">
        <v>26</v>
      </c>
      <c r="P71" t="s">
        <v>33</v>
      </c>
      <c r="Q71">
        <v>1</v>
      </c>
      <c r="R71">
        <v>5</v>
      </c>
      <c r="S71">
        <v>100.0980153454</v>
      </c>
      <c r="T71">
        <v>53393</v>
      </c>
      <c r="U71">
        <v>53393</v>
      </c>
      <c r="V71">
        <v>1</v>
      </c>
      <c r="W71">
        <v>0</v>
      </c>
      <c r="X71">
        <v>53445.33</v>
      </c>
      <c r="Y71">
        <v>53445.33</v>
      </c>
    </row>
    <row r="72" spans="1:25" x14ac:dyDescent="0.25">
      <c r="A72">
        <v>20</v>
      </c>
      <c r="B72" t="s">
        <v>25</v>
      </c>
      <c r="C72" t="s">
        <v>26</v>
      </c>
      <c r="D72" t="s">
        <v>3286</v>
      </c>
      <c r="E72">
        <v>227750</v>
      </c>
      <c r="G72" t="s">
        <v>3287</v>
      </c>
      <c r="H72" t="s">
        <v>93</v>
      </c>
      <c r="I72" t="s">
        <v>3287</v>
      </c>
      <c r="L72" t="b">
        <v>0</v>
      </c>
      <c r="M72" t="s">
        <v>50</v>
      </c>
      <c r="N72" t="s">
        <v>26</v>
      </c>
      <c r="P72" t="s">
        <v>33</v>
      </c>
      <c r="Q72">
        <v>1</v>
      </c>
      <c r="R72">
        <v>5</v>
      </c>
      <c r="S72">
        <v>100.09799554120001</v>
      </c>
      <c r="T72">
        <v>1367069</v>
      </c>
      <c r="U72">
        <v>1367069</v>
      </c>
      <c r="V72">
        <v>1</v>
      </c>
      <c r="W72">
        <v>0</v>
      </c>
      <c r="X72">
        <v>1368408.67</v>
      </c>
      <c r="Y72">
        <v>1368408.67</v>
      </c>
    </row>
    <row r="73" spans="1:25" x14ac:dyDescent="0.25">
      <c r="A73">
        <v>20</v>
      </c>
      <c r="B73" t="s">
        <v>25</v>
      </c>
      <c r="C73" t="s">
        <v>26</v>
      </c>
      <c r="D73" t="s">
        <v>3288</v>
      </c>
      <c r="E73">
        <v>227746</v>
      </c>
      <c r="G73" t="s">
        <v>3289</v>
      </c>
      <c r="H73" t="s">
        <v>93</v>
      </c>
      <c r="I73" t="s">
        <v>3289</v>
      </c>
      <c r="L73" t="b">
        <v>0</v>
      </c>
      <c r="M73" t="s">
        <v>50</v>
      </c>
      <c r="N73" t="s">
        <v>26</v>
      </c>
      <c r="P73" t="s">
        <v>33</v>
      </c>
      <c r="Q73">
        <v>1</v>
      </c>
      <c r="R73">
        <v>5</v>
      </c>
      <c r="S73">
        <v>100.09800007539999</v>
      </c>
      <c r="T73">
        <v>25190917</v>
      </c>
      <c r="U73">
        <v>25190917</v>
      </c>
      <c r="V73">
        <v>1</v>
      </c>
      <c r="W73">
        <v>0</v>
      </c>
      <c r="X73">
        <v>25215604.120000001</v>
      </c>
      <c r="Y73">
        <v>25215604.120000001</v>
      </c>
    </row>
    <row r="74" spans="1:25" x14ac:dyDescent="0.25">
      <c r="A74">
        <v>20</v>
      </c>
      <c r="B74" t="s">
        <v>25</v>
      </c>
      <c r="C74" t="s">
        <v>26</v>
      </c>
      <c r="D74" t="s">
        <v>3290</v>
      </c>
      <c r="E74">
        <v>227749</v>
      </c>
      <c r="G74" t="s">
        <v>3291</v>
      </c>
      <c r="H74" t="s">
        <v>93</v>
      </c>
      <c r="I74" t="s">
        <v>3291</v>
      </c>
      <c r="L74" t="b">
        <v>0</v>
      </c>
      <c r="M74" t="s">
        <v>50</v>
      </c>
      <c r="N74" t="s">
        <v>26</v>
      </c>
      <c r="P74" t="s">
        <v>33</v>
      </c>
      <c r="Q74">
        <v>1</v>
      </c>
      <c r="R74">
        <v>5</v>
      </c>
      <c r="S74">
        <v>100.1000002981</v>
      </c>
      <c r="T74">
        <v>28961247</v>
      </c>
      <c r="U74">
        <v>28961247</v>
      </c>
      <c r="V74">
        <v>1</v>
      </c>
      <c r="W74">
        <v>0</v>
      </c>
      <c r="X74">
        <v>28990208.329999998</v>
      </c>
      <c r="Y74">
        <v>28990208.329999998</v>
      </c>
    </row>
    <row r="75" spans="1:25" x14ac:dyDescent="0.25">
      <c r="A75">
        <v>20</v>
      </c>
      <c r="B75" t="s">
        <v>25</v>
      </c>
      <c r="C75" t="s">
        <v>26</v>
      </c>
      <c r="D75" t="s">
        <v>3292</v>
      </c>
      <c r="E75">
        <v>227751</v>
      </c>
      <c r="G75" t="s">
        <v>3293</v>
      </c>
      <c r="H75" t="s">
        <v>93</v>
      </c>
      <c r="I75" t="s">
        <v>3293</v>
      </c>
      <c r="L75" t="b">
        <v>0</v>
      </c>
      <c r="M75" t="s">
        <v>50</v>
      </c>
      <c r="N75" t="s">
        <v>26</v>
      </c>
      <c r="P75" t="s">
        <v>33</v>
      </c>
      <c r="Q75">
        <v>1</v>
      </c>
      <c r="R75">
        <v>5</v>
      </c>
      <c r="S75">
        <v>100.10000033830001</v>
      </c>
      <c r="T75">
        <v>13397288</v>
      </c>
      <c r="U75">
        <v>13397288</v>
      </c>
      <c r="V75">
        <v>1</v>
      </c>
      <c r="W75">
        <v>0</v>
      </c>
      <c r="X75">
        <v>13410685.33</v>
      </c>
      <c r="Y75">
        <v>13410685.33</v>
      </c>
    </row>
    <row r="76" spans="1:25" x14ac:dyDescent="0.25">
      <c r="A76">
        <v>20</v>
      </c>
      <c r="B76" t="s">
        <v>25</v>
      </c>
      <c r="C76" t="s">
        <v>26</v>
      </c>
      <c r="D76" t="s">
        <v>3294</v>
      </c>
      <c r="E76">
        <v>228131</v>
      </c>
      <c r="G76" t="s">
        <v>3295</v>
      </c>
      <c r="H76" t="s">
        <v>93</v>
      </c>
      <c r="I76" t="s">
        <v>3295</v>
      </c>
      <c r="L76" t="b">
        <v>0</v>
      </c>
      <c r="M76" t="s">
        <v>50</v>
      </c>
      <c r="N76" t="s">
        <v>26</v>
      </c>
      <c r="P76" t="s">
        <v>33</v>
      </c>
      <c r="Q76">
        <v>1</v>
      </c>
      <c r="R76">
        <v>5</v>
      </c>
      <c r="S76">
        <v>100.06666666860001</v>
      </c>
      <c r="T76">
        <v>12049636</v>
      </c>
      <c r="U76">
        <v>12049636</v>
      </c>
      <c r="V76">
        <v>1</v>
      </c>
      <c r="W76">
        <v>0</v>
      </c>
      <c r="X76">
        <v>12057669.09</v>
      </c>
      <c r="Y76">
        <v>12057669.09</v>
      </c>
    </row>
    <row r="77" spans="1:25" x14ac:dyDescent="0.25">
      <c r="A77">
        <v>20</v>
      </c>
      <c r="B77" t="s">
        <v>25</v>
      </c>
      <c r="C77" t="s">
        <v>26</v>
      </c>
      <c r="D77" t="s">
        <v>3296</v>
      </c>
      <c r="E77">
        <v>228159</v>
      </c>
      <c r="G77" t="s">
        <v>3297</v>
      </c>
      <c r="H77" t="s">
        <v>93</v>
      </c>
      <c r="I77" t="s">
        <v>3297</v>
      </c>
      <c r="L77" t="b">
        <v>0</v>
      </c>
      <c r="M77" t="s">
        <v>50</v>
      </c>
      <c r="N77" t="s">
        <v>26</v>
      </c>
      <c r="P77" t="s">
        <v>33</v>
      </c>
      <c r="Q77">
        <v>1</v>
      </c>
      <c r="R77">
        <v>5</v>
      </c>
      <c r="S77">
        <v>100.0333318879</v>
      </c>
      <c r="T77">
        <v>1087190</v>
      </c>
      <c r="U77">
        <v>1087190</v>
      </c>
      <c r="V77">
        <v>1</v>
      </c>
      <c r="W77">
        <v>0</v>
      </c>
      <c r="X77">
        <v>1087552.3799999999</v>
      </c>
      <c r="Y77">
        <v>1087552.3799999999</v>
      </c>
    </row>
    <row r="78" spans="1:25" x14ac:dyDescent="0.25">
      <c r="A78">
        <v>20</v>
      </c>
      <c r="B78" t="s">
        <v>25</v>
      </c>
      <c r="C78" t="s">
        <v>26</v>
      </c>
      <c r="D78" t="s">
        <v>3298</v>
      </c>
      <c r="E78">
        <v>228143</v>
      </c>
      <c r="G78" t="s">
        <v>3299</v>
      </c>
      <c r="H78" t="s">
        <v>93</v>
      </c>
      <c r="I78" t="s">
        <v>3299</v>
      </c>
      <c r="L78" t="b">
        <v>0</v>
      </c>
      <c r="M78" t="s">
        <v>50</v>
      </c>
      <c r="N78" t="s">
        <v>26</v>
      </c>
      <c r="P78" t="s">
        <v>33</v>
      </c>
      <c r="Q78">
        <v>1</v>
      </c>
      <c r="R78">
        <v>5</v>
      </c>
      <c r="S78">
        <v>100.03333329980001</v>
      </c>
      <c r="T78">
        <v>3691718</v>
      </c>
      <c r="U78">
        <v>3691718</v>
      </c>
      <c r="V78">
        <v>1</v>
      </c>
      <c r="W78">
        <v>0</v>
      </c>
      <c r="X78">
        <v>3692948.57</v>
      </c>
      <c r="Y78">
        <v>3692948.57</v>
      </c>
    </row>
    <row r="79" spans="1:25" x14ac:dyDescent="0.25">
      <c r="A79">
        <v>20</v>
      </c>
      <c r="B79" t="s">
        <v>25</v>
      </c>
      <c r="C79" t="s">
        <v>26</v>
      </c>
      <c r="D79" t="s">
        <v>3300</v>
      </c>
      <c r="E79">
        <v>228162</v>
      </c>
      <c r="G79" t="s">
        <v>3301</v>
      </c>
      <c r="H79" t="s">
        <v>93</v>
      </c>
      <c r="I79" t="s">
        <v>3301</v>
      </c>
      <c r="L79" t="b">
        <v>0</v>
      </c>
      <c r="M79" t="s">
        <v>50</v>
      </c>
      <c r="N79" t="s">
        <v>26</v>
      </c>
      <c r="P79" t="s">
        <v>33</v>
      </c>
      <c r="Q79">
        <v>1</v>
      </c>
      <c r="R79">
        <v>5</v>
      </c>
      <c r="S79">
        <v>100.03333396630001</v>
      </c>
      <c r="T79">
        <v>3047085</v>
      </c>
      <c r="U79">
        <v>3047085</v>
      </c>
      <c r="V79">
        <v>1</v>
      </c>
      <c r="W79">
        <v>0</v>
      </c>
      <c r="X79">
        <v>3048100.71</v>
      </c>
      <c r="Y79">
        <v>3048100.71</v>
      </c>
    </row>
    <row r="80" spans="1:25" x14ac:dyDescent="0.25">
      <c r="A80">
        <v>20</v>
      </c>
      <c r="B80" t="s">
        <v>25</v>
      </c>
      <c r="C80" t="s">
        <v>26</v>
      </c>
      <c r="D80" t="s">
        <v>3302</v>
      </c>
      <c r="E80">
        <v>228142</v>
      </c>
      <c r="G80" t="s">
        <v>3303</v>
      </c>
      <c r="H80" t="s">
        <v>93</v>
      </c>
      <c r="I80" t="s">
        <v>3303</v>
      </c>
      <c r="L80" t="b">
        <v>0</v>
      </c>
      <c r="M80" t="s">
        <v>50</v>
      </c>
      <c r="N80" t="s">
        <v>26</v>
      </c>
      <c r="P80" t="s">
        <v>33</v>
      </c>
      <c r="Q80">
        <v>1</v>
      </c>
      <c r="R80">
        <v>5</v>
      </c>
      <c r="S80">
        <v>100.0333326833</v>
      </c>
      <c r="T80">
        <v>1164737</v>
      </c>
      <c r="U80">
        <v>1164737</v>
      </c>
      <c r="V80">
        <v>1</v>
      </c>
      <c r="W80">
        <v>0</v>
      </c>
      <c r="X80">
        <v>1165125.24</v>
      </c>
      <c r="Y80">
        <v>1165125.24</v>
      </c>
    </row>
    <row r="81" spans="1:25" x14ac:dyDescent="0.25">
      <c r="A81">
        <v>20</v>
      </c>
      <c r="B81" t="s">
        <v>25</v>
      </c>
      <c r="C81" t="s">
        <v>26</v>
      </c>
      <c r="D81" t="s">
        <v>3304</v>
      </c>
      <c r="E81">
        <v>228154</v>
      </c>
      <c r="G81" t="s">
        <v>3305</v>
      </c>
      <c r="H81" t="s">
        <v>93</v>
      </c>
      <c r="I81" t="s">
        <v>3305</v>
      </c>
      <c r="L81" t="b">
        <v>0</v>
      </c>
      <c r="M81" t="s">
        <v>50</v>
      </c>
      <c r="N81" t="s">
        <v>26</v>
      </c>
      <c r="P81" t="s">
        <v>33</v>
      </c>
      <c r="Q81">
        <v>1</v>
      </c>
      <c r="R81">
        <v>5</v>
      </c>
      <c r="S81">
        <v>100.0333326769</v>
      </c>
      <c r="T81">
        <v>2480906</v>
      </c>
      <c r="U81">
        <v>2480906</v>
      </c>
      <c r="V81">
        <v>1</v>
      </c>
      <c r="W81">
        <v>0</v>
      </c>
      <c r="X81">
        <v>2481732.9500000002</v>
      </c>
      <c r="Y81">
        <v>2481732.9500000002</v>
      </c>
    </row>
    <row r="82" spans="1:25" x14ac:dyDescent="0.25">
      <c r="A82">
        <v>20</v>
      </c>
      <c r="B82" t="s">
        <v>25</v>
      </c>
      <c r="C82" t="s">
        <v>26</v>
      </c>
      <c r="D82" t="s">
        <v>3306</v>
      </c>
      <c r="E82">
        <v>228155</v>
      </c>
      <c r="G82" t="s">
        <v>3307</v>
      </c>
      <c r="H82" t="s">
        <v>93</v>
      </c>
      <c r="I82" t="s">
        <v>3307</v>
      </c>
      <c r="L82" t="b">
        <v>0</v>
      </c>
      <c r="M82" t="s">
        <v>50</v>
      </c>
      <c r="N82" t="s">
        <v>26</v>
      </c>
      <c r="P82" t="s">
        <v>33</v>
      </c>
      <c r="Q82">
        <v>1</v>
      </c>
      <c r="R82">
        <v>5</v>
      </c>
      <c r="S82">
        <v>100.03333388999999</v>
      </c>
      <c r="T82">
        <v>2660527</v>
      </c>
      <c r="U82">
        <v>2660527</v>
      </c>
      <c r="V82">
        <v>1</v>
      </c>
      <c r="W82">
        <v>0</v>
      </c>
      <c r="X82">
        <v>2661413.86</v>
      </c>
      <c r="Y82">
        <v>2661413.86</v>
      </c>
    </row>
    <row r="83" spans="1:25" x14ac:dyDescent="0.25">
      <c r="A83">
        <v>20</v>
      </c>
      <c r="B83" t="s">
        <v>25</v>
      </c>
      <c r="C83" t="s">
        <v>26</v>
      </c>
      <c r="D83" t="s">
        <v>3308</v>
      </c>
      <c r="E83">
        <v>228156</v>
      </c>
      <c r="G83" t="s">
        <v>3309</v>
      </c>
      <c r="H83" t="s">
        <v>93</v>
      </c>
      <c r="I83" t="s">
        <v>3309</v>
      </c>
      <c r="L83" t="b">
        <v>0</v>
      </c>
      <c r="M83" t="s">
        <v>50</v>
      </c>
      <c r="N83" t="s">
        <v>26</v>
      </c>
      <c r="P83" t="s">
        <v>33</v>
      </c>
      <c r="Q83">
        <v>1</v>
      </c>
      <c r="R83">
        <v>5</v>
      </c>
      <c r="S83">
        <v>100.0333327747</v>
      </c>
      <c r="T83">
        <v>2233466</v>
      </c>
      <c r="U83">
        <v>2233466</v>
      </c>
      <c r="V83">
        <v>1</v>
      </c>
      <c r="W83">
        <v>0</v>
      </c>
      <c r="X83">
        <v>2234210.48</v>
      </c>
      <c r="Y83">
        <v>2234210.48</v>
      </c>
    </row>
    <row r="84" spans="1:25" x14ac:dyDescent="0.25">
      <c r="A84">
        <v>20</v>
      </c>
      <c r="B84" t="s">
        <v>25</v>
      </c>
      <c r="C84" t="s">
        <v>26</v>
      </c>
      <c r="D84" t="s">
        <v>3310</v>
      </c>
      <c r="E84">
        <v>228163</v>
      </c>
      <c r="G84" t="s">
        <v>3311</v>
      </c>
      <c r="H84" t="s">
        <v>93</v>
      </c>
      <c r="I84" t="s">
        <v>3311</v>
      </c>
      <c r="L84" t="b">
        <v>0</v>
      </c>
      <c r="M84" t="s">
        <v>50</v>
      </c>
      <c r="N84" t="s">
        <v>26</v>
      </c>
      <c r="P84" t="s">
        <v>33</v>
      </c>
      <c r="Q84">
        <v>1</v>
      </c>
      <c r="R84">
        <v>5</v>
      </c>
      <c r="S84">
        <v>100.0333344415</v>
      </c>
      <c r="T84">
        <v>898113</v>
      </c>
      <c r="U84">
        <v>898113</v>
      </c>
      <c r="V84">
        <v>1</v>
      </c>
      <c r="W84">
        <v>0</v>
      </c>
      <c r="X84">
        <v>898412.38</v>
      </c>
      <c r="Y84">
        <v>898412.38</v>
      </c>
    </row>
    <row r="85" spans="1:25" x14ac:dyDescent="0.25">
      <c r="A85">
        <v>20</v>
      </c>
      <c r="B85" t="s">
        <v>25</v>
      </c>
      <c r="C85" t="s">
        <v>26</v>
      </c>
      <c r="D85" t="s">
        <v>3312</v>
      </c>
      <c r="E85">
        <v>228134</v>
      </c>
      <c r="G85" t="s">
        <v>3313</v>
      </c>
      <c r="H85" t="s">
        <v>93</v>
      </c>
      <c r="I85" t="s">
        <v>3313</v>
      </c>
      <c r="L85" t="b">
        <v>0</v>
      </c>
      <c r="M85" t="s">
        <v>50</v>
      </c>
      <c r="N85" t="s">
        <v>26</v>
      </c>
      <c r="P85" t="s">
        <v>33</v>
      </c>
      <c r="Q85">
        <v>1</v>
      </c>
      <c r="R85">
        <v>5</v>
      </c>
      <c r="S85">
        <v>100.03333329500001</v>
      </c>
      <c r="T85">
        <v>3852433</v>
      </c>
      <c r="U85">
        <v>3852433</v>
      </c>
      <c r="V85">
        <v>1</v>
      </c>
      <c r="W85">
        <v>0</v>
      </c>
      <c r="X85">
        <v>3853717.14</v>
      </c>
      <c r="Y85">
        <v>3853717.14</v>
      </c>
    </row>
    <row r="86" spans="1:25" x14ac:dyDescent="0.25">
      <c r="A86">
        <v>20</v>
      </c>
      <c r="B86" t="s">
        <v>25</v>
      </c>
      <c r="C86" t="s">
        <v>26</v>
      </c>
      <c r="D86" t="s">
        <v>3314</v>
      </c>
      <c r="E86">
        <v>228136</v>
      </c>
      <c r="G86" t="s">
        <v>3315</v>
      </c>
      <c r="H86" t="s">
        <v>93</v>
      </c>
      <c r="I86" t="s">
        <v>3315</v>
      </c>
      <c r="L86" t="b">
        <v>0</v>
      </c>
      <c r="M86" t="s">
        <v>50</v>
      </c>
      <c r="N86" t="s">
        <v>26</v>
      </c>
      <c r="P86" t="s">
        <v>33</v>
      </c>
      <c r="Q86">
        <v>1</v>
      </c>
      <c r="R86">
        <v>5</v>
      </c>
      <c r="S86">
        <v>100.03333344879999</v>
      </c>
      <c r="T86">
        <v>3875558</v>
      </c>
      <c r="U86">
        <v>3875558</v>
      </c>
      <c r="V86">
        <v>1</v>
      </c>
      <c r="W86">
        <v>0</v>
      </c>
      <c r="X86">
        <v>3876849.86</v>
      </c>
      <c r="Y86">
        <v>3876849.86</v>
      </c>
    </row>
    <row r="87" spans="1:25" x14ac:dyDescent="0.25">
      <c r="A87">
        <v>20</v>
      </c>
      <c r="B87" t="s">
        <v>25</v>
      </c>
      <c r="C87" t="s">
        <v>26</v>
      </c>
      <c r="D87" t="s">
        <v>3316</v>
      </c>
      <c r="E87">
        <v>228150</v>
      </c>
      <c r="G87" t="s">
        <v>3317</v>
      </c>
      <c r="H87" t="s">
        <v>93</v>
      </c>
      <c r="I87" t="s">
        <v>3317</v>
      </c>
      <c r="L87" t="b">
        <v>0</v>
      </c>
      <c r="M87" t="s">
        <v>50</v>
      </c>
      <c r="N87" t="s">
        <v>26</v>
      </c>
      <c r="P87" t="s">
        <v>33</v>
      </c>
      <c r="Q87">
        <v>1</v>
      </c>
      <c r="R87">
        <v>5</v>
      </c>
      <c r="S87">
        <v>100.0333329374</v>
      </c>
      <c r="T87">
        <v>1274908</v>
      </c>
      <c r="U87">
        <v>1274908</v>
      </c>
      <c r="V87">
        <v>1</v>
      </c>
      <c r="W87">
        <v>0</v>
      </c>
      <c r="X87">
        <v>1275332.96</v>
      </c>
      <c r="Y87">
        <v>1275332.96</v>
      </c>
    </row>
    <row r="88" spans="1:25" x14ac:dyDescent="0.25">
      <c r="A88">
        <v>20</v>
      </c>
      <c r="B88" t="s">
        <v>25</v>
      </c>
      <c r="C88" t="s">
        <v>26</v>
      </c>
      <c r="D88" t="s">
        <v>3318</v>
      </c>
      <c r="E88">
        <v>228157</v>
      </c>
      <c r="G88" t="s">
        <v>3319</v>
      </c>
      <c r="H88" t="s">
        <v>93</v>
      </c>
      <c r="I88" t="s">
        <v>3319</v>
      </c>
      <c r="L88" t="b">
        <v>0</v>
      </c>
      <c r="M88" t="s">
        <v>50</v>
      </c>
      <c r="N88" t="s">
        <v>26</v>
      </c>
      <c r="P88" t="s">
        <v>33</v>
      </c>
      <c r="Q88">
        <v>1</v>
      </c>
      <c r="R88">
        <v>5</v>
      </c>
      <c r="S88">
        <v>100.0333338482</v>
      </c>
      <c r="T88">
        <v>2127110</v>
      </c>
      <c r="U88">
        <v>2127110</v>
      </c>
      <c r="V88">
        <v>1</v>
      </c>
      <c r="W88">
        <v>0</v>
      </c>
      <c r="X88">
        <v>2127819.0499999998</v>
      </c>
      <c r="Y88">
        <v>2127819.0499999998</v>
      </c>
    </row>
    <row r="89" spans="1:25" x14ac:dyDescent="0.25">
      <c r="A89">
        <v>20</v>
      </c>
      <c r="B89" t="s">
        <v>25</v>
      </c>
      <c r="C89" t="s">
        <v>26</v>
      </c>
      <c r="D89" t="s">
        <v>3320</v>
      </c>
      <c r="E89">
        <v>228144</v>
      </c>
      <c r="G89" t="s">
        <v>3321</v>
      </c>
      <c r="H89" t="s">
        <v>93</v>
      </c>
      <c r="I89" t="s">
        <v>3321</v>
      </c>
      <c r="L89" t="b">
        <v>0</v>
      </c>
      <c r="M89" t="s">
        <v>50</v>
      </c>
      <c r="N89" t="s">
        <v>26</v>
      </c>
      <c r="P89" t="s">
        <v>33</v>
      </c>
      <c r="Q89">
        <v>1</v>
      </c>
      <c r="R89">
        <v>5</v>
      </c>
      <c r="S89">
        <v>100.03333486299999</v>
      </c>
      <c r="T89">
        <v>762715</v>
      </c>
      <c r="U89">
        <v>762715</v>
      </c>
      <c r="V89">
        <v>1</v>
      </c>
      <c r="W89">
        <v>0</v>
      </c>
      <c r="X89">
        <v>762969.25</v>
      </c>
      <c r="Y89">
        <v>762969.25</v>
      </c>
    </row>
    <row r="90" spans="1:25" x14ac:dyDescent="0.25">
      <c r="A90">
        <v>20</v>
      </c>
      <c r="B90" t="s">
        <v>25</v>
      </c>
      <c r="C90" t="s">
        <v>26</v>
      </c>
      <c r="D90" t="s">
        <v>3322</v>
      </c>
      <c r="E90">
        <v>228145</v>
      </c>
      <c r="G90" t="s">
        <v>3323</v>
      </c>
      <c r="H90" t="s">
        <v>93</v>
      </c>
      <c r="I90" t="s">
        <v>3323</v>
      </c>
      <c r="L90" t="b">
        <v>0</v>
      </c>
      <c r="M90" t="s">
        <v>50</v>
      </c>
      <c r="N90" t="s">
        <v>26</v>
      </c>
      <c r="P90" t="s">
        <v>33</v>
      </c>
      <c r="Q90">
        <v>1</v>
      </c>
      <c r="R90">
        <v>5</v>
      </c>
      <c r="S90">
        <v>100.03333486299999</v>
      </c>
      <c r="T90">
        <v>762715</v>
      </c>
      <c r="U90">
        <v>762715</v>
      </c>
      <c r="V90">
        <v>1</v>
      </c>
      <c r="W90">
        <v>0</v>
      </c>
      <c r="X90">
        <v>762969.25</v>
      </c>
      <c r="Y90">
        <v>762969.25</v>
      </c>
    </row>
    <row r="91" spans="1:25" x14ac:dyDescent="0.25">
      <c r="A91">
        <v>20</v>
      </c>
      <c r="B91" t="s">
        <v>25</v>
      </c>
      <c r="C91" t="s">
        <v>26</v>
      </c>
      <c r="D91" t="s">
        <v>3324</v>
      </c>
      <c r="E91">
        <v>228146</v>
      </c>
      <c r="G91" t="s">
        <v>3325</v>
      </c>
      <c r="H91" t="s">
        <v>93</v>
      </c>
      <c r="I91" t="s">
        <v>3325</v>
      </c>
      <c r="L91" t="b">
        <v>0</v>
      </c>
      <c r="M91" t="s">
        <v>50</v>
      </c>
      <c r="N91" t="s">
        <v>26</v>
      </c>
      <c r="P91" t="s">
        <v>33</v>
      </c>
      <c r="Q91">
        <v>1</v>
      </c>
      <c r="R91">
        <v>5</v>
      </c>
      <c r="S91">
        <v>100.0333332663</v>
      </c>
      <c r="T91">
        <v>1777075</v>
      </c>
      <c r="U91">
        <v>1777075</v>
      </c>
      <c r="V91">
        <v>1</v>
      </c>
      <c r="W91">
        <v>0</v>
      </c>
      <c r="X91">
        <v>1777667.36</v>
      </c>
      <c r="Y91">
        <v>1777667.36</v>
      </c>
    </row>
    <row r="92" spans="1:25" x14ac:dyDescent="0.25">
      <c r="A92">
        <v>20</v>
      </c>
      <c r="B92" t="s">
        <v>25</v>
      </c>
      <c r="C92" t="s">
        <v>26</v>
      </c>
      <c r="D92" t="s">
        <v>3326</v>
      </c>
      <c r="E92">
        <v>228147</v>
      </c>
      <c r="G92" t="s">
        <v>3327</v>
      </c>
      <c r="H92" t="s">
        <v>93</v>
      </c>
      <c r="I92" t="s">
        <v>3327</v>
      </c>
      <c r="L92" t="b">
        <v>0</v>
      </c>
      <c r="M92" t="s">
        <v>50</v>
      </c>
      <c r="N92" t="s">
        <v>26</v>
      </c>
      <c r="P92" t="s">
        <v>33</v>
      </c>
      <c r="Q92">
        <v>1</v>
      </c>
      <c r="R92">
        <v>5</v>
      </c>
      <c r="S92">
        <v>100.0333332663</v>
      </c>
      <c r="T92">
        <v>1777075</v>
      </c>
      <c r="U92">
        <v>1777075</v>
      </c>
      <c r="V92">
        <v>1</v>
      </c>
      <c r="W92">
        <v>0</v>
      </c>
      <c r="X92">
        <v>1777667.36</v>
      </c>
      <c r="Y92">
        <v>1777667.36</v>
      </c>
    </row>
    <row r="93" spans="1:25" x14ac:dyDescent="0.25">
      <c r="A93">
        <v>20</v>
      </c>
      <c r="B93" t="s">
        <v>25</v>
      </c>
      <c r="C93" t="s">
        <v>26</v>
      </c>
      <c r="D93" t="s">
        <v>3328</v>
      </c>
      <c r="E93">
        <v>228148</v>
      </c>
      <c r="G93" t="s">
        <v>3329</v>
      </c>
      <c r="H93" t="s">
        <v>93</v>
      </c>
      <c r="I93" t="s">
        <v>3329</v>
      </c>
      <c r="L93" t="b">
        <v>0</v>
      </c>
      <c r="M93" t="s">
        <v>50</v>
      </c>
      <c r="N93" t="s">
        <v>26</v>
      </c>
      <c r="P93" t="s">
        <v>33</v>
      </c>
      <c r="Q93">
        <v>1</v>
      </c>
      <c r="R93">
        <v>5</v>
      </c>
      <c r="S93">
        <v>100.03333486299999</v>
      </c>
      <c r="T93">
        <v>762715</v>
      </c>
      <c r="U93">
        <v>762715</v>
      </c>
      <c r="V93">
        <v>1</v>
      </c>
      <c r="W93">
        <v>0</v>
      </c>
      <c r="X93">
        <v>762969.25</v>
      </c>
      <c r="Y93">
        <v>762969.25</v>
      </c>
    </row>
    <row r="94" spans="1:25" x14ac:dyDescent="0.25">
      <c r="A94">
        <v>20</v>
      </c>
      <c r="B94" t="s">
        <v>25</v>
      </c>
      <c r="C94" t="s">
        <v>26</v>
      </c>
      <c r="D94" t="s">
        <v>3330</v>
      </c>
      <c r="E94">
        <v>228149</v>
      </c>
      <c r="G94" t="s">
        <v>3331</v>
      </c>
      <c r="H94" t="s">
        <v>93</v>
      </c>
      <c r="I94" t="s">
        <v>3331</v>
      </c>
      <c r="L94" t="b">
        <v>0</v>
      </c>
      <c r="M94" t="s">
        <v>50</v>
      </c>
      <c r="N94" t="s">
        <v>26</v>
      </c>
      <c r="P94" t="s">
        <v>33</v>
      </c>
      <c r="Q94">
        <v>1</v>
      </c>
      <c r="R94">
        <v>5</v>
      </c>
      <c r="S94">
        <v>100.03333486299999</v>
      </c>
      <c r="T94">
        <v>762715</v>
      </c>
      <c r="U94">
        <v>762715</v>
      </c>
      <c r="V94">
        <v>1</v>
      </c>
      <c r="W94">
        <v>0</v>
      </c>
      <c r="X94">
        <v>762969.25</v>
      </c>
      <c r="Y94">
        <v>762969.25</v>
      </c>
    </row>
    <row r="95" spans="1:25" x14ac:dyDescent="0.25">
      <c r="A95">
        <v>20</v>
      </c>
      <c r="B95" t="s">
        <v>25</v>
      </c>
      <c r="C95" t="s">
        <v>26</v>
      </c>
      <c r="D95" t="s">
        <v>3332</v>
      </c>
      <c r="E95">
        <v>228151</v>
      </c>
      <c r="G95" t="s">
        <v>3333</v>
      </c>
      <c r="H95" t="s">
        <v>93</v>
      </c>
      <c r="I95" t="s">
        <v>3333</v>
      </c>
      <c r="L95" t="b">
        <v>0</v>
      </c>
      <c r="M95" t="s">
        <v>50</v>
      </c>
      <c r="N95" t="s">
        <v>26</v>
      </c>
      <c r="P95" t="s">
        <v>33</v>
      </c>
      <c r="Q95">
        <v>1</v>
      </c>
      <c r="R95">
        <v>5</v>
      </c>
      <c r="S95">
        <v>100.03333486299999</v>
      </c>
      <c r="T95">
        <v>762715</v>
      </c>
      <c r="U95">
        <v>762715</v>
      </c>
      <c r="V95">
        <v>1</v>
      </c>
      <c r="W95">
        <v>0</v>
      </c>
      <c r="X95">
        <v>762969.25</v>
      </c>
      <c r="Y95">
        <v>762969.25</v>
      </c>
    </row>
    <row r="96" spans="1:25" x14ac:dyDescent="0.25">
      <c r="A96">
        <v>20</v>
      </c>
      <c r="B96" t="s">
        <v>25</v>
      </c>
      <c r="C96" t="s">
        <v>26</v>
      </c>
      <c r="D96" t="s">
        <v>3334</v>
      </c>
      <c r="E96">
        <v>228158</v>
      </c>
      <c r="G96" t="s">
        <v>3335</v>
      </c>
      <c r="H96" t="s">
        <v>93</v>
      </c>
      <c r="I96" t="s">
        <v>3335</v>
      </c>
      <c r="L96" t="b">
        <v>0</v>
      </c>
      <c r="M96" t="s">
        <v>50</v>
      </c>
      <c r="N96" t="s">
        <v>26</v>
      </c>
      <c r="P96" t="s">
        <v>33</v>
      </c>
      <c r="Q96">
        <v>1</v>
      </c>
      <c r="R96">
        <v>5</v>
      </c>
      <c r="S96">
        <v>100.03333486299999</v>
      </c>
      <c r="T96">
        <v>762715</v>
      </c>
      <c r="U96">
        <v>762715</v>
      </c>
      <c r="V96">
        <v>1</v>
      </c>
      <c r="W96">
        <v>0</v>
      </c>
      <c r="X96">
        <v>762969.25</v>
      </c>
      <c r="Y96">
        <v>762969.25</v>
      </c>
    </row>
    <row r="97" spans="1:25" x14ac:dyDescent="0.25">
      <c r="A97">
        <v>20</v>
      </c>
      <c r="B97" t="s">
        <v>25</v>
      </c>
      <c r="C97" t="s">
        <v>26</v>
      </c>
      <c r="D97" t="s">
        <v>3336</v>
      </c>
      <c r="E97">
        <v>228152</v>
      </c>
      <c r="G97" t="s">
        <v>3337</v>
      </c>
      <c r="H97" t="s">
        <v>93</v>
      </c>
      <c r="I97" t="s">
        <v>3337</v>
      </c>
      <c r="L97" t="b">
        <v>0</v>
      </c>
      <c r="M97" t="s">
        <v>50</v>
      </c>
      <c r="N97" t="s">
        <v>26</v>
      </c>
      <c r="P97" t="s">
        <v>33</v>
      </c>
      <c r="Q97">
        <v>1</v>
      </c>
      <c r="R97">
        <v>5</v>
      </c>
      <c r="S97">
        <v>100.0333329277</v>
      </c>
      <c r="T97">
        <v>4155372</v>
      </c>
      <c r="U97">
        <v>4155372</v>
      </c>
      <c r="V97">
        <v>1</v>
      </c>
      <c r="W97">
        <v>0</v>
      </c>
      <c r="X97">
        <v>4156757.11</v>
      </c>
      <c r="Y97">
        <v>4156757.11</v>
      </c>
    </row>
    <row r="98" spans="1:25" x14ac:dyDescent="0.25">
      <c r="A98">
        <v>20</v>
      </c>
      <c r="B98" t="s">
        <v>25</v>
      </c>
      <c r="C98" t="s">
        <v>26</v>
      </c>
      <c r="D98" t="s">
        <v>3338</v>
      </c>
      <c r="E98">
        <v>228153</v>
      </c>
      <c r="G98" t="s">
        <v>3339</v>
      </c>
      <c r="H98" t="s">
        <v>93</v>
      </c>
      <c r="I98" t="s">
        <v>3339</v>
      </c>
      <c r="L98" t="b">
        <v>0</v>
      </c>
      <c r="M98" t="s">
        <v>50</v>
      </c>
      <c r="N98" t="s">
        <v>26</v>
      </c>
      <c r="P98" t="s">
        <v>33</v>
      </c>
      <c r="Q98">
        <v>1</v>
      </c>
      <c r="R98">
        <v>5</v>
      </c>
      <c r="S98">
        <v>100.03333325760001</v>
      </c>
      <c r="T98">
        <v>13322066</v>
      </c>
      <c r="U98">
        <v>13322066</v>
      </c>
      <c r="V98">
        <v>1</v>
      </c>
      <c r="W98">
        <v>0</v>
      </c>
      <c r="X98">
        <v>13326506.68</v>
      </c>
      <c r="Y98">
        <v>13326506.68</v>
      </c>
    </row>
    <row r="99" spans="1:25" x14ac:dyDescent="0.25">
      <c r="A99">
        <v>20</v>
      </c>
      <c r="B99" t="s">
        <v>25</v>
      </c>
      <c r="C99" t="s">
        <v>26</v>
      </c>
      <c r="D99" t="s">
        <v>3340</v>
      </c>
      <c r="E99">
        <v>228130</v>
      </c>
      <c r="G99" t="s">
        <v>3341</v>
      </c>
      <c r="H99" t="s">
        <v>93</v>
      </c>
      <c r="I99" t="s">
        <v>3341</v>
      </c>
      <c r="L99" t="b">
        <v>0</v>
      </c>
      <c r="M99" t="s">
        <v>50</v>
      </c>
      <c r="N99" t="s">
        <v>26</v>
      </c>
      <c r="P99" t="s">
        <v>33</v>
      </c>
      <c r="Q99">
        <v>1</v>
      </c>
      <c r="R99">
        <v>5</v>
      </c>
      <c r="S99">
        <v>100.0333310793</v>
      </c>
      <c r="T99">
        <v>730978</v>
      </c>
      <c r="U99">
        <v>730978</v>
      </c>
      <c r="V99">
        <v>1</v>
      </c>
      <c r="W99">
        <v>0</v>
      </c>
      <c r="X99">
        <v>731221.64</v>
      </c>
      <c r="Y99">
        <v>731221.64</v>
      </c>
    </row>
    <row r="100" spans="1:25" x14ac:dyDescent="0.25">
      <c r="A100">
        <v>20</v>
      </c>
      <c r="B100" t="s">
        <v>25</v>
      </c>
      <c r="C100" t="s">
        <v>26</v>
      </c>
      <c r="D100" t="s">
        <v>3342</v>
      </c>
      <c r="E100">
        <v>228167</v>
      </c>
      <c r="G100" t="s">
        <v>3343</v>
      </c>
      <c r="H100" t="s">
        <v>93</v>
      </c>
      <c r="I100" t="s">
        <v>3343</v>
      </c>
      <c r="L100" t="b">
        <v>0</v>
      </c>
      <c r="M100" t="s">
        <v>50</v>
      </c>
      <c r="N100" t="s">
        <v>26</v>
      </c>
      <c r="P100" t="s">
        <v>33</v>
      </c>
      <c r="Q100">
        <v>1</v>
      </c>
      <c r="R100">
        <v>5</v>
      </c>
      <c r="S100">
        <v>100.03333389559999</v>
      </c>
      <c r="T100">
        <v>965448</v>
      </c>
      <c r="U100">
        <v>965448</v>
      </c>
      <c r="V100">
        <v>1</v>
      </c>
      <c r="W100">
        <v>0</v>
      </c>
      <c r="X100">
        <v>965769.82</v>
      </c>
      <c r="Y100">
        <v>965769.82</v>
      </c>
    </row>
    <row r="101" spans="1:25" x14ac:dyDescent="0.25">
      <c r="A101">
        <v>20</v>
      </c>
      <c r="B101" t="s">
        <v>25</v>
      </c>
      <c r="C101" t="s">
        <v>26</v>
      </c>
      <c r="D101" t="s">
        <v>3344</v>
      </c>
      <c r="E101">
        <v>228164</v>
      </c>
      <c r="G101" t="s">
        <v>3345</v>
      </c>
      <c r="H101" t="s">
        <v>93</v>
      </c>
      <c r="I101" t="s">
        <v>3345</v>
      </c>
      <c r="L101" t="b">
        <v>0</v>
      </c>
      <c r="M101" t="s">
        <v>50</v>
      </c>
      <c r="N101" t="s">
        <v>26</v>
      </c>
      <c r="P101" t="s">
        <v>33</v>
      </c>
      <c r="Q101">
        <v>1</v>
      </c>
      <c r="R101">
        <v>5</v>
      </c>
      <c r="S101">
        <v>100.0333337325</v>
      </c>
      <c r="T101">
        <v>2016083</v>
      </c>
      <c r="U101">
        <v>2016083</v>
      </c>
      <c r="V101">
        <v>1</v>
      </c>
      <c r="W101">
        <v>0</v>
      </c>
      <c r="X101">
        <v>2016755.04</v>
      </c>
      <c r="Y101">
        <v>2016755.04</v>
      </c>
    </row>
    <row r="102" spans="1:25" x14ac:dyDescent="0.25">
      <c r="A102">
        <v>20</v>
      </c>
      <c r="B102" t="s">
        <v>25</v>
      </c>
      <c r="C102" t="s">
        <v>26</v>
      </c>
      <c r="D102" t="s">
        <v>3346</v>
      </c>
      <c r="E102">
        <v>228165</v>
      </c>
      <c r="G102" t="s">
        <v>3347</v>
      </c>
      <c r="H102" t="s">
        <v>93</v>
      </c>
      <c r="I102" t="s">
        <v>3347</v>
      </c>
      <c r="L102" t="b">
        <v>0</v>
      </c>
      <c r="M102" t="s">
        <v>50</v>
      </c>
      <c r="N102" t="s">
        <v>26</v>
      </c>
      <c r="P102" t="s">
        <v>33</v>
      </c>
      <c r="Q102">
        <v>1</v>
      </c>
      <c r="R102">
        <v>5</v>
      </c>
      <c r="S102">
        <v>100.03333329269999</v>
      </c>
      <c r="T102">
        <v>4220898</v>
      </c>
      <c r="U102">
        <v>4220898</v>
      </c>
      <c r="V102">
        <v>1</v>
      </c>
      <c r="W102">
        <v>0</v>
      </c>
      <c r="X102">
        <v>4222304.96</v>
      </c>
      <c r="Y102">
        <v>4222304.96</v>
      </c>
    </row>
    <row r="103" spans="1:25" x14ac:dyDescent="0.25">
      <c r="A103">
        <v>20</v>
      </c>
      <c r="B103" t="s">
        <v>25</v>
      </c>
      <c r="C103" t="s">
        <v>26</v>
      </c>
      <c r="D103" t="s">
        <v>3348</v>
      </c>
      <c r="E103">
        <v>228166</v>
      </c>
      <c r="G103" t="s">
        <v>3349</v>
      </c>
      <c r="H103" t="s">
        <v>93</v>
      </c>
      <c r="I103" t="s">
        <v>3349</v>
      </c>
      <c r="L103" t="b">
        <v>0</v>
      </c>
      <c r="M103" t="s">
        <v>50</v>
      </c>
      <c r="N103" t="s">
        <v>26</v>
      </c>
      <c r="P103" t="s">
        <v>33</v>
      </c>
      <c r="Q103">
        <v>1</v>
      </c>
      <c r="R103">
        <v>5</v>
      </c>
      <c r="S103">
        <v>100.0333325826</v>
      </c>
      <c r="T103">
        <v>951450</v>
      </c>
      <c r="U103">
        <v>951450</v>
      </c>
      <c r="V103">
        <v>1</v>
      </c>
      <c r="W103">
        <v>0</v>
      </c>
      <c r="X103">
        <v>951767.14</v>
      </c>
      <c r="Y103">
        <v>951767.14</v>
      </c>
    </row>
    <row r="104" spans="1:25" x14ac:dyDescent="0.25">
      <c r="A104">
        <v>20</v>
      </c>
      <c r="B104" t="s">
        <v>25</v>
      </c>
      <c r="C104" t="s">
        <v>26</v>
      </c>
      <c r="D104" t="s">
        <v>3350</v>
      </c>
      <c r="E104">
        <v>228141</v>
      </c>
      <c r="G104" t="s">
        <v>3351</v>
      </c>
      <c r="H104" t="s">
        <v>93</v>
      </c>
      <c r="I104" t="s">
        <v>3351</v>
      </c>
      <c r="L104" t="b">
        <v>0</v>
      </c>
      <c r="M104" t="s">
        <v>50</v>
      </c>
      <c r="N104" t="s">
        <v>26</v>
      </c>
      <c r="P104" t="s">
        <v>33</v>
      </c>
      <c r="Q104">
        <v>1</v>
      </c>
      <c r="R104">
        <v>5</v>
      </c>
      <c r="S104">
        <v>100.0333333838</v>
      </c>
      <c r="T104">
        <v>29922919</v>
      </c>
      <c r="U104">
        <v>29922919</v>
      </c>
      <c r="V104">
        <v>1</v>
      </c>
      <c r="W104">
        <v>0</v>
      </c>
      <c r="X104">
        <v>29932893.32</v>
      </c>
      <c r="Y104">
        <v>29932893.32</v>
      </c>
    </row>
    <row r="105" spans="1:25" x14ac:dyDescent="0.25">
      <c r="A105">
        <v>20</v>
      </c>
      <c r="B105" t="s">
        <v>25</v>
      </c>
      <c r="C105" t="s">
        <v>26</v>
      </c>
      <c r="D105" t="s">
        <v>3352</v>
      </c>
      <c r="E105">
        <v>228133</v>
      </c>
      <c r="G105" t="s">
        <v>3353</v>
      </c>
      <c r="H105" t="s">
        <v>93</v>
      </c>
      <c r="I105" t="s">
        <v>3353</v>
      </c>
      <c r="L105" t="b">
        <v>0</v>
      </c>
      <c r="M105" t="s">
        <v>50</v>
      </c>
      <c r="N105" t="s">
        <v>26</v>
      </c>
      <c r="P105" t="s">
        <v>33</v>
      </c>
      <c r="Q105">
        <v>1</v>
      </c>
      <c r="R105">
        <v>5</v>
      </c>
      <c r="S105">
        <v>100.03333332219999</v>
      </c>
      <c r="T105">
        <v>51551803</v>
      </c>
      <c r="U105">
        <v>51551803</v>
      </c>
      <c r="V105">
        <v>1</v>
      </c>
      <c r="W105">
        <v>0</v>
      </c>
      <c r="X105">
        <v>51568986.93</v>
      </c>
      <c r="Y105">
        <v>51568986.93</v>
      </c>
    </row>
    <row r="106" spans="1:25" x14ac:dyDescent="0.25">
      <c r="A106">
        <v>20</v>
      </c>
      <c r="B106" t="s">
        <v>25</v>
      </c>
      <c r="C106" t="s">
        <v>26</v>
      </c>
      <c r="D106" t="s">
        <v>3354</v>
      </c>
      <c r="E106">
        <v>228132</v>
      </c>
      <c r="G106" t="s">
        <v>3355</v>
      </c>
      <c r="H106" t="s">
        <v>93</v>
      </c>
      <c r="I106" t="s">
        <v>3355</v>
      </c>
      <c r="L106" t="b">
        <v>0</v>
      </c>
      <c r="M106" t="s">
        <v>50</v>
      </c>
      <c r="N106" t="s">
        <v>26</v>
      </c>
      <c r="P106" t="s">
        <v>33</v>
      </c>
      <c r="Q106">
        <v>1</v>
      </c>
      <c r="R106">
        <v>5</v>
      </c>
      <c r="S106">
        <v>100.03332963930001</v>
      </c>
      <c r="T106">
        <v>427976</v>
      </c>
      <c r="U106">
        <v>427976</v>
      </c>
      <c r="V106">
        <v>1</v>
      </c>
      <c r="W106">
        <v>0</v>
      </c>
      <c r="X106">
        <v>428118.64</v>
      </c>
      <c r="Y106">
        <v>428118.64</v>
      </c>
    </row>
    <row r="107" spans="1:25" x14ac:dyDescent="0.25">
      <c r="A107">
        <v>20</v>
      </c>
      <c r="B107" t="s">
        <v>25</v>
      </c>
      <c r="C107" t="s">
        <v>26</v>
      </c>
      <c r="D107" t="s">
        <v>3356</v>
      </c>
      <c r="E107">
        <v>228175</v>
      </c>
      <c r="G107" t="s">
        <v>3357</v>
      </c>
      <c r="H107" t="s">
        <v>93</v>
      </c>
      <c r="I107" t="s">
        <v>3357</v>
      </c>
      <c r="L107" t="b">
        <v>0</v>
      </c>
      <c r="M107" t="s">
        <v>50</v>
      </c>
      <c r="N107" t="s">
        <v>26</v>
      </c>
      <c r="P107" t="s">
        <v>33</v>
      </c>
      <c r="Q107">
        <v>1</v>
      </c>
      <c r="R107">
        <v>5</v>
      </c>
      <c r="S107">
        <v>100.0333343443</v>
      </c>
      <c r="T107">
        <v>993827</v>
      </c>
      <c r="U107">
        <v>993827</v>
      </c>
      <c r="V107">
        <v>1</v>
      </c>
      <c r="W107">
        <v>0</v>
      </c>
      <c r="X107">
        <v>994158.29</v>
      </c>
      <c r="Y107">
        <v>994158.29</v>
      </c>
    </row>
    <row r="108" spans="1:25" x14ac:dyDescent="0.25">
      <c r="A108">
        <v>20</v>
      </c>
      <c r="B108" t="s">
        <v>25</v>
      </c>
      <c r="C108" t="s">
        <v>26</v>
      </c>
      <c r="D108" t="s">
        <v>3358</v>
      </c>
      <c r="E108">
        <v>228161</v>
      </c>
      <c r="G108" t="s">
        <v>3359</v>
      </c>
      <c r="H108" t="s">
        <v>93</v>
      </c>
      <c r="I108" t="s">
        <v>3359</v>
      </c>
      <c r="L108" t="b">
        <v>0</v>
      </c>
      <c r="M108" t="s">
        <v>50</v>
      </c>
      <c r="N108" t="s">
        <v>26</v>
      </c>
      <c r="P108" t="s">
        <v>33</v>
      </c>
      <c r="Q108">
        <v>1</v>
      </c>
      <c r="R108">
        <v>5</v>
      </c>
      <c r="S108">
        <v>100.0333356637</v>
      </c>
      <c r="T108">
        <v>931792</v>
      </c>
      <c r="U108">
        <v>931792</v>
      </c>
      <c r="V108">
        <v>1</v>
      </c>
      <c r="W108">
        <v>0</v>
      </c>
      <c r="X108">
        <v>932102.62</v>
      </c>
      <c r="Y108">
        <v>932102.62</v>
      </c>
    </row>
    <row r="109" spans="1:25" x14ac:dyDescent="0.25">
      <c r="A109">
        <v>20</v>
      </c>
      <c r="B109" t="s">
        <v>25</v>
      </c>
      <c r="C109" t="s">
        <v>26</v>
      </c>
      <c r="D109" t="s">
        <v>3360</v>
      </c>
      <c r="E109">
        <v>228171</v>
      </c>
      <c r="G109" t="s">
        <v>3361</v>
      </c>
      <c r="H109" t="s">
        <v>93</v>
      </c>
      <c r="I109" t="s">
        <v>3361</v>
      </c>
      <c r="L109" t="b">
        <v>0</v>
      </c>
      <c r="M109" t="s">
        <v>50</v>
      </c>
      <c r="N109" t="s">
        <v>26</v>
      </c>
      <c r="P109" t="s">
        <v>33</v>
      </c>
      <c r="Q109">
        <v>1</v>
      </c>
      <c r="R109">
        <v>5</v>
      </c>
      <c r="S109">
        <v>100.0333343443</v>
      </c>
      <c r="T109">
        <v>993827</v>
      </c>
      <c r="U109">
        <v>993827</v>
      </c>
      <c r="V109">
        <v>1</v>
      </c>
      <c r="W109">
        <v>0</v>
      </c>
      <c r="X109">
        <v>994158.29</v>
      </c>
      <c r="Y109">
        <v>994158.29</v>
      </c>
    </row>
    <row r="110" spans="1:25" x14ac:dyDescent="0.25">
      <c r="A110">
        <v>20</v>
      </c>
      <c r="B110" t="s">
        <v>25</v>
      </c>
      <c r="C110" t="s">
        <v>26</v>
      </c>
      <c r="D110" t="s">
        <v>3362</v>
      </c>
      <c r="E110">
        <v>228172</v>
      </c>
      <c r="G110" t="s">
        <v>3363</v>
      </c>
      <c r="H110" t="s">
        <v>93</v>
      </c>
      <c r="I110" t="s">
        <v>3363</v>
      </c>
      <c r="L110" t="b">
        <v>0</v>
      </c>
      <c r="M110" t="s">
        <v>50</v>
      </c>
      <c r="N110" t="s">
        <v>26</v>
      </c>
      <c r="P110" t="s">
        <v>33</v>
      </c>
      <c r="Q110">
        <v>1</v>
      </c>
      <c r="R110">
        <v>5</v>
      </c>
      <c r="S110">
        <v>100.033333051</v>
      </c>
      <c r="T110">
        <v>1146724</v>
      </c>
      <c r="U110">
        <v>1146724</v>
      </c>
      <c r="V110">
        <v>1</v>
      </c>
      <c r="W110">
        <v>0</v>
      </c>
      <c r="X110">
        <v>1147106.24</v>
      </c>
      <c r="Y110">
        <v>1147106.24</v>
      </c>
    </row>
    <row r="111" spans="1:25" x14ac:dyDescent="0.25">
      <c r="A111">
        <v>20</v>
      </c>
      <c r="B111" t="s">
        <v>25</v>
      </c>
      <c r="C111" t="s">
        <v>26</v>
      </c>
      <c r="D111" t="s">
        <v>3364</v>
      </c>
      <c r="E111">
        <v>228160</v>
      </c>
      <c r="G111" t="s">
        <v>3365</v>
      </c>
      <c r="H111" t="s">
        <v>93</v>
      </c>
      <c r="I111" t="s">
        <v>3365</v>
      </c>
      <c r="L111" t="b">
        <v>0</v>
      </c>
      <c r="M111" t="s">
        <v>50</v>
      </c>
      <c r="N111" t="s">
        <v>26</v>
      </c>
      <c r="P111" t="s">
        <v>33</v>
      </c>
      <c r="Q111">
        <v>1</v>
      </c>
      <c r="R111">
        <v>5</v>
      </c>
      <c r="S111">
        <v>100.0333309601</v>
      </c>
      <c r="T111">
        <v>764483</v>
      </c>
      <c r="U111">
        <v>764483</v>
      </c>
      <c r="V111">
        <v>1</v>
      </c>
      <c r="W111">
        <v>0</v>
      </c>
      <c r="X111">
        <v>764737.81</v>
      </c>
      <c r="Y111">
        <v>764737.81</v>
      </c>
    </row>
    <row r="112" spans="1:25" x14ac:dyDescent="0.25">
      <c r="A112">
        <v>20</v>
      </c>
      <c r="B112" t="s">
        <v>25</v>
      </c>
      <c r="C112" t="s">
        <v>26</v>
      </c>
      <c r="D112" t="s">
        <v>3366</v>
      </c>
      <c r="E112">
        <v>228176</v>
      </c>
      <c r="G112" t="s">
        <v>3367</v>
      </c>
      <c r="H112" t="s">
        <v>93</v>
      </c>
      <c r="I112" t="s">
        <v>3367</v>
      </c>
      <c r="L112" t="b">
        <v>0</v>
      </c>
      <c r="M112" t="s">
        <v>50</v>
      </c>
      <c r="N112" t="s">
        <v>26</v>
      </c>
      <c r="P112" t="s">
        <v>33</v>
      </c>
      <c r="Q112">
        <v>1</v>
      </c>
      <c r="R112">
        <v>5</v>
      </c>
      <c r="S112">
        <v>100.0333343443</v>
      </c>
      <c r="T112">
        <v>993827</v>
      </c>
      <c r="U112">
        <v>993827</v>
      </c>
      <c r="V112">
        <v>1</v>
      </c>
      <c r="W112">
        <v>0</v>
      </c>
      <c r="X112">
        <v>994158.29</v>
      </c>
      <c r="Y112">
        <v>994158.29</v>
      </c>
    </row>
    <row r="113" spans="1:25" x14ac:dyDescent="0.25">
      <c r="A113">
        <v>20</v>
      </c>
      <c r="B113" t="s">
        <v>25</v>
      </c>
      <c r="C113" t="s">
        <v>26</v>
      </c>
      <c r="D113" t="s">
        <v>3368</v>
      </c>
      <c r="E113">
        <v>228169</v>
      </c>
      <c r="G113" t="s">
        <v>3369</v>
      </c>
      <c r="H113" t="s">
        <v>93</v>
      </c>
      <c r="I113" t="s">
        <v>3369</v>
      </c>
      <c r="L113" t="b">
        <v>0</v>
      </c>
      <c r="M113" t="s">
        <v>50</v>
      </c>
      <c r="N113" t="s">
        <v>26</v>
      </c>
      <c r="P113" t="s">
        <v>33</v>
      </c>
      <c r="Q113">
        <v>1</v>
      </c>
      <c r="R113">
        <v>5</v>
      </c>
      <c r="S113">
        <v>100.0333343443</v>
      </c>
      <c r="T113">
        <v>993827</v>
      </c>
      <c r="U113">
        <v>993827</v>
      </c>
      <c r="V113">
        <v>1</v>
      </c>
      <c r="W113">
        <v>0</v>
      </c>
      <c r="X113">
        <v>994158.29</v>
      </c>
      <c r="Y113">
        <v>994158.29</v>
      </c>
    </row>
    <row r="114" spans="1:25" x14ac:dyDescent="0.25">
      <c r="A114">
        <v>20</v>
      </c>
      <c r="B114" t="s">
        <v>25</v>
      </c>
      <c r="C114" t="s">
        <v>26</v>
      </c>
      <c r="D114" t="s">
        <v>3370</v>
      </c>
      <c r="E114">
        <v>228170</v>
      </c>
      <c r="G114" t="s">
        <v>3371</v>
      </c>
      <c r="H114" t="s">
        <v>93</v>
      </c>
      <c r="I114" t="s">
        <v>3371</v>
      </c>
      <c r="L114" t="b">
        <v>0</v>
      </c>
      <c r="M114" t="s">
        <v>50</v>
      </c>
      <c r="N114" t="s">
        <v>26</v>
      </c>
      <c r="P114" t="s">
        <v>33</v>
      </c>
      <c r="Q114">
        <v>1</v>
      </c>
      <c r="R114">
        <v>5</v>
      </c>
      <c r="S114">
        <v>100.0333333435</v>
      </c>
      <c r="T114">
        <v>77094548</v>
      </c>
      <c r="U114">
        <v>77094548</v>
      </c>
      <c r="V114">
        <v>1</v>
      </c>
      <c r="W114">
        <v>0</v>
      </c>
      <c r="X114">
        <v>77120246.189999998</v>
      </c>
      <c r="Y114">
        <v>77120246.189999998</v>
      </c>
    </row>
    <row r="115" spans="1:25" x14ac:dyDescent="0.25">
      <c r="A115">
        <v>20</v>
      </c>
      <c r="B115" t="s">
        <v>25</v>
      </c>
      <c r="C115" t="s">
        <v>26</v>
      </c>
      <c r="D115" t="s">
        <v>3372</v>
      </c>
      <c r="E115">
        <v>228173</v>
      </c>
      <c r="G115" t="s">
        <v>3373</v>
      </c>
      <c r="H115" t="s">
        <v>93</v>
      </c>
      <c r="I115" t="s">
        <v>3373</v>
      </c>
      <c r="L115" t="b">
        <v>0</v>
      </c>
      <c r="M115" t="s">
        <v>50</v>
      </c>
      <c r="N115" t="s">
        <v>26</v>
      </c>
      <c r="P115" t="s">
        <v>33</v>
      </c>
      <c r="Q115">
        <v>1</v>
      </c>
      <c r="R115">
        <v>5</v>
      </c>
      <c r="S115">
        <v>100.03333313909999</v>
      </c>
      <c r="T115">
        <v>4978029</v>
      </c>
      <c r="U115">
        <v>4978029</v>
      </c>
      <c r="V115">
        <v>1</v>
      </c>
      <c r="W115">
        <v>0</v>
      </c>
      <c r="X115">
        <v>4979688.33</v>
      </c>
      <c r="Y115">
        <v>4979688.33</v>
      </c>
    </row>
    <row r="116" spans="1:25" x14ac:dyDescent="0.25">
      <c r="A116">
        <v>20</v>
      </c>
      <c r="B116" t="s">
        <v>25</v>
      </c>
      <c r="C116" t="s">
        <v>26</v>
      </c>
      <c r="D116" t="s">
        <v>3374</v>
      </c>
      <c r="E116">
        <v>228168</v>
      </c>
      <c r="G116" t="s">
        <v>3375</v>
      </c>
      <c r="H116" t="s">
        <v>93</v>
      </c>
      <c r="I116" t="s">
        <v>3375</v>
      </c>
      <c r="L116" t="b">
        <v>0</v>
      </c>
      <c r="M116" t="s">
        <v>50</v>
      </c>
      <c r="N116" t="s">
        <v>26</v>
      </c>
      <c r="P116" t="s">
        <v>33</v>
      </c>
      <c r="Q116">
        <v>1</v>
      </c>
      <c r="R116">
        <v>5</v>
      </c>
      <c r="S116">
        <v>100.0333330365</v>
      </c>
      <c r="T116">
        <v>6048911</v>
      </c>
      <c r="U116">
        <v>6048911</v>
      </c>
      <c r="V116">
        <v>1</v>
      </c>
      <c r="W116">
        <v>0</v>
      </c>
      <c r="X116">
        <v>6050927.29</v>
      </c>
      <c r="Y116">
        <v>6050927.29</v>
      </c>
    </row>
    <row r="117" spans="1:25" x14ac:dyDescent="0.25">
      <c r="A117">
        <v>20</v>
      </c>
      <c r="B117" t="s">
        <v>25</v>
      </c>
      <c r="C117" t="s">
        <v>26</v>
      </c>
      <c r="D117" t="s">
        <v>3376</v>
      </c>
      <c r="E117">
        <v>228174</v>
      </c>
      <c r="G117" t="s">
        <v>3377</v>
      </c>
      <c r="H117" t="s">
        <v>93</v>
      </c>
      <c r="I117" t="s">
        <v>3377</v>
      </c>
      <c r="L117" t="b">
        <v>0</v>
      </c>
      <c r="M117" t="s">
        <v>50</v>
      </c>
      <c r="N117" t="s">
        <v>26</v>
      </c>
      <c r="P117" t="s">
        <v>33</v>
      </c>
      <c r="Q117">
        <v>1</v>
      </c>
      <c r="R117">
        <v>5</v>
      </c>
      <c r="S117">
        <v>100.0333331559</v>
      </c>
      <c r="T117">
        <v>9635337</v>
      </c>
      <c r="U117">
        <v>9635337</v>
      </c>
      <c r="V117">
        <v>1</v>
      </c>
      <c r="W117">
        <v>0</v>
      </c>
      <c r="X117">
        <v>9638548.7599999998</v>
      </c>
      <c r="Y117">
        <v>9638548.7599999998</v>
      </c>
    </row>
    <row r="118" spans="1:25" x14ac:dyDescent="0.25">
      <c r="A118">
        <v>20</v>
      </c>
      <c r="B118" t="s">
        <v>25</v>
      </c>
      <c r="C118" t="s">
        <v>26</v>
      </c>
      <c r="D118" t="s">
        <v>3378</v>
      </c>
      <c r="E118">
        <v>228135</v>
      </c>
      <c r="G118" t="s">
        <v>3379</v>
      </c>
      <c r="H118" t="s">
        <v>93</v>
      </c>
      <c r="I118" t="s">
        <v>3379</v>
      </c>
      <c r="L118" t="b">
        <v>0</v>
      </c>
      <c r="M118" t="s">
        <v>50</v>
      </c>
      <c r="N118" t="s">
        <v>26</v>
      </c>
      <c r="P118" t="s">
        <v>33</v>
      </c>
      <c r="Q118">
        <v>1</v>
      </c>
      <c r="R118">
        <v>5</v>
      </c>
      <c r="S118">
        <v>100</v>
      </c>
      <c r="T118">
        <v>7589812</v>
      </c>
      <c r="U118">
        <v>7589812</v>
      </c>
      <c r="V118">
        <v>1</v>
      </c>
      <c r="W118">
        <v>0</v>
      </c>
      <c r="X118">
        <v>7589812</v>
      </c>
      <c r="Y118">
        <v>7589812</v>
      </c>
    </row>
    <row r="119" spans="1:25" x14ac:dyDescent="0.25">
      <c r="A119">
        <v>20</v>
      </c>
      <c r="B119" t="s">
        <v>25</v>
      </c>
      <c r="C119" t="s">
        <v>26</v>
      </c>
      <c r="D119" t="s">
        <v>3380</v>
      </c>
      <c r="E119">
        <v>228137</v>
      </c>
      <c r="G119" t="s">
        <v>3381</v>
      </c>
      <c r="H119" t="s">
        <v>93</v>
      </c>
      <c r="I119" t="s">
        <v>3381</v>
      </c>
      <c r="L119" t="b">
        <v>0</v>
      </c>
      <c r="M119" t="s">
        <v>50</v>
      </c>
      <c r="N119" t="s">
        <v>26</v>
      </c>
      <c r="P119" t="s">
        <v>33</v>
      </c>
      <c r="Q119">
        <v>1</v>
      </c>
      <c r="R119">
        <v>5</v>
      </c>
      <c r="S119">
        <v>100</v>
      </c>
      <c r="T119">
        <v>2336111</v>
      </c>
      <c r="U119">
        <v>2336111</v>
      </c>
      <c r="V119">
        <v>1</v>
      </c>
      <c r="W119">
        <v>0</v>
      </c>
      <c r="X119">
        <v>2336111</v>
      </c>
      <c r="Y119">
        <v>2336111</v>
      </c>
    </row>
    <row r="120" spans="1:25" x14ac:dyDescent="0.25">
      <c r="A120">
        <v>20</v>
      </c>
      <c r="B120" t="s">
        <v>25</v>
      </c>
      <c r="C120" t="s">
        <v>26</v>
      </c>
      <c r="D120" t="s">
        <v>3382</v>
      </c>
      <c r="E120">
        <v>228138</v>
      </c>
      <c r="G120" t="s">
        <v>3383</v>
      </c>
      <c r="H120" t="s">
        <v>93</v>
      </c>
      <c r="I120" t="s">
        <v>3383</v>
      </c>
      <c r="L120" t="b">
        <v>0</v>
      </c>
      <c r="M120" t="s">
        <v>50</v>
      </c>
      <c r="N120" t="s">
        <v>26</v>
      </c>
      <c r="P120" t="s">
        <v>33</v>
      </c>
      <c r="Q120">
        <v>1</v>
      </c>
      <c r="R120">
        <v>5</v>
      </c>
      <c r="S120">
        <v>100</v>
      </c>
      <c r="T120">
        <v>19246192</v>
      </c>
      <c r="U120">
        <v>19246192</v>
      </c>
      <c r="V120">
        <v>1</v>
      </c>
      <c r="W120">
        <v>0</v>
      </c>
      <c r="X120">
        <v>19246192</v>
      </c>
      <c r="Y120">
        <v>19246192</v>
      </c>
    </row>
    <row r="121" spans="1:25" x14ac:dyDescent="0.25">
      <c r="A121">
        <v>20</v>
      </c>
      <c r="B121" t="s">
        <v>25</v>
      </c>
      <c r="C121" t="s">
        <v>26</v>
      </c>
      <c r="D121" t="s">
        <v>3384</v>
      </c>
      <c r="E121">
        <v>228140</v>
      </c>
      <c r="G121" t="s">
        <v>3385</v>
      </c>
      <c r="H121" t="s">
        <v>93</v>
      </c>
      <c r="I121" t="s">
        <v>3385</v>
      </c>
      <c r="L121" t="b">
        <v>0</v>
      </c>
      <c r="M121" t="s">
        <v>50</v>
      </c>
      <c r="N121" t="s">
        <v>26</v>
      </c>
      <c r="P121" t="s">
        <v>33</v>
      </c>
      <c r="Q121">
        <v>1</v>
      </c>
      <c r="R121">
        <v>5</v>
      </c>
      <c r="S121">
        <v>100</v>
      </c>
      <c r="T121">
        <v>76808715</v>
      </c>
      <c r="U121">
        <v>76808715</v>
      </c>
      <c r="V121">
        <v>1</v>
      </c>
      <c r="W121">
        <v>0</v>
      </c>
      <c r="X121">
        <v>76808715</v>
      </c>
      <c r="Y121">
        <v>76808715</v>
      </c>
    </row>
    <row r="122" spans="1:25" x14ac:dyDescent="0.25">
      <c r="A122">
        <v>20</v>
      </c>
      <c r="B122" t="s">
        <v>25</v>
      </c>
      <c r="C122" t="s">
        <v>26</v>
      </c>
      <c r="D122" t="s">
        <v>3386</v>
      </c>
      <c r="E122">
        <v>228177</v>
      </c>
      <c r="G122" t="s">
        <v>3387</v>
      </c>
      <c r="H122" t="s">
        <v>93</v>
      </c>
      <c r="I122" t="s">
        <v>3387</v>
      </c>
      <c r="L122" t="b">
        <v>0</v>
      </c>
      <c r="M122" t="s">
        <v>50</v>
      </c>
      <c r="N122" t="s">
        <v>26</v>
      </c>
      <c r="P122" t="s">
        <v>33</v>
      </c>
      <c r="Q122">
        <v>1</v>
      </c>
      <c r="R122">
        <v>5</v>
      </c>
      <c r="S122">
        <v>100</v>
      </c>
      <c r="T122">
        <v>2631416</v>
      </c>
      <c r="U122">
        <v>2631416</v>
      </c>
      <c r="V122">
        <v>1</v>
      </c>
      <c r="W122">
        <v>0</v>
      </c>
      <c r="X122">
        <v>2631416</v>
      </c>
      <c r="Y122">
        <v>2631416</v>
      </c>
    </row>
    <row r="123" spans="1:25" x14ac:dyDescent="0.25">
      <c r="A123">
        <v>20</v>
      </c>
      <c r="B123" t="s">
        <v>25</v>
      </c>
      <c r="C123" t="s">
        <v>26</v>
      </c>
      <c r="D123" t="s">
        <v>3388</v>
      </c>
      <c r="E123">
        <v>228139</v>
      </c>
      <c r="G123" t="s">
        <v>3389</v>
      </c>
      <c r="H123" t="s">
        <v>93</v>
      </c>
      <c r="I123" t="s">
        <v>3389</v>
      </c>
      <c r="L123" t="b">
        <v>0</v>
      </c>
      <c r="M123" t="s">
        <v>50</v>
      </c>
      <c r="N123" t="s">
        <v>26</v>
      </c>
      <c r="P123" t="s">
        <v>33</v>
      </c>
      <c r="Q123">
        <v>1</v>
      </c>
      <c r="R123">
        <v>5</v>
      </c>
      <c r="S123">
        <v>100</v>
      </c>
      <c r="T123">
        <v>18263942</v>
      </c>
      <c r="U123">
        <v>18263942</v>
      </c>
      <c r="V123">
        <v>1</v>
      </c>
      <c r="W123">
        <v>0</v>
      </c>
      <c r="X123">
        <v>18263942</v>
      </c>
      <c r="Y123">
        <v>18263942</v>
      </c>
    </row>
    <row r="124" spans="1:25" x14ac:dyDescent="0.25">
      <c r="A124">
        <v>20</v>
      </c>
      <c r="B124" t="s">
        <v>25</v>
      </c>
      <c r="C124" t="s">
        <v>26</v>
      </c>
      <c r="D124" t="s">
        <v>3390</v>
      </c>
      <c r="E124">
        <v>210100</v>
      </c>
      <c r="G124" t="s">
        <v>3391</v>
      </c>
      <c r="H124" t="s">
        <v>2652</v>
      </c>
      <c r="I124" t="s">
        <v>3391</v>
      </c>
      <c r="L124" t="b">
        <v>0</v>
      </c>
      <c r="M124" t="s">
        <v>50</v>
      </c>
      <c r="N124" t="s">
        <v>32</v>
      </c>
      <c r="O124" t="s">
        <v>26</v>
      </c>
      <c r="P124" t="s">
        <v>33</v>
      </c>
      <c r="Q124">
        <v>1</v>
      </c>
      <c r="R124">
        <v>5</v>
      </c>
      <c r="S124">
        <v>104.5108257368</v>
      </c>
      <c r="T124">
        <v>1247</v>
      </c>
      <c r="U124">
        <v>1247</v>
      </c>
      <c r="V124">
        <v>1</v>
      </c>
      <c r="W124">
        <v>0</v>
      </c>
      <c r="X124">
        <v>1213143.29</v>
      </c>
      <c r="Y124">
        <v>1213143.29</v>
      </c>
    </row>
    <row r="125" spans="1:25" x14ac:dyDescent="0.25">
      <c r="A125">
        <v>20</v>
      </c>
      <c r="B125" t="s">
        <v>25</v>
      </c>
      <c r="C125" t="s">
        <v>26</v>
      </c>
      <c r="D125" t="s">
        <v>3392</v>
      </c>
      <c r="E125">
        <v>209956</v>
      </c>
      <c r="G125" t="s">
        <v>3393</v>
      </c>
      <c r="H125" t="s">
        <v>2652</v>
      </c>
      <c r="I125" t="s">
        <v>3393</v>
      </c>
      <c r="L125" t="b">
        <v>0</v>
      </c>
      <c r="M125" t="s">
        <v>50</v>
      </c>
      <c r="N125" t="s">
        <v>32</v>
      </c>
      <c r="O125" t="s">
        <v>26</v>
      </c>
      <c r="P125" t="s">
        <v>33</v>
      </c>
      <c r="Q125">
        <v>1</v>
      </c>
      <c r="R125">
        <v>5</v>
      </c>
      <c r="S125">
        <v>104.5106864728</v>
      </c>
      <c r="T125">
        <v>1917</v>
      </c>
      <c r="U125">
        <v>1917</v>
      </c>
      <c r="V125">
        <v>1</v>
      </c>
      <c r="W125">
        <v>0</v>
      </c>
      <c r="X125">
        <v>1864950.08</v>
      </c>
      <c r="Y125">
        <v>1864950.08</v>
      </c>
    </row>
    <row r="126" spans="1:25" x14ac:dyDescent="0.25">
      <c r="A126">
        <v>20</v>
      </c>
      <c r="B126" t="s">
        <v>25</v>
      </c>
      <c r="C126" t="s">
        <v>26</v>
      </c>
      <c r="D126" t="s">
        <v>3394</v>
      </c>
      <c r="E126">
        <v>210119</v>
      </c>
      <c r="G126" t="s">
        <v>3395</v>
      </c>
      <c r="H126" t="s">
        <v>2652</v>
      </c>
      <c r="I126" t="s">
        <v>3395</v>
      </c>
      <c r="L126" t="b">
        <v>0</v>
      </c>
      <c r="M126" t="s">
        <v>50</v>
      </c>
      <c r="N126" t="s">
        <v>32</v>
      </c>
      <c r="O126" t="s">
        <v>26</v>
      </c>
      <c r="P126" t="s">
        <v>33</v>
      </c>
      <c r="Q126">
        <v>1</v>
      </c>
      <c r="R126">
        <v>5</v>
      </c>
      <c r="S126">
        <v>104.51112068</v>
      </c>
      <c r="T126">
        <v>156</v>
      </c>
      <c r="U126">
        <v>156</v>
      </c>
      <c r="V126">
        <v>1</v>
      </c>
      <c r="W126">
        <v>0</v>
      </c>
      <c r="X126">
        <v>151767.41</v>
      </c>
      <c r="Y126">
        <v>151767.41</v>
      </c>
    </row>
    <row r="127" spans="1:25" x14ac:dyDescent="0.25">
      <c r="A127">
        <v>20</v>
      </c>
      <c r="B127" t="s">
        <v>25</v>
      </c>
      <c r="C127" t="s">
        <v>26</v>
      </c>
      <c r="D127" t="s">
        <v>3396</v>
      </c>
      <c r="E127">
        <v>210108</v>
      </c>
      <c r="G127" t="s">
        <v>3397</v>
      </c>
      <c r="H127" t="s">
        <v>2652</v>
      </c>
      <c r="I127" t="s">
        <v>3397</v>
      </c>
      <c r="L127" t="b">
        <v>0</v>
      </c>
      <c r="M127" t="s">
        <v>50</v>
      </c>
      <c r="N127" t="s">
        <v>32</v>
      </c>
      <c r="O127" t="s">
        <v>26</v>
      </c>
      <c r="P127" t="s">
        <v>33</v>
      </c>
      <c r="Q127">
        <v>1</v>
      </c>
      <c r="R127">
        <v>5</v>
      </c>
      <c r="S127">
        <v>104.5109241328</v>
      </c>
      <c r="T127">
        <v>14835</v>
      </c>
      <c r="U127">
        <v>14835</v>
      </c>
      <c r="V127">
        <v>1</v>
      </c>
      <c r="W127">
        <v>0</v>
      </c>
      <c r="X127">
        <v>14432239.609999999</v>
      </c>
      <c r="Y127">
        <v>14432239.609999999</v>
      </c>
    </row>
    <row r="128" spans="1:25" x14ac:dyDescent="0.25">
      <c r="A128">
        <v>20</v>
      </c>
      <c r="B128" t="s">
        <v>25</v>
      </c>
      <c r="C128" t="s">
        <v>26</v>
      </c>
      <c r="D128" t="s">
        <v>3398</v>
      </c>
      <c r="E128">
        <v>210001</v>
      </c>
      <c r="G128" t="s">
        <v>3399</v>
      </c>
      <c r="H128" t="s">
        <v>2652</v>
      </c>
      <c r="I128" t="s">
        <v>3399</v>
      </c>
      <c r="L128" t="b">
        <v>0</v>
      </c>
      <c r="M128" t="s">
        <v>50</v>
      </c>
      <c r="N128" t="s">
        <v>32</v>
      </c>
      <c r="O128" t="s">
        <v>26</v>
      </c>
      <c r="P128" t="s">
        <v>33</v>
      </c>
      <c r="Q128">
        <v>1</v>
      </c>
      <c r="R128">
        <v>5</v>
      </c>
      <c r="S128">
        <v>104.510969856</v>
      </c>
      <c r="T128">
        <v>6518</v>
      </c>
      <c r="U128">
        <v>6518</v>
      </c>
      <c r="V128">
        <v>1</v>
      </c>
      <c r="W128">
        <v>0</v>
      </c>
      <c r="X128">
        <v>6341046.25</v>
      </c>
      <c r="Y128">
        <v>6341046.25</v>
      </c>
    </row>
    <row r="129" spans="1:25" x14ac:dyDescent="0.25">
      <c r="A129">
        <v>20</v>
      </c>
      <c r="B129" t="s">
        <v>25</v>
      </c>
      <c r="C129" t="s">
        <v>26</v>
      </c>
      <c r="D129" t="s">
        <v>3400</v>
      </c>
      <c r="E129">
        <v>210019</v>
      </c>
      <c r="G129" t="s">
        <v>3401</v>
      </c>
      <c r="H129" t="s">
        <v>2652</v>
      </c>
      <c r="I129" t="s">
        <v>3401</v>
      </c>
      <c r="L129" t="b">
        <v>0</v>
      </c>
      <c r="M129" t="s">
        <v>50</v>
      </c>
      <c r="N129" t="s">
        <v>32</v>
      </c>
      <c r="O129" t="s">
        <v>26</v>
      </c>
      <c r="P129" t="s">
        <v>33</v>
      </c>
      <c r="Q129">
        <v>1</v>
      </c>
      <c r="R129">
        <v>5</v>
      </c>
      <c r="S129">
        <v>104.51088146959999</v>
      </c>
      <c r="T129">
        <v>2656</v>
      </c>
      <c r="U129">
        <v>2656</v>
      </c>
      <c r="V129">
        <v>1</v>
      </c>
      <c r="W129">
        <v>0</v>
      </c>
      <c r="X129">
        <v>2583890.5</v>
      </c>
      <c r="Y129">
        <v>2583890.5</v>
      </c>
    </row>
    <row r="130" spans="1:25" x14ac:dyDescent="0.25">
      <c r="A130">
        <v>20</v>
      </c>
      <c r="B130" t="s">
        <v>25</v>
      </c>
      <c r="C130" t="s">
        <v>26</v>
      </c>
      <c r="D130" t="s">
        <v>3402</v>
      </c>
      <c r="E130">
        <v>210102</v>
      </c>
      <c r="G130" t="s">
        <v>3403</v>
      </c>
      <c r="H130" t="s">
        <v>2652</v>
      </c>
      <c r="I130" t="s">
        <v>3403</v>
      </c>
      <c r="L130" t="b">
        <v>0</v>
      </c>
      <c r="M130" t="s">
        <v>50</v>
      </c>
      <c r="N130" t="s">
        <v>32</v>
      </c>
      <c r="O130" t="s">
        <v>26</v>
      </c>
      <c r="P130" t="s">
        <v>33</v>
      </c>
      <c r="Q130">
        <v>1</v>
      </c>
      <c r="R130">
        <v>5</v>
      </c>
      <c r="S130">
        <v>104.51093695759999</v>
      </c>
      <c r="T130">
        <v>11330</v>
      </c>
      <c r="U130">
        <v>11330</v>
      </c>
      <c r="V130">
        <v>1</v>
      </c>
      <c r="W130">
        <v>0</v>
      </c>
      <c r="X130">
        <v>11022397.039999999</v>
      </c>
      <c r="Y130">
        <v>11022397.039999999</v>
      </c>
    </row>
    <row r="131" spans="1:25" x14ac:dyDescent="0.25">
      <c r="A131">
        <v>20</v>
      </c>
      <c r="B131" t="s">
        <v>25</v>
      </c>
      <c r="C131" t="s">
        <v>26</v>
      </c>
      <c r="D131" t="s">
        <v>3404</v>
      </c>
      <c r="E131">
        <v>209997</v>
      </c>
      <c r="G131" t="s">
        <v>3405</v>
      </c>
      <c r="H131" t="s">
        <v>2652</v>
      </c>
      <c r="I131" t="s">
        <v>3405</v>
      </c>
      <c r="L131" t="b">
        <v>0</v>
      </c>
      <c r="M131" t="s">
        <v>50</v>
      </c>
      <c r="N131" t="s">
        <v>32</v>
      </c>
      <c r="O131" t="s">
        <v>26</v>
      </c>
      <c r="P131" t="s">
        <v>33</v>
      </c>
      <c r="Q131">
        <v>1</v>
      </c>
      <c r="R131">
        <v>5</v>
      </c>
      <c r="S131">
        <v>104.511614224</v>
      </c>
      <c r="T131">
        <v>566</v>
      </c>
      <c r="U131">
        <v>566</v>
      </c>
      <c r="V131">
        <v>1</v>
      </c>
      <c r="W131">
        <v>0</v>
      </c>
      <c r="X131">
        <v>550640.92000000004</v>
      </c>
      <c r="Y131">
        <v>550640.92000000004</v>
      </c>
    </row>
    <row r="132" spans="1:25" x14ac:dyDescent="0.25">
      <c r="A132">
        <v>20</v>
      </c>
      <c r="B132" t="s">
        <v>25</v>
      </c>
      <c r="C132" t="s">
        <v>26</v>
      </c>
      <c r="D132" t="s">
        <v>3406</v>
      </c>
      <c r="E132">
        <v>210013</v>
      </c>
      <c r="G132" t="s">
        <v>3407</v>
      </c>
      <c r="H132" t="s">
        <v>2652</v>
      </c>
      <c r="I132" t="s">
        <v>3407</v>
      </c>
      <c r="L132" t="b">
        <v>0</v>
      </c>
      <c r="M132" t="s">
        <v>50</v>
      </c>
      <c r="N132" t="s">
        <v>32</v>
      </c>
      <c r="O132" t="s">
        <v>26</v>
      </c>
      <c r="P132" t="s">
        <v>33</v>
      </c>
      <c r="Q132">
        <v>1</v>
      </c>
      <c r="R132">
        <v>5</v>
      </c>
      <c r="S132">
        <v>104.5108518352</v>
      </c>
      <c r="T132">
        <v>1150</v>
      </c>
      <c r="U132">
        <v>1150</v>
      </c>
      <c r="V132">
        <v>1</v>
      </c>
      <c r="W132">
        <v>0</v>
      </c>
      <c r="X132">
        <v>1118772.71</v>
      </c>
      <c r="Y132">
        <v>1118772.71</v>
      </c>
    </row>
    <row r="133" spans="1:25" x14ac:dyDescent="0.25">
      <c r="A133">
        <v>20</v>
      </c>
      <c r="B133" t="s">
        <v>25</v>
      </c>
      <c r="C133" t="s">
        <v>26</v>
      </c>
      <c r="D133" t="s">
        <v>3408</v>
      </c>
      <c r="E133">
        <v>210008</v>
      </c>
      <c r="G133" t="s">
        <v>3409</v>
      </c>
      <c r="H133" t="s">
        <v>2652</v>
      </c>
      <c r="I133" t="s">
        <v>3409</v>
      </c>
      <c r="L133" t="b">
        <v>0</v>
      </c>
      <c r="M133" t="s">
        <v>50</v>
      </c>
      <c r="N133" t="s">
        <v>32</v>
      </c>
      <c r="O133" t="s">
        <v>26</v>
      </c>
      <c r="P133" t="s">
        <v>33</v>
      </c>
      <c r="Q133">
        <v>1</v>
      </c>
      <c r="R133">
        <v>5</v>
      </c>
      <c r="S133">
        <v>104.5125111032</v>
      </c>
      <c r="T133">
        <v>236</v>
      </c>
      <c r="U133">
        <v>236</v>
      </c>
      <c r="V133">
        <v>1</v>
      </c>
      <c r="W133">
        <v>0</v>
      </c>
      <c r="X133">
        <v>229596.62</v>
      </c>
      <c r="Y133">
        <v>229596.62</v>
      </c>
    </row>
    <row r="134" spans="1:25" x14ac:dyDescent="0.25">
      <c r="A134">
        <v>20</v>
      </c>
      <c r="B134" t="s">
        <v>25</v>
      </c>
      <c r="C134" t="s">
        <v>26</v>
      </c>
      <c r="D134" t="s">
        <v>3410</v>
      </c>
      <c r="E134">
        <v>210107</v>
      </c>
      <c r="G134" t="s">
        <v>3411</v>
      </c>
      <c r="H134" t="s">
        <v>2652</v>
      </c>
      <c r="I134" t="s">
        <v>3411</v>
      </c>
      <c r="L134" t="b">
        <v>0</v>
      </c>
      <c r="M134" t="s">
        <v>50</v>
      </c>
      <c r="N134" t="s">
        <v>32</v>
      </c>
      <c r="O134" t="s">
        <v>26</v>
      </c>
      <c r="P134" t="s">
        <v>33</v>
      </c>
      <c r="Q134">
        <v>1</v>
      </c>
      <c r="R134">
        <v>5</v>
      </c>
      <c r="S134">
        <v>104.5110530064</v>
      </c>
      <c r="T134">
        <v>732</v>
      </c>
      <c r="U134">
        <v>732</v>
      </c>
      <c r="V134">
        <v>1</v>
      </c>
      <c r="W134">
        <v>0</v>
      </c>
      <c r="X134">
        <v>712126.52</v>
      </c>
      <c r="Y134">
        <v>712126.52</v>
      </c>
    </row>
    <row r="135" spans="1:25" x14ac:dyDescent="0.25">
      <c r="A135">
        <v>20</v>
      </c>
      <c r="B135" t="s">
        <v>25</v>
      </c>
      <c r="C135" t="s">
        <v>26</v>
      </c>
      <c r="D135" t="s">
        <v>3412</v>
      </c>
      <c r="E135">
        <v>210017</v>
      </c>
      <c r="G135" t="s">
        <v>3413</v>
      </c>
      <c r="H135" t="s">
        <v>2652</v>
      </c>
      <c r="I135" t="s">
        <v>3413</v>
      </c>
      <c r="L135" t="b">
        <v>0</v>
      </c>
      <c r="M135" t="s">
        <v>50</v>
      </c>
      <c r="N135" t="s">
        <v>32</v>
      </c>
      <c r="O135" t="s">
        <v>26</v>
      </c>
      <c r="P135" t="s">
        <v>33</v>
      </c>
      <c r="Q135">
        <v>1</v>
      </c>
      <c r="R135">
        <v>5</v>
      </c>
      <c r="S135">
        <v>104.5214391224</v>
      </c>
      <c r="T135">
        <v>12715</v>
      </c>
      <c r="U135">
        <v>12715</v>
      </c>
      <c r="V135">
        <v>1</v>
      </c>
      <c r="W135">
        <v>0</v>
      </c>
      <c r="X135">
        <v>12371036.310000001</v>
      </c>
      <c r="Y135">
        <v>12371036.310000001</v>
      </c>
    </row>
    <row r="136" spans="1:25" x14ac:dyDescent="0.25">
      <c r="A136">
        <v>20</v>
      </c>
      <c r="B136" t="s">
        <v>25</v>
      </c>
      <c r="C136" t="s">
        <v>26</v>
      </c>
      <c r="D136" t="s">
        <v>3414</v>
      </c>
      <c r="E136">
        <v>210018</v>
      </c>
      <c r="G136" t="s">
        <v>3415</v>
      </c>
      <c r="H136" t="s">
        <v>2652</v>
      </c>
      <c r="I136" t="s">
        <v>3415</v>
      </c>
      <c r="L136" t="b">
        <v>0</v>
      </c>
      <c r="M136" t="s">
        <v>50</v>
      </c>
      <c r="N136" t="s">
        <v>32</v>
      </c>
      <c r="O136" t="s">
        <v>26</v>
      </c>
      <c r="P136" t="s">
        <v>33</v>
      </c>
      <c r="Q136">
        <v>1</v>
      </c>
      <c r="R136">
        <v>5</v>
      </c>
      <c r="S136">
        <v>104.5214355728</v>
      </c>
      <c r="T136">
        <v>9564</v>
      </c>
      <c r="U136">
        <v>9564</v>
      </c>
      <c r="V136">
        <v>1</v>
      </c>
      <c r="W136">
        <v>0</v>
      </c>
      <c r="X136">
        <v>9305276.8299999982</v>
      </c>
      <c r="Y136">
        <v>9305276.8299999982</v>
      </c>
    </row>
    <row r="137" spans="1:25" x14ac:dyDescent="0.25">
      <c r="A137">
        <v>20</v>
      </c>
      <c r="B137" t="s">
        <v>25</v>
      </c>
      <c r="C137" t="s">
        <v>26</v>
      </c>
      <c r="D137" t="s">
        <v>3416</v>
      </c>
      <c r="E137">
        <v>209996</v>
      </c>
      <c r="G137" t="s">
        <v>3417</v>
      </c>
      <c r="H137" t="s">
        <v>2652</v>
      </c>
      <c r="I137" t="s">
        <v>3417</v>
      </c>
      <c r="L137" t="b">
        <v>0</v>
      </c>
      <c r="M137" t="s">
        <v>50</v>
      </c>
      <c r="N137" t="s">
        <v>32</v>
      </c>
      <c r="O137" t="s">
        <v>26</v>
      </c>
      <c r="P137" t="s">
        <v>33</v>
      </c>
      <c r="Q137">
        <v>1</v>
      </c>
      <c r="R137">
        <v>5</v>
      </c>
      <c r="S137">
        <v>104.5319813392</v>
      </c>
      <c r="T137">
        <v>55004</v>
      </c>
      <c r="U137">
        <v>55004</v>
      </c>
      <c r="V137">
        <v>1</v>
      </c>
      <c r="W137">
        <v>0</v>
      </c>
      <c r="X137">
        <v>53521443.32</v>
      </c>
      <c r="Y137">
        <v>53521443.32</v>
      </c>
    </row>
    <row r="138" spans="1:25" x14ac:dyDescent="0.25">
      <c r="A138">
        <v>20</v>
      </c>
      <c r="B138" t="s">
        <v>25</v>
      </c>
      <c r="C138" t="s">
        <v>26</v>
      </c>
      <c r="D138" t="s">
        <v>3418</v>
      </c>
      <c r="E138">
        <v>209887</v>
      </c>
      <c r="G138" t="s">
        <v>3419</v>
      </c>
      <c r="H138" t="s">
        <v>2652</v>
      </c>
      <c r="I138" t="s">
        <v>3419</v>
      </c>
      <c r="L138" t="b">
        <v>0</v>
      </c>
      <c r="M138" t="s">
        <v>50</v>
      </c>
      <c r="N138" t="s">
        <v>32</v>
      </c>
      <c r="O138" t="s">
        <v>26</v>
      </c>
      <c r="P138" t="s">
        <v>33</v>
      </c>
      <c r="Q138">
        <v>1</v>
      </c>
      <c r="R138">
        <v>5</v>
      </c>
      <c r="S138">
        <v>104.5319800064</v>
      </c>
      <c r="T138">
        <v>108560</v>
      </c>
      <c r="U138">
        <v>108560</v>
      </c>
      <c r="V138">
        <v>1</v>
      </c>
      <c r="W138">
        <v>0</v>
      </c>
      <c r="X138">
        <v>105633918.33</v>
      </c>
      <c r="Y138">
        <v>105633918.33</v>
      </c>
    </row>
    <row r="139" spans="1:25" x14ac:dyDescent="0.25">
      <c r="A139">
        <v>20</v>
      </c>
      <c r="B139" t="s">
        <v>25</v>
      </c>
      <c r="C139" t="s">
        <v>26</v>
      </c>
      <c r="D139" t="s">
        <v>3420</v>
      </c>
      <c r="E139">
        <v>209889</v>
      </c>
      <c r="G139" t="s">
        <v>3421</v>
      </c>
      <c r="H139" t="s">
        <v>2652</v>
      </c>
      <c r="I139" t="s">
        <v>3421</v>
      </c>
      <c r="L139" t="b">
        <v>0</v>
      </c>
      <c r="M139" t="s">
        <v>50</v>
      </c>
      <c r="N139" t="s">
        <v>32</v>
      </c>
      <c r="O139" t="s">
        <v>26</v>
      </c>
      <c r="P139" t="s">
        <v>33</v>
      </c>
      <c r="Q139">
        <v>1</v>
      </c>
      <c r="R139">
        <v>5</v>
      </c>
      <c r="S139">
        <v>104.531960844</v>
      </c>
      <c r="T139">
        <v>17042</v>
      </c>
      <c r="U139">
        <v>17042</v>
      </c>
      <c r="V139">
        <v>1</v>
      </c>
      <c r="W139">
        <v>0</v>
      </c>
      <c r="X139">
        <v>16582656.529999999</v>
      </c>
      <c r="Y139">
        <v>16582656.529999999</v>
      </c>
    </row>
    <row r="140" spans="1:25" x14ac:dyDescent="0.25">
      <c r="A140">
        <v>20</v>
      </c>
      <c r="B140" t="s">
        <v>25</v>
      </c>
      <c r="C140" t="s">
        <v>26</v>
      </c>
      <c r="D140" t="s">
        <v>3422</v>
      </c>
      <c r="E140">
        <v>209886</v>
      </c>
      <c r="G140" t="s">
        <v>3423</v>
      </c>
      <c r="H140" t="s">
        <v>2652</v>
      </c>
      <c r="I140" t="s">
        <v>3423</v>
      </c>
      <c r="L140" t="b">
        <v>0</v>
      </c>
      <c r="M140" t="s">
        <v>50</v>
      </c>
      <c r="N140" t="s">
        <v>32</v>
      </c>
      <c r="O140" t="s">
        <v>26</v>
      </c>
      <c r="P140" t="s">
        <v>33</v>
      </c>
      <c r="Q140">
        <v>1</v>
      </c>
      <c r="R140">
        <v>5</v>
      </c>
      <c r="S140">
        <v>104.5319933344</v>
      </c>
      <c r="T140">
        <v>19671</v>
      </c>
      <c r="U140">
        <v>19671</v>
      </c>
      <c r="V140">
        <v>1</v>
      </c>
      <c r="W140">
        <v>0</v>
      </c>
      <c r="X140">
        <v>19140799.440000001</v>
      </c>
      <c r="Y140">
        <v>19140799.440000001</v>
      </c>
    </row>
    <row r="141" spans="1:25" x14ac:dyDescent="0.25">
      <c r="A141">
        <v>20</v>
      </c>
      <c r="B141" t="s">
        <v>25</v>
      </c>
      <c r="C141" t="s">
        <v>26</v>
      </c>
      <c r="D141" t="s">
        <v>3424</v>
      </c>
      <c r="E141">
        <v>209888</v>
      </c>
      <c r="G141" t="s">
        <v>3425</v>
      </c>
      <c r="H141" t="s">
        <v>2652</v>
      </c>
      <c r="I141" t="s">
        <v>3425</v>
      </c>
      <c r="L141" t="b">
        <v>0</v>
      </c>
      <c r="M141" t="s">
        <v>50</v>
      </c>
      <c r="N141" t="s">
        <v>32</v>
      </c>
      <c r="O141" t="s">
        <v>26</v>
      </c>
      <c r="P141" t="s">
        <v>33</v>
      </c>
      <c r="Q141">
        <v>1</v>
      </c>
      <c r="R141">
        <v>5</v>
      </c>
      <c r="S141">
        <v>104.5319813392</v>
      </c>
      <c r="T141">
        <v>27502</v>
      </c>
      <c r="U141">
        <v>27502</v>
      </c>
      <c r="V141">
        <v>1</v>
      </c>
      <c r="W141">
        <v>0</v>
      </c>
      <c r="X141">
        <v>26760726.32</v>
      </c>
      <c r="Y141">
        <v>26760726.32</v>
      </c>
    </row>
    <row r="142" spans="1:25" x14ac:dyDescent="0.25">
      <c r="A142">
        <v>20</v>
      </c>
      <c r="B142" t="s">
        <v>25</v>
      </c>
      <c r="C142" t="s">
        <v>26</v>
      </c>
      <c r="D142" t="s">
        <v>3426</v>
      </c>
      <c r="E142">
        <v>209885</v>
      </c>
      <c r="G142" t="s">
        <v>3427</v>
      </c>
      <c r="H142" t="s">
        <v>2652</v>
      </c>
      <c r="I142" t="s">
        <v>3427</v>
      </c>
      <c r="L142" t="b">
        <v>0</v>
      </c>
      <c r="M142" t="s">
        <v>50</v>
      </c>
      <c r="N142" t="s">
        <v>32</v>
      </c>
      <c r="O142" t="s">
        <v>26</v>
      </c>
      <c r="P142" t="s">
        <v>33</v>
      </c>
      <c r="Q142">
        <v>1</v>
      </c>
      <c r="R142">
        <v>5</v>
      </c>
      <c r="S142">
        <v>104.53198988</v>
      </c>
      <c r="T142">
        <v>41920</v>
      </c>
      <c r="U142">
        <v>41920</v>
      </c>
      <c r="V142">
        <v>1</v>
      </c>
      <c r="W142">
        <v>0</v>
      </c>
      <c r="X142">
        <v>40790108.340000004</v>
      </c>
      <c r="Y142">
        <v>40790108.340000004</v>
      </c>
    </row>
    <row r="143" spans="1:25" x14ac:dyDescent="0.25">
      <c r="A143">
        <v>20</v>
      </c>
      <c r="B143" t="s">
        <v>25</v>
      </c>
      <c r="C143" t="s">
        <v>26</v>
      </c>
      <c r="D143" t="s">
        <v>3428</v>
      </c>
      <c r="E143">
        <v>209994</v>
      </c>
      <c r="G143" t="s">
        <v>3429</v>
      </c>
      <c r="H143" t="s">
        <v>2652</v>
      </c>
      <c r="I143" t="s">
        <v>3429</v>
      </c>
      <c r="L143" t="b">
        <v>0</v>
      </c>
      <c r="M143" t="s">
        <v>50</v>
      </c>
      <c r="N143" t="s">
        <v>32</v>
      </c>
      <c r="O143" t="s">
        <v>26</v>
      </c>
      <c r="P143" t="s">
        <v>33</v>
      </c>
      <c r="Q143">
        <v>1</v>
      </c>
      <c r="R143">
        <v>5</v>
      </c>
      <c r="S143">
        <v>104.53202726639999</v>
      </c>
      <c r="T143">
        <v>1730</v>
      </c>
      <c r="U143">
        <v>1730</v>
      </c>
      <c r="V143">
        <v>1</v>
      </c>
      <c r="W143">
        <v>0</v>
      </c>
      <c r="X143">
        <v>1683367.22</v>
      </c>
      <c r="Y143">
        <v>1683367.22</v>
      </c>
    </row>
    <row r="144" spans="1:25" x14ac:dyDescent="0.25">
      <c r="A144">
        <v>20</v>
      </c>
      <c r="B144" t="s">
        <v>25</v>
      </c>
      <c r="C144" t="s">
        <v>26</v>
      </c>
      <c r="D144" t="s">
        <v>3430</v>
      </c>
      <c r="E144">
        <v>209880</v>
      </c>
      <c r="G144" t="s">
        <v>3431</v>
      </c>
      <c r="H144" t="s">
        <v>2652</v>
      </c>
      <c r="I144" t="s">
        <v>3431</v>
      </c>
      <c r="L144" t="b">
        <v>0</v>
      </c>
      <c r="M144" t="s">
        <v>50</v>
      </c>
      <c r="N144" t="s">
        <v>32</v>
      </c>
      <c r="O144" t="s">
        <v>26</v>
      </c>
      <c r="P144" t="s">
        <v>33</v>
      </c>
      <c r="Q144">
        <v>1</v>
      </c>
      <c r="R144">
        <v>5</v>
      </c>
      <c r="S144">
        <v>104.5319815024</v>
      </c>
      <c r="T144">
        <v>45697</v>
      </c>
      <c r="U144">
        <v>45697</v>
      </c>
      <c r="V144">
        <v>1</v>
      </c>
      <c r="W144">
        <v>0</v>
      </c>
      <c r="X144">
        <v>44465301.859999999</v>
      </c>
      <c r="Y144">
        <v>44465301.859999999</v>
      </c>
    </row>
    <row r="145" spans="1:25" x14ac:dyDescent="0.25">
      <c r="A145">
        <v>20</v>
      </c>
      <c r="B145" t="s">
        <v>25</v>
      </c>
      <c r="C145" t="s">
        <v>26</v>
      </c>
      <c r="D145" t="s">
        <v>3432</v>
      </c>
      <c r="E145">
        <v>209883</v>
      </c>
      <c r="G145" t="s">
        <v>3433</v>
      </c>
      <c r="H145" t="s">
        <v>2652</v>
      </c>
      <c r="I145" t="s">
        <v>3433</v>
      </c>
      <c r="L145" t="b">
        <v>0</v>
      </c>
      <c r="M145" t="s">
        <v>50</v>
      </c>
      <c r="N145" t="s">
        <v>32</v>
      </c>
      <c r="O145" t="s">
        <v>26</v>
      </c>
      <c r="P145" t="s">
        <v>33</v>
      </c>
      <c r="Q145">
        <v>1</v>
      </c>
      <c r="R145">
        <v>5</v>
      </c>
      <c r="S145">
        <v>104.5319921376</v>
      </c>
      <c r="T145">
        <v>27479</v>
      </c>
      <c r="U145">
        <v>27479</v>
      </c>
      <c r="V145">
        <v>1</v>
      </c>
      <c r="W145">
        <v>0</v>
      </c>
      <c r="X145">
        <v>26738348.440000001</v>
      </c>
      <c r="Y145">
        <v>26738348.440000001</v>
      </c>
    </row>
    <row r="146" spans="1:25" x14ac:dyDescent="0.25">
      <c r="A146">
        <v>20</v>
      </c>
      <c r="B146" t="s">
        <v>25</v>
      </c>
      <c r="C146" t="s">
        <v>26</v>
      </c>
      <c r="D146" t="s">
        <v>3434</v>
      </c>
      <c r="E146">
        <v>209873</v>
      </c>
      <c r="G146" t="s">
        <v>3435</v>
      </c>
      <c r="H146" t="s">
        <v>2652</v>
      </c>
      <c r="I146" t="s">
        <v>3435</v>
      </c>
      <c r="L146" t="b">
        <v>0</v>
      </c>
      <c r="M146" t="s">
        <v>50</v>
      </c>
      <c r="N146" t="s">
        <v>32</v>
      </c>
      <c r="O146" t="s">
        <v>26</v>
      </c>
      <c r="P146" t="s">
        <v>33</v>
      </c>
      <c r="Q146">
        <v>1</v>
      </c>
      <c r="R146">
        <v>5</v>
      </c>
      <c r="S146">
        <v>104.51143587360001</v>
      </c>
      <c r="T146">
        <v>954</v>
      </c>
      <c r="U146">
        <v>954</v>
      </c>
      <c r="V146">
        <v>1</v>
      </c>
      <c r="W146">
        <v>0</v>
      </c>
      <c r="X146">
        <v>928104.64999999991</v>
      </c>
      <c r="Y146">
        <v>928104.64999999991</v>
      </c>
    </row>
    <row r="147" spans="1:25" x14ac:dyDescent="0.25">
      <c r="A147">
        <v>20</v>
      </c>
      <c r="B147" t="s">
        <v>25</v>
      </c>
      <c r="C147" t="s">
        <v>26</v>
      </c>
      <c r="D147" t="s">
        <v>3436</v>
      </c>
      <c r="E147">
        <v>209869</v>
      </c>
      <c r="G147" t="s">
        <v>3437</v>
      </c>
      <c r="H147" t="s">
        <v>2652</v>
      </c>
      <c r="I147" t="s">
        <v>3437</v>
      </c>
      <c r="L147" t="b">
        <v>0</v>
      </c>
      <c r="M147" t="s">
        <v>50</v>
      </c>
      <c r="N147" t="s">
        <v>32</v>
      </c>
      <c r="O147" t="s">
        <v>26</v>
      </c>
      <c r="P147" t="s">
        <v>33</v>
      </c>
      <c r="Q147">
        <v>1</v>
      </c>
      <c r="R147">
        <v>5</v>
      </c>
      <c r="S147">
        <v>104.51091396</v>
      </c>
      <c r="T147">
        <v>3817</v>
      </c>
      <c r="U147">
        <v>3817</v>
      </c>
      <c r="V147">
        <v>1</v>
      </c>
      <c r="W147">
        <v>0</v>
      </c>
      <c r="X147">
        <v>3713368.09</v>
      </c>
      <c r="Y147">
        <v>3713368.09</v>
      </c>
    </row>
    <row r="148" spans="1:25" x14ac:dyDescent="0.25">
      <c r="A148">
        <v>20</v>
      </c>
      <c r="B148" t="s">
        <v>25</v>
      </c>
      <c r="C148" t="s">
        <v>26</v>
      </c>
      <c r="D148" t="s">
        <v>3438</v>
      </c>
      <c r="E148">
        <v>209864</v>
      </c>
      <c r="G148" t="s">
        <v>3439</v>
      </c>
      <c r="H148" t="s">
        <v>2652</v>
      </c>
      <c r="I148" t="s">
        <v>3439</v>
      </c>
      <c r="L148" t="b">
        <v>0</v>
      </c>
      <c r="M148" t="s">
        <v>50</v>
      </c>
      <c r="N148" t="s">
        <v>32</v>
      </c>
      <c r="O148" t="s">
        <v>26</v>
      </c>
      <c r="P148" t="s">
        <v>33</v>
      </c>
      <c r="Q148">
        <v>1</v>
      </c>
      <c r="R148">
        <v>5</v>
      </c>
      <c r="S148">
        <v>104.5109380456</v>
      </c>
      <c r="T148">
        <v>26585</v>
      </c>
      <c r="U148">
        <v>26585</v>
      </c>
      <c r="V148">
        <v>1</v>
      </c>
      <c r="W148">
        <v>0</v>
      </c>
      <c r="X148">
        <v>25863228.34</v>
      </c>
      <c r="Y148">
        <v>25863228.34</v>
      </c>
    </row>
    <row r="149" spans="1:25" x14ac:dyDescent="0.25">
      <c r="A149">
        <v>20</v>
      </c>
      <c r="B149" t="s">
        <v>25</v>
      </c>
      <c r="C149" t="s">
        <v>26</v>
      </c>
      <c r="D149" t="s">
        <v>3440</v>
      </c>
      <c r="E149">
        <v>210005</v>
      </c>
      <c r="G149" t="s">
        <v>3441</v>
      </c>
      <c r="H149" t="s">
        <v>2652</v>
      </c>
      <c r="I149" t="s">
        <v>3441</v>
      </c>
      <c r="L149" t="b">
        <v>0</v>
      </c>
      <c r="M149" t="s">
        <v>50</v>
      </c>
      <c r="N149" t="s">
        <v>32</v>
      </c>
      <c r="O149" t="s">
        <v>26</v>
      </c>
      <c r="P149" t="s">
        <v>33</v>
      </c>
      <c r="Q149">
        <v>1</v>
      </c>
      <c r="R149">
        <v>5</v>
      </c>
      <c r="S149">
        <v>104.5109450768</v>
      </c>
      <c r="T149">
        <v>47262</v>
      </c>
      <c r="U149">
        <v>47262</v>
      </c>
      <c r="V149">
        <v>1</v>
      </c>
      <c r="W149">
        <v>0</v>
      </c>
      <c r="X149">
        <v>45978861.609999999</v>
      </c>
      <c r="Y149">
        <v>45978861.609999999</v>
      </c>
    </row>
    <row r="150" spans="1:25" x14ac:dyDescent="0.25">
      <c r="A150">
        <v>20</v>
      </c>
      <c r="B150" t="s">
        <v>25</v>
      </c>
      <c r="C150" t="s">
        <v>26</v>
      </c>
      <c r="D150" t="s">
        <v>3442</v>
      </c>
      <c r="E150">
        <v>209872</v>
      </c>
      <c r="G150" t="s">
        <v>3443</v>
      </c>
      <c r="H150" t="s">
        <v>2652</v>
      </c>
      <c r="I150" t="s">
        <v>3443</v>
      </c>
      <c r="L150" t="b">
        <v>0</v>
      </c>
      <c r="M150" t="s">
        <v>50</v>
      </c>
      <c r="N150" t="s">
        <v>32</v>
      </c>
      <c r="O150" t="s">
        <v>26</v>
      </c>
      <c r="P150" t="s">
        <v>33</v>
      </c>
      <c r="Q150">
        <v>1</v>
      </c>
      <c r="R150">
        <v>5</v>
      </c>
      <c r="S150">
        <v>104.51093880720001</v>
      </c>
      <c r="T150">
        <v>18746</v>
      </c>
      <c r="U150">
        <v>18746</v>
      </c>
      <c r="V150">
        <v>1</v>
      </c>
      <c r="W150">
        <v>0</v>
      </c>
      <c r="X150">
        <v>18237055.390000001</v>
      </c>
      <c r="Y150">
        <v>18237055.390000001</v>
      </c>
    </row>
    <row r="151" spans="1:25" x14ac:dyDescent="0.25">
      <c r="A151">
        <v>20</v>
      </c>
      <c r="B151" t="s">
        <v>25</v>
      </c>
      <c r="C151" t="s">
        <v>26</v>
      </c>
      <c r="D151" t="s">
        <v>3444</v>
      </c>
      <c r="E151">
        <v>209870</v>
      </c>
      <c r="G151" t="s">
        <v>3445</v>
      </c>
      <c r="H151" t="s">
        <v>2652</v>
      </c>
      <c r="I151" t="s">
        <v>3445</v>
      </c>
      <c r="L151" t="b">
        <v>0</v>
      </c>
      <c r="M151" t="s">
        <v>50</v>
      </c>
      <c r="N151" t="s">
        <v>32</v>
      </c>
      <c r="O151" t="s">
        <v>26</v>
      </c>
      <c r="P151" t="s">
        <v>33</v>
      </c>
      <c r="Q151">
        <v>1</v>
      </c>
      <c r="R151">
        <v>5</v>
      </c>
      <c r="S151">
        <v>104.5109380456</v>
      </c>
      <c r="T151">
        <v>4431</v>
      </c>
      <c r="U151">
        <v>4431</v>
      </c>
      <c r="V151">
        <v>1</v>
      </c>
      <c r="W151">
        <v>0</v>
      </c>
      <c r="X151">
        <v>4310700.96</v>
      </c>
      <c r="Y151">
        <v>4310700.96</v>
      </c>
    </row>
    <row r="152" spans="1:25" x14ac:dyDescent="0.25">
      <c r="A152">
        <v>20</v>
      </c>
      <c r="B152" t="s">
        <v>25</v>
      </c>
      <c r="C152" t="s">
        <v>26</v>
      </c>
      <c r="D152" t="s">
        <v>3446</v>
      </c>
      <c r="E152">
        <v>210006</v>
      </c>
      <c r="G152" t="s">
        <v>3447</v>
      </c>
      <c r="H152" t="s">
        <v>2652</v>
      </c>
      <c r="I152" t="s">
        <v>3447</v>
      </c>
      <c r="L152" t="b">
        <v>0</v>
      </c>
      <c r="M152" t="s">
        <v>50</v>
      </c>
      <c r="N152" t="s">
        <v>32</v>
      </c>
      <c r="O152" t="s">
        <v>26</v>
      </c>
      <c r="P152" t="s">
        <v>33</v>
      </c>
      <c r="Q152">
        <v>1</v>
      </c>
      <c r="R152">
        <v>5</v>
      </c>
      <c r="S152">
        <v>104.5109380456</v>
      </c>
      <c r="T152">
        <v>8862</v>
      </c>
      <c r="U152">
        <v>8862</v>
      </c>
      <c r="V152">
        <v>1</v>
      </c>
      <c r="W152">
        <v>0</v>
      </c>
      <c r="X152">
        <v>8621401.9100000001</v>
      </c>
      <c r="Y152">
        <v>8621401.9100000001</v>
      </c>
    </row>
    <row r="153" spans="1:25" x14ac:dyDescent="0.25">
      <c r="A153">
        <v>20</v>
      </c>
      <c r="B153" t="s">
        <v>25</v>
      </c>
      <c r="C153" t="s">
        <v>26</v>
      </c>
      <c r="D153" t="s">
        <v>3448</v>
      </c>
      <c r="E153">
        <v>209833</v>
      </c>
      <c r="G153" t="s">
        <v>3449</v>
      </c>
      <c r="H153" t="s">
        <v>2652</v>
      </c>
      <c r="I153" t="s">
        <v>3449</v>
      </c>
      <c r="L153" t="b">
        <v>0</v>
      </c>
      <c r="M153" t="s">
        <v>50</v>
      </c>
      <c r="N153" t="s">
        <v>32</v>
      </c>
      <c r="O153" t="s">
        <v>26</v>
      </c>
      <c r="P153" t="s">
        <v>33</v>
      </c>
      <c r="Q153">
        <v>1</v>
      </c>
      <c r="R153">
        <v>5</v>
      </c>
      <c r="S153">
        <v>104.51090411360001</v>
      </c>
      <c r="T153">
        <v>9935</v>
      </c>
      <c r="U153">
        <v>9935</v>
      </c>
      <c r="V153">
        <v>1</v>
      </c>
      <c r="W153">
        <v>0</v>
      </c>
      <c r="X153">
        <v>9665268.3200000003</v>
      </c>
      <c r="Y153">
        <v>9665268.3200000003</v>
      </c>
    </row>
    <row r="154" spans="1:25" x14ac:dyDescent="0.25">
      <c r="A154">
        <v>20</v>
      </c>
      <c r="B154" t="s">
        <v>25</v>
      </c>
      <c r="C154" t="s">
        <v>26</v>
      </c>
      <c r="D154" t="s">
        <v>3450</v>
      </c>
      <c r="E154">
        <v>209867</v>
      </c>
      <c r="G154" t="s">
        <v>3451</v>
      </c>
      <c r="H154" t="s">
        <v>2652</v>
      </c>
      <c r="I154" t="s">
        <v>3451</v>
      </c>
      <c r="L154" t="b">
        <v>0</v>
      </c>
      <c r="M154" t="s">
        <v>50</v>
      </c>
      <c r="N154" t="s">
        <v>32</v>
      </c>
      <c r="O154" t="s">
        <v>26</v>
      </c>
      <c r="P154" t="s">
        <v>33</v>
      </c>
      <c r="Q154">
        <v>1</v>
      </c>
      <c r="R154">
        <v>5</v>
      </c>
      <c r="S154">
        <v>104.510713224</v>
      </c>
      <c r="T154">
        <v>886</v>
      </c>
      <c r="U154">
        <v>886</v>
      </c>
      <c r="V154">
        <v>1</v>
      </c>
      <c r="W154">
        <v>0</v>
      </c>
      <c r="X154">
        <v>861939.13</v>
      </c>
      <c r="Y154">
        <v>861939.13</v>
      </c>
    </row>
    <row r="155" spans="1:25" x14ac:dyDescent="0.25">
      <c r="A155">
        <v>20</v>
      </c>
      <c r="B155" t="s">
        <v>25</v>
      </c>
      <c r="C155" t="s">
        <v>26</v>
      </c>
      <c r="D155" t="s">
        <v>3452</v>
      </c>
      <c r="E155">
        <v>209865</v>
      </c>
      <c r="G155" t="s">
        <v>3453</v>
      </c>
      <c r="H155" t="s">
        <v>2652</v>
      </c>
      <c r="I155" t="s">
        <v>3453</v>
      </c>
      <c r="L155" t="b">
        <v>0</v>
      </c>
      <c r="M155" t="s">
        <v>50</v>
      </c>
      <c r="N155" t="s">
        <v>32</v>
      </c>
      <c r="O155" t="s">
        <v>26</v>
      </c>
      <c r="P155" t="s">
        <v>33</v>
      </c>
      <c r="Q155">
        <v>1</v>
      </c>
      <c r="R155">
        <v>5</v>
      </c>
      <c r="S155">
        <v>104.51093523039999</v>
      </c>
      <c r="T155">
        <v>6524</v>
      </c>
      <c r="U155">
        <v>6524</v>
      </c>
      <c r="V155">
        <v>1</v>
      </c>
      <c r="W155">
        <v>0</v>
      </c>
      <c r="X155">
        <v>6346873.4300000006</v>
      </c>
      <c r="Y155">
        <v>6346873.4300000006</v>
      </c>
    </row>
    <row r="156" spans="1:25" x14ac:dyDescent="0.25">
      <c r="A156">
        <v>20</v>
      </c>
      <c r="B156" t="s">
        <v>25</v>
      </c>
      <c r="C156" t="s">
        <v>26</v>
      </c>
      <c r="D156" t="s">
        <v>3454</v>
      </c>
      <c r="E156">
        <v>209986</v>
      </c>
      <c r="G156" t="s">
        <v>3455</v>
      </c>
      <c r="H156" t="s">
        <v>2652</v>
      </c>
      <c r="I156" t="s">
        <v>3455</v>
      </c>
      <c r="L156" t="b">
        <v>0</v>
      </c>
      <c r="M156" t="s">
        <v>50</v>
      </c>
      <c r="N156" t="s">
        <v>32</v>
      </c>
      <c r="O156" t="s">
        <v>26</v>
      </c>
      <c r="P156" t="s">
        <v>33</v>
      </c>
      <c r="Q156">
        <v>1</v>
      </c>
      <c r="R156">
        <v>5</v>
      </c>
      <c r="S156">
        <v>104.5110879312</v>
      </c>
      <c r="T156">
        <v>3068</v>
      </c>
      <c r="U156">
        <v>3068</v>
      </c>
      <c r="V156">
        <v>1</v>
      </c>
      <c r="W156">
        <v>0</v>
      </c>
      <c r="X156">
        <v>2984709.5</v>
      </c>
      <c r="Y156">
        <v>2984709.5</v>
      </c>
    </row>
    <row r="157" spans="1:25" x14ac:dyDescent="0.25">
      <c r="A157">
        <v>20</v>
      </c>
      <c r="B157" t="s">
        <v>25</v>
      </c>
      <c r="C157" t="s">
        <v>26</v>
      </c>
      <c r="D157" t="s">
        <v>3456</v>
      </c>
      <c r="E157">
        <v>209969</v>
      </c>
      <c r="G157" t="s">
        <v>3457</v>
      </c>
      <c r="H157" t="s">
        <v>2652</v>
      </c>
      <c r="I157" t="s">
        <v>3457</v>
      </c>
      <c r="L157" t="b">
        <v>0</v>
      </c>
      <c r="M157" t="s">
        <v>50</v>
      </c>
      <c r="N157" t="s">
        <v>32</v>
      </c>
      <c r="O157" t="s">
        <v>26</v>
      </c>
      <c r="P157" t="s">
        <v>33</v>
      </c>
      <c r="Q157">
        <v>1</v>
      </c>
      <c r="R157">
        <v>5</v>
      </c>
      <c r="S157">
        <v>104.5110879312</v>
      </c>
      <c r="T157">
        <v>491</v>
      </c>
      <c r="U157">
        <v>491</v>
      </c>
      <c r="V157">
        <v>1</v>
      </c>
      <c r="W157">
        <v>0</v>
      </c>
      <c r="X157">
        <v>477670.81</v>
      </c>
      <c r="Y157">
        <v>477670.81</v>
      </c>
    </row>
    <row r="158" spans="1:25" x14ac:dyDescent="0.25">
      <c r="A158">
        <v>20</v>
      </c>
      <c r="B158" t="s">
        <v>25</v>
      </c>
      <c r="C158" t="s">
        <v>26</v>
      </c>
      <c r="D158" t="s">
        <v>3458</v>
      </c>
      <c r="E158">
        <v>209866</v>
      </c>
      <c r="G158" t="s">
        <v>3459</v>
      </c>
      <c r="H158" t="s">
        <v>2652</v>
      </c>
      <c r="I158" t="s">
        <v>3459</v>
      </c>
      <c r="L158" t="b">
        <v>0</v>
      </c>
      <c r="M158" t="s">
        <v>50</v>
      </c>
      <c r="N158" t="s">
        <v>32</v>
      </c>
      <c r="O158" t="s">
        <v>26</v>
      </c>
      <c r="P158" t="s">
        <v>33</v>
      </c>
      <c r="Q158">
        <v>1</v>
      </c>
      <c r="R158">
        <v>5</v>
      </c>
      <c r="S158">
        <v>104.51143587360001</v>
      </c>
      <c r="T158">
        <v>954</v>
      </c>
      <c r="U158">
        <v>954</v>
      </c>
      <c r="V158">
        <v>1</v>
      </c>
      <c r="W158">
        <v>0</v>
      </c>
      <c r="X158">
        <v>928104.64999999991</v>
      </c>
      <c r="Y158">
        <v>928104.64999999991</v>
      </c>
    </row>
    <row r="159" spans="1:25" x14ac:dyDescent="0.25">
      <c r="A159">
        <v>20</v>
      </c>
      <c r="B159" t="s">
        <v>25</v>
      </c>
      <c r="C159" t="s">
        <v>26</v>
      </c>
      <c r="D159" t="s">
        <v>3460</v>
      </c>
      <c r="E159">
        <v>209892</v>
      </c>
      <c r="G159" t="s">
        <v>3461</v>
      </c>
      <c r="H159" t="s">
        <v>2652</v>
      </c>
      <c r="I159" t="s">
        <v>3461</v>
      </c>
      <c r="L159" t="b">
        <v>0</v>
      </c>
      <c r="M159" t="s">
        <v>50</v>
      </c>
      <c r="N159" t="s">
        <v>32</v>
      </c>
      <c r="O159" t="s">
        <v>26</v>
      </c>
      <c r="P159" t="s">
        <v>33</v>
      </c>
      <c r="Q159">
        <v>1</v>
      </c>
      <c r="R159">
        <v>5</v>
      </c>
      <c r="S159">
        <v>104.5098701464</v>
      </c>
      <c r="T159">
        <v>182</v>
      </c>
      <c r="U159">
        <v>182</v>
      </c>
      <c r="V159">
        <v>1</v>
      </c>
      <c r="W159">
        <v>0</v>
      </c>
      <c r="X159">
        <v>177058.88</v>
      </c>
      <c r="Y159">
        <v>177058.88</v>
      </c>
    </row>
    <row r="160" spans="1:25" x14ac:dyDescent="0.25">
      <c r="A160">
        <v>20</v>
      </c>
      <c r="B160" t="s">
        <v>25</v>
      </c>
      <c r="C160" t="s">
        <v>26</v>
      </c>
      <c r="D160" t="s">
        <v>3462</v>
      </c>
      <c r="E160">
        <v>210003</v>
      </c>
      <c r="G160" t="s">
        <v>3463</v>
      </c>
      <c r="H160" t="s">
        <v>2652</v>
      </c>
      <c r="I160" t="s">
        <v>3463</v>
      </c>
      <c r="L160" t="b">
        <v>0</v>
      </c>
      <c r="M160" t="s">
        <v>50</v>
      </c>
      <c r="N160" t="s">
        <v>32</v>
      </c>
      <c r="O160" t="s">
        <v>26</v>
      </c>
      <c r="P160" t="s">
        <v>33</v>
      </c>
      <c r="Q160">
        <v>1</v>
      </c>
      <c r="R160">
        <v>5</v>
      </c>
      <c r="S160">
        <v>104.5105343976</v>
      </c>
      <c r="T160">
        <v>600</v>
      </c>
      <c r="U160">
        <v>600</v>
      </c>
      <c r="V160">
        <v>1</v>
      </c>
      <c r="W160">
        <v>0</v>
      </c>
      <c r="X160">
        <v>583705.06999999995</v>
      </c>
      <c r="Y160">
        <v>583705.06999999995</v>
      </c>
    </row>
    <row r="161" spans="1:25" x14ac:dyDescent="0.25">
      <c r="A161">
        <v>20</v>
      </c>
      <c r="B161" t="s">
        <v>25</v>
      </c>
      <c r="C161" t="s">
        <v>26</v>
      </c>
      <c r="D161" t="s">
        <v>3464</v>
      </c>
      <c r="E161">
        <v>209901</v>
      </c>
      <c r="G161" t="s">
        <v>3465</v>
      </c>
      <c r="H161" t="s">
        <v>2652</v>
      </c>
      <c r="I161" t="s">
        <v>3465</v>
      </c>
      <c r="L161" t="b">
        <v>0</v>
      </c>
      <c r="M161" t="s">
        <v>50</v>
      </c>
      <c r="N161" t="s">
        <v>32</v>
      </c>
      <c r="O161" t="s">
        <v>26</v>
      </c>
      <c r="P161" t="s">
        <v>33</v>
      </c>
      <c r="Q161">
        <v>1</v>
      </c>
      <c r="R161">
        <v>5</v>
      </c>
      <c r="S161">
        <v>104.511299724</v>
      </c>
      <c r="T161">
        <v>523</v>
      </c>
      <c r="U161">
        <v>523</v>
      </c>
      <c r="V161">
        <v>1</v>
      </c>
      <c r="W161">
        <v>0</v>
      </c>
      <c r="X161">
        <v>508798.77</v>
      </c>
      <c r="Y161">
        <v>508798.77</v>
      </c>
    </row>
    <row r="162" spans="1:25" x14ac:dyDescent="0.25">
      <c r="A162">
        <v>20</v>
      </c>
      <c r="B162" t="s">
        <v>25</v>
      </c>
      <c r="C162" t="s">
        <v>26</v>
      </c>
      <c r="D162" t="s">
        <v>3466</v>
      </c>
      <c r="E162">
        <v>209902</v>
      </c>
      <c r="G162" t="s">
        <v>3467</v>
      </c>
      <c r="H162" t="s">
        <v>2652</v>
      </c>
      <c r="I162" t="s">
        <v>3467</v>
      </c>
      <c r="L162" t="b">
        <v>0</v>
      </c>
      <c r="M162" t="s">
        <v>50</v>
      </c>
      <c r="N162" t="s">
        <v>32</v>
      </c>
      <c r="O162" t="s">
        <v>26</v>
      </c>
      <c r="P162" t="s">
        <v>33</v>
      </c>
      <c r="Q162">
        <v>1</v>
      </c>
      <c r="R162">
        <v>5</v>
      </c>
      <c r="S162">
        <v>104.5108835504</v>
      </c>
      <c r="T162">
        <v>7311</v>
      </c>
      <c r="U162">
        <v>7311</v>
      </c>
      <c r="V162">
        <v>1</v>
      </c>
      <c r="W162">
        <v>0</v>
      </c>
      <c r="X162">
        <v>7112505.7799999993</v>
      </c>
      <c r="Y162">
        <v>7112505.7799999993</v>
      </c>
    </row>
    <row r="163" spans="1:25" x14ac:dyDescent="0.25">
      <c r="A163">
        <v>20</v>
      </c>
      <c r="B163" t="s">
        <v>25</v>
      </c>
      <c r="C163" t="s">
        <v>26</v>
      </c>
      <c r="D163" t="s">
        <v>3468</v>
      </c>
      <c r="E163">
        <v>209903</v>
      </c>
      <c r="G163" t="s">
        <v>3469</v>
      </c>
      <c r="H163" t="s">
        <v>2652</v>
      </c>
      <c r="I163" t="s">
        <v>3469</v>
      </c>
      <c r="L163" t="b">
        <v>0</v>
      </c>
      <c r="M163" t="s">
        <v>50</v>
      </c>
      <c r="N163" t="s">
        <v>32</v>
      </c>
      <c r="O163" t="s">
        <v>26</v>
      </c>
      <c r="P163" t="s">
        <v>33</v>
      </c>
      <c r="Q163">
        <v>1</v>
      </c>
      <c r="R163">
        <v>5</v>
      </c>
      <c r="S163">
        <v>104.5109661568</v>
      </c>
      <c r="T163">
        <v>2727</v>
      </c>
      <c r="U163">
        <v>2727</v>
      </c>
      <c r="V163">
        <v>1</v>
      </c>
      <c r="W163">
        <v>0</v>
      </c>
      <c r="X163">
        <v>2652960.31</v>
      </c>
      <c r="Y163">
        <v>2652960.31</v>
      </c>
    </row>
    <row r="164" spans="1:25" x14ac:dyDescent="0.25">
      <c r="A164">
        <v>20</v>
      </c>
      <c r="B164" t="s">
        <v>25</v>
      </c>
      <c r="C164" t="s">
        <v>26</v>
      </c>
      <c r="D164" t="s">
        <v>3470</v>
      </c>
      <c r="E164">
        <v>209894</v>
      </c>
      <c r="G164" t="s">
        <v>3471</v>
      </c>
      <c r="H164" t="s">
        <v>2652</v>
      </c>
      <c r="I164" t="s">
        <v>3471</v>
      </c>
      <c r="L164" t="b">
        <v>0</v>
      </c>
      <c r="M164" t="s">
        <v>50</v>
      </c>
      <c r="N164" t="s">
        <v>32</v>
      </c>
      <c r="O164" t="s">
        <v>26</v>
      </c>
      <c r="P164" t="s">
        <v>33</v>
      </c>
      <c r="Q164">
        <v>1</v>
      </c>
      <c r="R164">
        <v>5</v>
      </c>
      <c r="S164">
        <v>104.5109185024</v>
      </c>
      <c r="T164">
        <v>14372</v>
      </c>
      <c r="U164">
        <v>14372</v>
      </c>
      <c r="V164">
        <v>1</v>
      </c>
      <c r="W164">
        <v>0</v>
      </c>
      <c r="X164">
        <v>13981805.77</v>
      </c>
      <c r="Y164">
        <v>13981805.77</v>
      </c>
    </row>
    <row r="165" spans="1:25" x14ac:dyDescent="0.25">
      <c r="A165">
        <v>20</v>
      </c>
      <c r="B165" t="s">
        <v>25</v>
      </c>
      <c r="C165" t="s">
        <v>26</v>
      </c>
      <c r="D165" t="s">
        <v>3472</v>
      </c>
      <c r="E165">
        <v>209895</v>
      </c>
      <c r="G165" t="s">
        <v>3473</v>
      </c>
      <c r="H165" t="s">
        <v>2652</v>
      </c>
      <c r="I165" t="s">
        <v>3473</v>
      </c>
      <c r="L165" t="b">
        <v>0</v>
      </c>
      <c r="M165" t="s">
        <v>50</v>
      </c>
      <c r="N165" t="s">
        <v>32</v>
      </c>
      <c r="O165" t="s">
        <v>26</v>
      </c>
      <c r="P165" t="s">
        <v>33</v>
      </c>
      <c r="Q165">
        <v>1</v>
      </c>
      <c r="R165">
        <v>5</v>
      </c>
      <c r="S165">
        <v>104.510948912</v>
      </c>
      <c r="T165">
        <v>35828</v>
      </c>
      <c r="U165">
        <v>35828</v>
      </c>
      <c r="V165">
        <v>1</v>
      </c>
      <c r="W165">
        <v>0</v>
      </c>
      <c r="X165">
        <v>34855289.390000001</v>
      </c>
      <c r="Y165">
        <v>34855289.390000001</v>
      </c>
    </row>
    <row r="166" spans="1:25" x14ac:dyDescent="0.25">
      <c r="A166">
        <v>20</v>
      </c>
      <c r="B166" t="s">
        <v>25</v>
      </c>
      <c r="C166" t="s">
        <v>26</v>
      </c>
      <c r="D166" t="s">
        <v>3474</v>
      </c>
      <c r="E166">
        <v>209896</v>
      </c>
      <c r="G166" t="s">
        <v>3475</v>
      </c>
      <c r="H166" t="s">
        <v>2652</v>
      </c>
      <c r="I166" t="s">
        <v>3475</v>
      </c>
      <c r="L166" t="b">
        <v>0</v>
      </c>
      <c r="M166" t="s">
        <v>50</v>
      </c>
      <c r="N166" t="s">
        <v>32</v>
      </c>
      <c r="O166" t="s">
        <v>26</v>
      </c>
      <c r="P166" t="s">
        <v>33</v>
      </c>
      <c r="Q166">
        <v>1</v>
      </c>
      <c r="R166">
        <v>5</v>
      </c>
      <c r="S166">
        <v>104.5109759488</v>
      </c>
      <c r="T166">
        <v>8896</v>
      </c>
      <c r="U166">
        <v>8896</v>
      </c>
      <c r="V166">
        <v>1</v>
      </c>
      <c r="W166">
        <v>0</v>
      </c>
      <c r="X166">
        <v>8654484.6799999997</v>
      </c>
      <c r="Y166">
        <v>8654484.6799999997</v>
      </c>
    </row>
    <row r="167" spans="1:25" x14ac:dyDescent="0.25">
      <c r="A167">
        <v>20</v>
      </c>
      <c r="B167" t="s">
        <v>25</v>
      </c>
      <c r="C167" t="s">
        <v>26</v>
      </c>
      <c r="D167" t="s">
        <v>3476</v>
      </c>
      <c r="E167">
        <v>209897</v>
      </c>
      <c r="G167" t="s">
        <v>3477</v>
      </c>
      <c r="H167" t="s">
        <v>2652</v>
      </c>
      <c r="I167" t="s">
        <v>3477</v>
      </c>
      <c r="L167" t="b">
        <v>0</v>
      </c>
      <c r="M167" t="s">
        <v>50</v>
      </c>
      <c r="N167" t="s">
        <v>32</v>
      </c>
      <c r="O167" t="s">
        <v>26</v>
      </c>
      <c r="P167" t="s">
        <v>33</v>
      </c>
      <c r="Q167">
        <v>1</v>
      </c>
      <c r="R167">
        <v>5</v>
      </c>
      <c r="S167">
        <v>104.5109406704</v>
      </c>
      <c r="T167">
        <v>19541</v>
      </c>
      <c r="U167">
        <v>19541</v>
      </c>
      <c r="V167">
        <v>1</v>
      </c>
      <c r="W167">
        <v>0</v>
      </c>
      <c r="X167">
        <v>19010469.73</v>
      </c>
      <c r="Y167">
        <v>19010469.73</v>
      </c>
    </row>
    <row r="168" spans="1:25" x14ac:dyDescent="0.25">
      <c r="A168">
        <v>20</v>
      </c>
      <c r="B168" t="s">
        <v>25</v>
      </c>
      <c r="C168" t="s">
        <v>26</v>
      </c>
      <c r="D168" t="s">
        <v>3478</v>
      </c>
      <c r="E168">
        <v>209898</v>
      </c>
      <c r="G168" t="s">
        <v>3479</v>
      </c>
      <c r="H168" t="s">
        <v>2652</v>
      </c>
      <c r="I168" t="s">
        <v>3479</v>
      </c>
      <c r="L168" t="b">
        <v>0</v>
      </c>
      <c r="M168" t="s">
        <v>50</v>
      </c>
      <c r="N168" t="s">
        <v>32</v>
      </c>
      <c r="O168" t="s">
        <v>26</v>
      </c>
      <c r="P168" t="s">
        <v>33</v>
      </c>
      <c r="Q168">
        <v>1</v>
      </c>
      <c r="R168">
        <v>5</v>
      </c>
      <c r="S168">
        <v>104.5109307968</v>
      </c>
      <c r="T168">
        <v>22540</v>
      </c>
      <c r="U168">
        <v>22540</v>
      </c>
      <c r="V168">
        <v>1</v>
      </c>
      <c r="W168">
        <v>0</v>
      </c>
      <c r="X168">
        <v>21928045.609999999</v>
      </c>
      <c r="Y168">
        <v>21928045.609999999</v>
      </c>
    </row>
    <row r="169" spans="1:25" x14ac:dyDescent="0.25">
      <c r="A169">
        <v>20</v>
      </c>
      <c r="B169" t="s">
        <v>25</v>
      </c>
      <c r="C169" t="s">
        <v>26</v>
      </c>
      <c r="D169" t="s">
        <v>3480</v>
      </c>
      <c r="E169">
        <v>209899</v>
      </c>
      <c r="G169" t="s">
        <v>3481</v>
      </c>
      <c r="H169" t="s">
        <v>2652</v>
      </c>
      <c r="I169" t="s">
        <v>3481</v>
      </c>
      <c r="L169" t="b">
        <v>0</v>
      </c>
      <c r="M169" t="s">
        <v>50</v>
      </c>
      <c r="N169" t="s">
        <v>32</v>
      </c>
      <c r="O169" t="s">
        <v>26</v>
      </c>
      <c r="P169" t="s">
        <v>33</v>
      </c>
      <c r="Q169">
        <v>1</v>
      </c>
      <c r="R169">
        <v>5</v>
      </c>
      <c r="S169">
        <v>104.51093523039999</v>
      </c>
      <c r="T169">
        <v>18121</v>
      </c>
      <c r="U169">
        <v>18121</v>
      </c>
      <c r="V169">
        <v>1</v>
      </c>
      <c r="W169">
        <v>0</v>
      </c>
      <c r="X169">
        <v>17629026.949999999</v>
      </c>
      <c r="Y169">
        <v>17629026.949999999</v>
      </c>
    </row>
    <row r="170" spans="1:25" x14ac:dyDescent="0.25">
      <c r="A170">
        <v>20</v>
      </c>
      <c r="B170" t="s">
        <v>25</v>
      </c>
      <c r="C170" t="s">
        <v>26</v>
      </c>
      <c r="D170" t="s">
        <v>3482</v>
      </c>
      <c r="E170">
        <v>209900</v>
      </c>
      <c r="G170" t="s">
        <v>3483</v>
      </c>
      <c r="H170" t="s">
        <v>2652</v>
      </c>
      <c r="I170" t="s">
        <v>3483</v>
      </c>
      <c r="L170" t="b">
        <v>0</v>
      </c>
      <c r="M170" t="s">
        <v>50</v>
      </c>
      <c r="N170" t="s">
        <v>32</v>
      </c>
      <c r="O170" t="s">
        <v>26</v>
      </c>
      <c r="P170" t="s">
        <v>33</v>
      </c>
      <c r="Q170">
        <v>1</v>
      </c>
      <c r="R170">
        <v>5</v>
      </c>
      <c r="S170">
        <v>104.510934836</v>
      </c>
      <c r="T170">
        <v>7953</v>
      </c>
      <c r="U170">
        <v>7953</v>
      </c>
      <c r="V170">
        <v>1</v>
      </c>
      <c r="W170">
        <v>0</v>
      </c>
      <c r="X170">
        <v>7737075.6000000006</v>
      </c>
      <c r="Y170">
        <v>7737075.6000000006</v>
      </c>
    </row>
    <row r="171" spans="1:25" x14ac:dyDescent="0.25">
      <c r="A171">
        <v>20</v>
      </c>
      <c r="B171" t="s">
        <v>25</v>
      </c>
      <c r="C171" t="s">
        <v>26</v>
      </c>
      <c r="D171" t="s">
        <v>3484</v>
      </c>
      <c r="E171">
        <v>210004</v>
      </c>
      <c r="G171" t="s">
        <v>3485</v>
      </c>
      <c r="H171" t="s">
        <v>2652</v>
      </c>
      <c r="I171" t="s">
        <v>3485</v>
      </c>
      <c r="L171" t="b">
        <v>0</v>
      </c>
      <c r="M171" t="s">
        <v>50</v>
      </c>
      <c r="N171" t="s">
        <v>32</v>
      </c>
      <c r="O171" t="s">
        <v>26</v>
      </c>
      <c r="P171" t="s">
        <v>33</v>
      </c>
      <c r="Q171">
        <v>1</v>
      </c>
      <c r="R171">
        <v>5</v>
      </c>
      <c r="S171">
        <v>104.51085707119999</v>
      </c>
      <c r="T171">
        <v>4315</v>
      </c>
      <c r="U171">
        <v>4315</v>
      </c>
      <c r="V171">
        <v>1</v>
      </c>
      <c r="W171">
        <v>0</v>
      </c>
      <c r="X171">
        <v>4197843.49</v>
      </c>
      <c r="Y171">
        <v>4197843.49</v>
      </c>
    </row>
    <row r="172" spans="1:25" x14ac:dyDescent="0.25">
      <c r="A172">
        <v>20</v>
      </c>
      <c r="B172" t="s">
        <v>25</v>
      </c>
      <c r="C172" t="s">
        <v>26</v>
      </c>
      <c r="D172" t="s">
        <v>3486</v>
      </c>
      <c r="E172">
        <v>209906</v>
      </c>
      <c r="G172" t="s">
        <v>3487</v>
      </c>
      <c r="H172" t="s">
        <v>2652</v>
      </c>
      <c r="I172" t="s">
        <v>3487</v>
      </c>
      <c r="L172" t="b">
        <v>0</v>
      </c>
      <c r="M172" t="s">
        <v>50</v>
      </c>
      <c r="N172" t="s">
        <v>32</v>
      </c>
      <c r="O172" t="s">
        <v>26</v>
      </c>
      <c r="P172" t="s">
        <v>33</v>
      </c>
      <c r="Q172">
        <v>1</v>
      </c>
      <c r="R172">
        <v>5</v>
      </c>
      <c r="S172">
        <v>104.5109571264</v>
      </c>
      <c r="T172">
        <v>12693</v>
      </c>
      <c r="U172">
        <v>12693</v>
      </c>
      <c r="V172">
        <v>1</v>
      </c>
      <c r="W172">
        <v>0</v>
      </c>
      <c r="X172">
        <v>12348397.800000001</v>
      </c>
      <c r="Y172">
        <v>12348397.800000001</v>
      </c>
    </row>
    <row r="173" spans="1:25" x14ac:dyDescent="0.25">
      <c r="A173">
        <v>20</v>
      </c>
      <c r="B173" t="s">
        <v>25</v>
      </c>
      <c r="C173" t="s">
        <v>26</v>
      </c>
      <c r="D173" t="s">
        <v>3488</v>
      </c>
      <c r="E173">
        <v>209893</v>
      </c>
      <c r="G173" t="s">
        <v>3489</v>
      </c>
      <c r="H173" t="s">
        <v>2652</v>
      </c>
      <c r="I173" t="s">
        <v>3489</v>
      </c>
      <c r="L173" t="b">
        <v>0</v>
      </c>
      <c r="M173" t="s">
        <v>50</v>
      </c>
      <c r="N173" t="s">
        <v>32</v>
      </c>
      <c r="O173" t="s">
        <v>26</v>
      </c>
      <c r="P173" t="s">
        <v>33</v>
      </c>
      <c r="Q173">
        <v>1</v>
      </c>
      <c r="R173">
        <v>5</v>
      </c>
      <c r="S173">
        <v>104.5109234936</v>
      </c>
      <c r="T173">
        <v>11443</v>
      </c>
      <c r="U173">
        <v>11443</v>
      </c>
      <c r="V173">
        <v>1</v>
      </c>
      <c r="W173">
        <v>0</v>
      </c>
      <c r="X173">
        <v>11132322.289999999</v>
      </c>
      <c r="Y173">
        <v>11132322.289999999</v>
      </c>
    </row>
    <row r="174" spans="1:25" x14ac:dyDescent="0.25">
      <c r="A174">
        <v>20</v>
      </c>
      <c r="B174" t="s">
        <v>25</v>
      </c>
      <c r="C174" t="s">
        <v>26</v>
      </c>
      <c r="D174" t="s">
        <v>3490</v>
      </c>
      <c r="E174">
        <v>209876</v>
      </c>
      <c r="G174" t="s">
        <v>3491</v>
      </c>
      <c r="H174" t="s">
        <v>2652</v>
      </c>
      <c r="I174" t="s">
        <v>3491</v>
      </c>
      <c r="L174" t="b">
        <v>0</v>
      </c>
      <c r="M174" t="s">
        <v>50</v>
      </c>
      <c r="N174" t="s">
        <v>32</v>
      </c>
      <c r="O174" t="s">
        <v>26</v>
      </c>
      <c r="P174" t="s">
        <v>33</v>
      </c>
      <c r="Q174">
        <v>1</v>
      </c>
      <c r="R174">
        <v>5</v>
      </c>
      <c r="S174">
        <v>104.51094466879999</v>
      </c>
      <c r="T174">
        <v>2318</v>
      </c>
      <c r="U174">
        <v>2318</v>
      </c>
      <c r="V174">
        <v>1</v>
      </c>
      <c r="W174">
        <v>0</v>
      </c>
      <c r="X174">
        <v>2255064.2000000002</v>
      </c>
      <c r="Y174">
        <v>2255064.2000000002</v>
      </c>
    </row>
    <row r="175" spans="1:25" x14ac:dyDescent="0.25">
      <c r="A175">
        <v>20</v>
      </c>
      <c r="B175" t="s">
        <v>25</v>
      </c>
      <c r="C175" t="s">
        <v>26</v>
      </c>
      <c r="D175" t="s">
        <v>3492</v>
      </c>
      <c r="E175">
        <v>209862</v>
      </c>
      <c r="G175" t="s">
        <v>3493</v>
      </c>
      <c r="H175" t="s">
        <v>2652</v>
      </c>
      <c r="I175" t="s">
        <v>3493</v>
      </c>
      <c r="L175" t="b">
        <v>0</v>
      </c>
      <c r="M175" t="s">
        <v>50</v>
      </c>
      <c r="N175" t="s">
        <v>32</v>
      </c>
      <c r="O175" t="s">
        <v>26</v>
      </c>
      <c r="P175" t="s">
        <v>33</v>
      </c>
      <c r="Q175">
        <v>1</v>
      </c>
      <c r="R175">
        <v>5</v>
      </c>
      <c r="S175">
        <v>104.5107834816</v>
      </c>
      <c r="T175">
        <v>2181</v>
      </c>
      <c r="U175">
        <v>2181</v>
      </c>
      <c r="V175">
        <v>1</v>
      </c>
      <c r="W175">
        <v>0</v>
      </c>
      <c r="X175">
        <v>2121783.67</v>
      </c>
      <c r="Y175">
        <v>2121783.67</v>
      </c>
    </row>
    <row r="176" spans="1:25" x14ac:dyDescent="0.25">
      <c r="A176">
        <v>20</v>
      </c>
      <c r="B176" t="s">
        <v>25</v>
      </c>
      <c r="C176" t="s">
        <v>26</v>
      </c>
      <c r="D176" t="s">
        <v>3494</v>
      </c>
      <c r="E176">
        <v>209852</v>
      </c>
      <c r="G176" t="s">
        <v>3495</v>
      </c>
      <c r="H176" t="s">
        <v>2652</v>
      </c>
      <c r="I176" t="s">
        <v>3495</v>
      </c>
      <c r="L176" t="b">
        <v>0</v>
      </c>
      <c r="M176" t="s">
        <v>50</v>
      </c>
      <c r="N176" t="s">
        <v>32</v>
      </c>
      <c r="O176" t="s">
        <v>26</v>
      </c>
      <c r="P176" t="s">
        <v>33</v>
      </c>
      <c r="Q176">
        <v>1</v>
      </c>
      <c r="R176">
        <v>5</v>
      </c>
      <c r="S176">
        <v>104.51060081999999</v>
      </c>
      <c r="T176">
        <v>1363</v>
      </c>
      <c r="U176">
        <v>1363</v>
      </c>
      <c r="V176">
        <v>1</v>
      </c>
      <c r="W176">
        <v>0</v>
      </c>
      <c r="X176">
        <v>1325991.45</v>
      </c>
      <c r="Y176">
        <v>1325991.45</v>
      </c>
    </row>
    <row r="177" spans="1:25" x14ac:dyDescent="0.25">
      <c r="A177">
        <v>20</v>
      </c>
      <c r="B177" t="s">
        <v>25</v>
      </c>
      <c r="C177" t="s">
        <v>26</v>
      </c>
      <c r="D177" t="s">
        <v>3496</v>
      </c>
      <c r="E177">
        <v>209851</v>
      </c>
      <c r="G177" t="s">
        <v>3497</v>
      </c>
      <c r="H177" t="s">
        <v>2652</v>
      </c>
      <c r="I177" t="s">
        <v>3497</v>
      </c>
      <c r="L177" t="b">
        <v>0</v>
      </c>
      <c r="M177" t="s">
        <v>50</v>
      </c>
      <c r="N177" t="s">
        <v>32</v>
      </c>
      <c r="O177" t="s">
        <v>26</v>
      </c>
      <c r="P177" t="s">
        <v>33</v>
      </c>
      <c r="Q177">
        <v>1</v>
      </c>
      <c r="R177">
        <v>5</v>
      </c>
      <c r="S177">
        <v>104.5110879312</v>
      </c>
      <c r="T177">
        <v>1432</v>
      </c>
      <c r="U177">
        <v>1432</v>
      </c>
      <c r="V177">
        <v>1</v>
      </c>
      <c r="W177">
        <v>0</v>
      </c>
      <c r="X177">
        <v>1393125.08</v>
      </c>
      <c r="Y177">
        <v>1393125.08</v>
      </c>
    </row>
    <row r="178" spans="1:25" x14ac:dyDescent="0.25">
      <c r="A178">
        <v>20</v>
      </c>
      <c r="B178" t="s">
        <v>25</v>
      </c>
      <c r="C178" t="s">
        <v>26</v>
      </c>
      <c r="D178" t="s">
        <v>3498</v>
      </c>
      <c r="E178">
        <v>209910</v>
      </c>
      <c r="G178" t="s">
        <v>3499</v>
      </c>
      <c r="H178" t="s">
        <v>2652</v>
      </c>
      <c r="I178" t="s">
        <v>3499</v>
      </c>
      <c r="L178" t="b">
        <v>0</v>
      </c>
      <c r="M178" t="s">
        <v>50</v>
      </c>
      <c r="N178" t="s">
        <v>32</v>
      </c>
      <c r="O178" t="s">
        <v>26</v>
      </c>
      <c r="P178" t="s">
        <v>33</v>
      </c>
      <c r="Q178">
        <v>1</v>
      </c>
      <c r="R178">
        <v>5</v>
      </c>
      <c r="S178">
        <v>104.51090411360001</v>
      </c>
      <c r="T178">
        <v>7527</v>
      </c>
      <c r="U178">
        <v>7527</v>
      </c>
      <c r="V178">
        <v>1</v>
      </c>
      <c r="W178">
        <v>0</v>
      </c>
      <c r="X178">
        <v>7322647.4199999999</v>
      </c>
      <c r="Y178">
        <v>7322647.4199999999</v>
      </c>
    </row>
    <row r="179" spans="1:25" x14ac:dyDescent="0.25">
      <c r="A179">
        <v>20</v>
      </c>
      <c r="B179" t="s">
        <v>25</v>
      </c>
      <c r="C179" t="s">
        <v>26</v>
      </c>
      <c r="D179" t="s">
        <v>3500</v>
      </c>
      <c r="E179">
        <v>209855</v>
      </c>
      <c r="G179" t="s">
        <v>3501</v>
      </c>
      <c r="H179" t="s">
        <v>2652</v>
      </c>
      <c r="I179" t="s">
        <v>3501</v>
      </c>
      <c r="L179" t="b">
        <v>0</v>
      </c>
      <c r="M179" t="s">
        <v>50</v>
      </c>
      <c r="N179" t="s">
        <v>32</v>
      </c>
      <c r="O179" t="s">
        <v>26</v>
      </c>
      <c r="P179" t="s">
        <v>33</v>
      </c>
      <c r="Q179">
        <v>1</v>
      </c>
      <c r="R179">
        <v>5</v>
      </c>
      <c r="S179">
        <v>104.5109307968</v>
      </c>
      <c r="T179">
        <v>45081</v>
      </c>
      <c r="U179">
        <v>45081</v>
      </c>
      <c r="V179">
        <v>1</v>
      </c>
      <c r="W179">
        <v>0</v>
      </c>
      <c r="X179">
        <v>43857068.630000003</v>
      </c>
      <c r="Y179">
        <v>43857068.630000003</v>
      </c>
    </row>
    <row r="180" spans="1:25" x14ac:dyDescent="0.25">
      <c r="A180">
        <v>20</v>
      </c>
      <c r="B180" t="s">
        <v>25</v>
      </c>
      <c r="C180" t="s">
        <v>26</v>
      </c>
      <c r="D180" t="s">
        <v>3502</v>
      </c>
      <c r="E180">
        <v>209970</v>
      </c>
      <c r="G180" t="s">
        <v>3503</v>
      </c>
      <c r="H180" t="s">
        <v>2652</v>
      </c>
      <c r="I180" t="s">
        <v>3503</v>
      </c>
      <c r="L180" t="b">
        <v>0</v>
      </c>
      <c r="M180" t="s">
        <v>50</v>
      </c>
      <c r="N180" t="s">
        <v>32</v>
      </c>
      <c r="O180" t="s">
        <v>26</v>
      </c>
      <c r="P180" t="s">
        <v>33</v>
      </c>
      <c r="Q180">
        <v>1</v>
      </c>
      <c r="R180">
        <v>5</v>
      </c>
      <c r="S180">
        <v>104.51094141839999</v>
      </c>
      <c r="T180">
        <v>55525</v>
      </c>
      <c r="U180">
        <v>55525</v>
      </c>
      <c r="V180">
        <v>1</v>
      </c>
      <c r="W180">
        <v>0</v>
      </c>
      <c r="X180">
        <v>54017526.539999999</v>
      </c>
      <c r="Y180">
        <v>54017526.539999999</v>
      </c>
    </row>
    <row r="181" spans="1:25" x14ac:dyDescent="0.25">
      <c r="A181">
        <v>20</v>
      </c>
      <c r="B181" t="s">
        <v>25</v>
      </c>
      <c r="C181" t="s">
        <v>26</v>
      </c>
      <c r="D181" t="s">
        <v>3504</v>
      </c>
      <c r="E181">
        <v>209854</v>
      </c>
      <c r="G181" t="s">
        <v>3505</v>
      </c>
      <c r="H181" t="s">
        <v>2652</v>
      </c>
      <c r="I181" t="s">
        <v>3505</v>
      </c>
      <c r="L181" t="b">
        <v>0</v>
      </c>
      <c r="M181" t="s">
        <v>50</v>
      </c>
      <c r="N181" t="s">
        <v>32</v>
      </c>
      <c r="O181" t="s">
        <v>26</v>
      </c>
      <c r="P181" t="s">
        <v>33</v>
      </c>
      <c r="Q181">
        <v>1</v>
      </c>
      <c r="R181">
        <v>5</v>
      </c>
      <c r="S181">
        <v>104.5109185024</v>
      </c>
      <c r="T181">
        <v>3920</v>
      </c>
      <c r="U181">
        <v>3920</v>
      </c>
      <c r="V181">
        <v>1</v>
      </c>
      <c r="W181">
        <v>0</v>
      </c>
      <c r="X181">
        <v>3813575.17</v>
      </c>
      <c r="Y181">
        <v>3813575.17</v>
      </c>
    </row>
    <row r="182" spans="1:25" x14ac:dyDescent="0.25">
      <c r="A182">
        <v>20</v>
      </c>
      <c r="B182" t="s">
        <v>25</v>
      </c>
      <c r="C182" t="s">
        <v>26</v>
      </c>
      <c r="D182" t="s">
        <v>3506</v>
      </c>
      <c r="E182">
        <v>209938</v>
      </c>
      <c r="G182" t="s">
        <v>3507</v>
      </c>
      <c r="H182" t="s">
        <v>2652</v>
      </c>
      <c r="I182" t="s">
        <v>3507</v>
      </c>
      <c r="L182" t="b">
        <v>0</v>
      </c>
      <c r="M182" t="s">
        <v>50</v>
      </c>
      <c r="N182" t="s">
        <v>32</v>
      </c>
      <c r="O182" t="s">
        <v>26</v>
      </c>
      <c r="P182" t="s">
        <v>33</v>
      </c>
      <c r="Q182">
        <v>1</v>
      </c>
      <c r="R182">
        <v>5</v>
      </c>
      <c r="S182">
        <v>104.51092420080001</v>
      </c>
      <c r="T182">
        <v>12168</v>
      </c>
      <c r="U182">
        <v>12168</v>
      </c>
      <c r="V182">
        <v>1</v>
      </c>
      <c r="W182">
        <v>0</v>
      </c>
      <c r="X182">
        <v>11837644.23</v>
      </c>
      <c r="Y182">
        <v>11837644.23</v>
      </c>
    </row>
    <row r="183" spans="1:25" x14ac:dyDescent="0.25">
      <c r="A183">
        <v>20</v>
      </c>
      <c r="B183" t="s">
        <v>25</v>
      </c>
      <c r="C183" t="s">
        <v>26</v>
      </c>
      <c r="D183" t="s">
        <v>3508</v>
      </c>
      <c r="E183">
        <v>209840</v>
      </c>
      <c r="G183" t="s">
        <v>3509</v>
      </c>
      <c r="H183" t="s">
        <v>2652</v>
      </c>
      <c r="I183" t="s">
        <v>3509</v>
      </c>
      <c r="L183" t="b">
        <v>0</v>
      </c>
      <c r="M183" t="s">
        <v>50</v>
      </c>
      <c r="N183" t="s">
        <v>32</v>
      </c>
      <c r="O183" t="s">
        <v>26</v>
      </c>
      <c r="P183" t="s">
        <v>33</v>
      </c>
      <c r="Q183">
        <v>1</v>
      </c>
      <c r="R183">
        <v>5</v>
      </c>
      <c r="S183">
        <v>104.5110306208</v>
      </c>
      <c r="T183">
        <v>1931</v>
      </c>
      <c r="U183">
        <v>1931</v>
      </c>
      <c r="V183">
        <v>1</v>
      </c>
      <c r="W183">
        <v>0</v>
      </c>
      <c r="X183">
        <v>1878577.87</v>
      </c>
      <c r="Y183">
        <v>1878577.87</v>
      </c>
    </row>
    <row r="184" spans="1:25" x14ac:dyDescent="0.25">
      <c r="A184">
        <v>20</v>
      </c>
      <c r="B184" t="s">
        <v>25</v>
      </c>
      <c r="C184" t="s">
        <v>26</v>
      </c>
      <c r="D184" t="s">
        <v>3510</v>
      </c>
      <c r="E184">
        <v>209971</v>
      </c>
      <c r="G184" t="s">
        <v>3511</v>
      </c>
      <c r="H184" t="s">
        <v>2652</v>
      </c>
      <c r="I184" t="s">
        <v>3511</v>
      </c>
      <c r="L184" t="b">
        <v>0</v>
      </c>
      <c r="M184" t="s">
        <v>50</v>
      </c>
      <c r="N184" t="s">
        <v>32</v>
      </c>
      <c r="O184" t="s">
        <v>26</v>
      </c>
      <c r="P184" t="s">
        <v>33</v>
      </c>
      <c r="Q184">
        <v>1</v>
      </c>
      <c r="R184">
        <v>5</v>
      </c>
      <c r="S184">
        <v>104.5108723984</v>
      </c>
      <c r="T184">
        <v>7703</v>
      </c>
      <c r="U184">
        <v>7703</v>
      </c>
      <c r="V184">
        <v>1</v>
      </c>
      <c r="W184">
        <v>0</v>
      </c>
      <c r="X184">
        <v>7493860.5</v>
      </c>
      <c r="Y184">
        <v>7493860.5</v>
      </c>
    </row>
    <row r="185" spans="1:25" x14ac:dyDescent="0.25">
      <c r="A185">
        <v>20</v>
      </c>
      <c r="B185" t="s">
        <v>25</v>
      </c>
      <c r="C185" t="s">
        <v>26</v>
      </c>
      <c r="D185" t="s">
        <v>3512</v>
      </c>
      <c r="E185">
        <v>209838</v>
      </c>
      <c r="G185" t="s">
        <v>3513</v>
      </c>
      <c r="H185" t="s">
        <v>2652</v>
      </c>
      <c r="I185" t="s">
        <v>3513</v>
      </c>
      <c r="L185" t="b">
        <v>0</v>
      </c>
      <c r="M185" t="s">
        <v>50</v>
      </c>
      <c r="N185" t="s">
        <v>32</v>
      </c>
      <c r="O185" t="s">
        <v>26</v>
      </c>
      <c r="P185" t="s">
        <v>33</v>
      </c>
      <c r="Q185">
        <v>1</v>
      </c>
      <c r="R185">
        <v>5</v>
      </c>
      <c r="S185">
        <v>104.5110879312</v>
      </c>
      <c r="T185">
        <v>1432</v>
      </c>
      <c r="U185">
        <v>1432</v>
      </c>
      <c r="V185">
        <v>1</v>
      </c>
      <c r="W185">
        <v>0</v>
      </c>
      <c r="X185">
        <v>1393125.08</v>
      </c>
      <c r="Y185">
        <v>1393125.08</v>
      </c>
    </row>
    <row r="186" spans="1:25" x14ac:dyDescent="0.25">
      <c r="A186">
        <v>20</v>
      </c>
      <c r="B186" t="s">
        <v>25</v>
      </c>
      <c r="C186" t="s">
        <v>26</v>
      </c>
      <c r="D186" t="s">
        <v>3514</v>
      </c>
      <c r="E186">
        <v>209847</v>
      </c>
      <c r="G186" t="s">
        <v>3515</v>
      </c>
      <c r="H186" t="s">
        <v>2652</v>
      </c>
      <c r="I186" t="s">
        <v>3515</v>
      </c>
      <c r="L186" t="b">
        <v>0</v>
      </c>
      <c r="M186" t="s">
        <v>50</v>
      </c>
      <c r="N186" t="s">
        <v>32</v>
      </c>
      <c r="O186" t="s">
        <v>26</v>
      </c>
      <c r="P186" t="s">
        <v>33</v>
      </c>
      <c r="Q186">
        <v>1</v>
      </c>
      <c r="R186">
        <v>5</v>
      </c>
      <c r="S186">
        <v>104.5109396096</v>
      </c>
      <c r="T186">
        <v>16417</v>
      </c>
      <c r="U186">
        <v>16417</v>
      </c>
      <c r="V186">
        <v>1</v>
      </c>
      <c r="W186">
        <v>0</v>
      </c>
      <c r="X186">
        <v>15971286.300000001</v>
      </c>
      <c r="Y186">
        <v>15971286.300000001</v>
      </c>
    </row>
    <row r="187" spans="1:25" x14ac:dyDescent="0.25">
      <c r="A187">
        <v>20</v>
      </c>
      <c r="B187" t="s">
        <v>25</v>
      </c>
      <c r="C187" t="s">
        <v>26</v>
      </c>
      <c r="D187" t="s">
        <v>3516</v>
      </c>
      <c r="E187">
        <v>209944</v>
      </c>
      <c r="G187" t="s">
        <v>3517</v>
      </c>
      <c r="H187" t="s">
        <v>2652</v>
      </c>
      <c r="I187" t="s">
        <v>3517</v>
      </c>
      <c r="L187" t="b">
        <v>0</v>
      </c>
      <c r="M187" t="s">
        <v>50</v>
      </c>
      <c r="N187" t="s">
        <v>32</v>
      </c>
      <c r="O187" t="s">
        <v>26</v>
      </c>
      <c r="P187" t="s">
        <v>33</v>
      </c>
      <c r="Q187">
        <v>1</v>
      </c>
      <c r="R187">
        <v>5</v>
      </c>
      <c r="S187">
        <v>104.51095803760001</v>
      </c>
      <c r="T187">
        <v>3834</v>
      </c>
      <c r="U187">
        <v>3834</v>
      </c>
      <c r="V187">
        <v>1</v>
      </c>
      <c r="W187">
        <v>0</v>
      </c>
      <c r="X187">
        <v>3729909.48</v>
      </c>
      <c r="Y187">
        <v>3729909.48</v>
      </c>
    </row>
    <row r="188" spans="1:25" x14ac:dyDescent="0.25">
      <c r="A188">
        <v>20</v>
      </c>
      <c r="B188" t="s">
        <v>25</v>
      </c>
      <c r="C188" t="s">
        <v>26</v>
      </c>
      <c r="D188" t="s">
        <v>3518</v>
      </c>
      <c r="E188">
        <v>209853</v>
      </c>
      <c r="G188" t="s">
        <v>3519</v>
      </c>
      <c r="H188" t="s">
        <v>2652</v>
      </c>
      <c r="I188" t="s">
        <v>3519</v>
      </c>
      <c r="L188" t="b">
        <v>0</v>
      </c>
      <c r="M188" t="s">
        <v>50</v>
      </c>
      <c r="N188" t="s">
        <v>32</v>
      </c>
      <c r="O188" t="s">
        <v>26</v>
      </c>
      <c r="P188" t="s">
        <v>33</v>
      </c>
      <c r="Q188">
        <v>1</v>
      </c>
      <c r="R188">
        <v>5</v>
      </c>
      <c r="S188">
        <v>104.5109294504</v>
      </c>
      <c r="T188">
        <v>5936</v>
      </c>
      <c r="U188">
        <v>5936</v>
      </c>
      <c r="V188">
        <v>1</v>
      </c>
      <c r="W188">
        <v>0</v>
      </c>
      <c r="X188">
        <v>5774841.3399999999</v>
      </c>
      <c r="Y188">
        <v>5774841.3399999999</v>
      </c>
    </row>
    <row r="189" spans="1:25" x14ac:dyDescent="0.25">
      <c r="A189">
        <v>20</v>
      </c>
      <c r="B189" t="s">
        <v>25</v>
      </c>
      <c r="C189" t="s">
        <v>26</v>
      </c>
      <c r="D189" t="s">
        <v>3520</v>
      </c>
      <c r="E189">
        <v>209943</v>
      </c>
      <c r="G189" t="s">
        <v>3521</v>
      </c>
      <c r="H189" t="s">
        <v>2652</v>
      </c>
      <c r="I189" t="s">
        <v>3521</v>
      </c>
      <c r="L189" t="b">
        <v>0</v>
      </c>
      <c r="M189" t="s">
        <v>50</v>
      </c>
      <c r="N189" t="s">
        <v>32</v>
      </c>
      <c r="O189" t="s">
        <v>26</v>
      </c>
      <c r="P189" t="s">
        <v>33</v>
      </c>
      <c r="Q189">
        <v>1</v>
      </c>
      <c r="R189">
        <v>5</v>
      </c>
      <c r="S189">
        <v>104.5110565424</v>
      </c>
      <c r="T189">
        <v>3526</v>
      </c>
      <c r="U189">
        <v>3526</v>
      </c>
      <c r="V189">
        <v>1</v>
      </c>
      <c r="W189">
        <v>0</v>
      </c>
      <c r="X189">
        <v>3430274.95</v>
      </c>
      <c r="Y189">
        <v>3430274.95</v>
      </c>
    </row>
    <row r="190" spans="1:25" x14ac:dyDescent="0.25">
      <c r="A190">
        <v>20</v>
      </c>
      <c r="B190" t="s">
        <v>25</v>
      </c>
      <c r="C190" t="s">
        <v>26</v>
      </c>
      <c r="D190" t="s">
        <v>3522</v>
      </c>
      <c r="E190">
        <v>209836</v>
      </c>
      <c r="G190" t="s">
        <v>3523</v>
      </c>
      <c r="H190" t="s">
        <v>2652</v>
      </c>
      <c r="I190" t="s">
        <v>3523</v>
      </c>
      <c r="L190" t="b">
        <v>0</v>
      </c>
      <c r="M190" t="s">
        <v>50</v>
      </c>
      <c r="N190" t="s">
        <v>32</v>
      </c>
      <c r="O190" t="s">
        <v>26</v>
      </c>
      <c r="P190" t="s">
        <v>33</v>
      </c>
      <c r="Q190">
        <v>1</v>
      </c>
      <c r="R190">
        <v>5</v>
      </c>
      <c r="S190">
        <v>104.5107297616</v>
      </c>
      <c r="T190">
        <v>927</v>
      </c>
      <c r="U190">
        <v>927</v>
      </c>
      <c r="V190">
        <v>1</v>
      </c>
      <c r="W190">
        <v>0</v>
      </c>
      <c r="X190">
        <v>901826.48</v>
      </c>
      <c r="Y190">
        <v>901826.48</v>
      </c>
    </row>
    <row r="191" spans="1:25" x14ac:dyDescent="0.25">
      <c r="A191">
        <v>20</v>
      </c>
      <c r="B191" t="s">
        <v>25</v>
      </c>
      <c r="C191" t="s">
        <v>26</v>
      </c>
      <c r="D191" t="s">
        <v>3524</v>
      </c>
      <c r="E191">
        <v>210127</v>
      </c>
      <c r="G191" t="s">
        <v>3525</v>
      </c>
      <c r="H191" t="s">
        <v>2652</v>
      </c>
      <c r="I191" t="s">
        <v>3525</v>
      </c>
      <c r="L191" t="b">
        <v>0</v>
      </c>
      <c r="M191" t="s">
        <v>50</v>
      </c>
      <c r="N191" t="s">
        <v>32</v>
      </c>
      <c r="O191" t="s">
        <v>26</v>
      </c>
      <c r="P191" t="s">
        <v>33</v>
      </c>
      <c r="Q191">
        <v>1</v>
      </c>
      <c r="R191">
        <v>5</v>
      </c>
      <c r="S191">
        <v>104.51091396</v>
      </c>
      <c r="T191">
        <v>3817</v>
      </c>
      <c r="U191">
        <v>3817</v>
      </c>
      <c r="V191">
        <v>1</v>
      </c>
      <c r="W191">
        <v>0</v>
      </c>
      <c r="X191">
        <v>3713368.09</v>
      </c>
      <c r="Y191">
        <v>3713368.09</v>
      </c>
    </row>
    <row r="192" spans="1:25" x14ac:dyDescent="0.25">
      <c r="A192">
        <v>20</v>
      </c>
      <c r="B192" t="s">
        <v>25</v>
      </c>
      <c r="C192" t="s">
        <v>26</v>
      </c>
      <c r="D192" t="s">
        <v>3526</v>
      </c>
      <c r="E192">
        <v>209941</v>
      </c>
      <c r="G192" t="s">
        <v>3527</v>
      </c>
      <c r="H192" t="s">
        <v>2652</v>
      </c>
      <c r="I192" t="s">
        <v>3527</v>
      </c>
      <c r="L192" t="b">
        <v>0</v>
      </c>
      <c r="M192" t="s">
        <v>50</v>
      </c>
      <c r="N192" t="s">
        <v>32</v>
      </c>
      <c r="O192" t="s">
        <v>26</v>
      </c>
      <c r="P192" t="s">
        <v>33</v>
      </c>
      <c r="Q192">
        <v>1</v>
      </c>
      <c r="R192">
        <v>5</v>
      </c>
      <c r="S192">
        <v>104.5110879312</v>
      </c>
      <c r="T192">
        <v>2474</v>
      </c>
      <c r="U192">
        <v>2474</v>
      </c>
      <c r="V192">
        <v>1</v>
      </c>
      <c r="W192">
        <v>0</v>
      </c>
      <c r="X192">
        <v>2406831.62</v>
      </c>
      <c r="Y192">
        <v>2406831.62</v>
      </c>
    </row>
    <row r="193" spans="1:25" x14ac:dyDescent="0.25">
      <c r="A193">
        <v>20</v>
      </c>
      <c r="B193" t="s">
        <v>25</v>
      </c>
      <c r="C193" t="s">
        <v>26</v>
      </c>
      <c r="D193" t="s">
        <v>3528</v>
      </c>
      <c r="E193">
        <v>209940</v>
      </c>
      <c r="G193" t="s">
        <v>3529</v>
      </c>
      <c r="H193" t="s">
        <v>2652</v>
      </c>
      <c r="I193" t="s">
        <v>3529</v>
      </c>
      <c r="L193" t="b">
        <v>0</v>
      </c>
      <c r="M193" t="s">
        <v>50</v>
      </c>
      <c r="N193" t="s">
        <v>32</v>
      </c>
      <c r="O193" t="s">
        <v>26</v>
      </c>
      <c r="P193" t="s">
        <v>33</v>
      </c>
      <c r="Q193">
        <v>1</v>
      </c>
      <c r="R193">
        <v>5</v>
      </c>
      <c r="S193">
        <v>104.5109199576</v>
      </c>
      <c r="T193">
        <v>5931</v>
      </c>
      <c r="U193">
        <v>5931</v>
      </c>
      <c r="V193">
        <v>1</v>
      </c>
      <c r="W193">
        <v>0</v>
      </c>
      <c r="X193">
        <v>5769972.9400000004</v>
      </c>
      <c r="Y193">
        <v>5769972.9400000004</v>
      </c>
    </row>
    <row r="194" spans="1:25" x14ac:dyDescent="0.25">
      <c r="A194">
        <v>20</v>
      </c>
      <c r="B194" t="s">
        <v>25</v>
      </c>
      <c r="C194" t="s">
        <v>26</v>
      </c>
      <c r="D194" t="s">
        <v>3530</v>
      </c>
      <c r="E194">
        <v>209918</v>
      </c>
      <c r="G194" t="s">
        <v>3531</v>
      </c>
      <c r="H194" t="s">
        <v>2652</v>
      </c>
      <c r="I194" t="s">
        <v>3531</v>
      </c>
      <c r="L194" t="b">
        <v>0</v>
      </c>
      <c r="M194" t="s">
        <v>50</v>
      </c>
      <c r="N194" t="s">
        <v>32</v>
      </c>
      <c r="O194" t="s">
        <v>26</v>
      </c>
      <c r="P194" t="s">
        <v>33</v>
      </c>
      <c r="Q194">
        <v>1</v>
      </c>
      <c r="R194">
        <v>5</v>
      </c>
      <c r="S194">
        <v>104.51095873120001</v>
      </c>
      <c r="T194">
        <v>7710</v>
      </c>
      <c r="U194">
        <v>7710</v>
      </c>
      <c r="V194">
        <v>1</v>
      </c>
      <c r="W194">
        <v>0</v>
      </c>
      <c r="X194">
        <v>7500674.4000000004</v>
      </c>
      <c r="Y194">
        <v>7500674.4000000004</v>
      </c>
    </row>
    <row r="195" spans="1:25" x14ac:dyDescent="0.25">
      <c r="A195">
        <v>20</v>
      </c>
      <c r="B195" t="s">
        <v>25</v>
      </c>
      <c r="C195" t="s">
        <v>26</v>
      </c>
      <c r="D195" t="s">
        <v>3532</v>
      </c>
      <c r="E195">
        <v>209919</v>
      </c>
      <c r="G195" t="s">
        <v>3533</v>
      </c>
      <c r="H195" t="s">
        <v>2652</v>
      </c>
      <c r="I195" t="s">
        <v>3533</v>
      </c>
      <c r="L195" t="b">
        <v>0</v>
      </c>
      <c r="M195" t="s">
        <v>50</v>
      </c>
      <c r="N195" t="s">
        <v>32</v>
      </c>
      <c r="O195" t="s">
        <v>26</v>
      </c>
      <c r="P195" t="s">
        <v>33</v>
      </c>
      <c r="Q195">
        <v>1</v>
      </c>
      <c r="R195">
        <v>5</v>
      </c>
      <c r="S195">
        <v>104.5109462736</v>
      </c>
      <c r="T195">
        <v>16408</v>
      </c>
      <c r="U195">
        <v>16408</v>
      </c>
      <c r="V195">
        <v>1</v>
      </c>
      <c r="W195">
        <v>0</v>
      </c>
      <c r="X195">
        <v>15962536.220000001</v>
      </c>
      <c r="Y195">
        <v>15962536.220000001</v>
      </c>
    </row>
    <row r="196" spans="1:25" x14ac:dyDescent="0.25">
      <c r="A196">
        <v>20</v>
      </c>
      <c r="B196" t="s">
        <v>25</v>
      </c>
      <c r="C196" t="s">
        <v>26</v>
      </c>
      <c r="D196" t="s">
        <v>3534</v>
      </c>
      <c r="E196">
        <v>209871</v>
      </c>
      <c r="G196" t="s">
        <v>3535</v>
      </c>
      <c r="H196" t="s">
        <v>2652</v>
      </c>
      <c r="I196" t="s">
        <v>3535</v>
      </c>
      <c r="L196" t="b">
        <v>0</v>
      </c>
      <c r="M196" t="s">
        <v>50</v>
      </c>
      <c r="N196" t="s">
        <v>32</v>
      </c>
      <c r="O196" t="s">
        <v>26</v>
      </c>
      <c r="P196" t="s">
        <v>33</v>
      </c>
      <c r="Q196">
        <v>1</v>
      </c>
      <c r="R196">
        <v>5</v>
      </c>
      <c r="S196">
        <v>104.5110879312</v>
      </c>
      <c r="T196">
        <v>2331</v>
      </c>
      <c r="U196">
        <v>2331</v>
      </c>
      <c r="V196">
        <v>1</v>
      </c>
      <c r="W196">
        <v>0</v>
      </c>
      <c r="X196">
        <v>2267714.59</v>
      </c>
      <c r="Y196">
        <v>2267714.59</v>
      </c>
    </row>
    <row r="197" spans="1:25" x14ac:dyDescent="0.25">
      <c r="A197">
        <v>20</v>
      </c>
      <c r="B197" t="s">
        <v>25</v>
      </c>
      <c r="C197" t="s">
        <v>26</v>
      </c>
      <c r="D197" t="s">
        <v>3536</v>
      </c>
      <c r="E197">
        <v>210110</v>
      </c>
      <c r="G197" t="s">
        <v>3537</v>
      </c>
      <c r="H197" t="s">
        <v>2652</v>
      </c>
      <c r="I197" t="s">
        <v>3537</v>
      </c>
      <c r="L197" t="b">
        <v>0</v>
      </c>
      <c r="M197" t="s">
        <v>50</v>
      </c>
      <c r="N197" t="s">
        <v>32</v>
      </c>
      <c r="O197" t="s">
        <v>26</v>
      </c>
      <c r="P197" t="s">
        <v>33</v>
      </c>
      <c r="Q197">
        <v>1</v>
      </c>
      <c r="R197">
        <v>5</v>
      </c>
      <c r="S197">
        <v>104.5109392288</v>
      </c>
      <c r="T197">
        <v>129517</v>
      </c>
      <c r="U197">
        <v>129517</v>
      </c>
      <c r="V197">
        <v>1</v>
      </c>
      <c r="W197">
        <v>0</v>
      </c>
      <c r="X197">
        <v>126000679.01000001</v>
      </c>
      <c r="Y197">
        <v>126000679.01000001</v>
      </c>
    </row>
    <row r="198" spans="1:25" x14ac:dyDescent="0.25">
      <c r="A198">
        <v>20</v>
      </c>
      <c r="B198" t="s">
        <v>25</v>
      </c>
      <c r="C198" t="s">
        <v>26</v>
      </c>
      <c r="D198" t="s">
        <v>3538</v>
      </c>
      <c r="E198">
        <v>209911</v>
      </c>
      <c r="G198" t="s">
        <v>3539</v>
      </c>
      <c r="H198" t="s">
        <v>2652</v>
      </c>
      <c r="I198" t="s">
        <v>3539</v>
      </c>
      <c r="L198" t="b">
        <v>0</v>
      </c>
      <c r="M198" t="s">
        <v>50</v>
      </c>
      <c r="N198" t="s">
        <v>32</v>
      </c>
      <c r="O198" t="s">
        <v>26</v>
      </c>
      <c r="P198" t="s">
        <v>33</v>
      </c>
      <c r="Q198">
        <v>1</v>
      </c>
      <c r="R198">
        <v>5</v>
      </c>
      <c r="S198">
        <v>104.5109392288</v>
      </c>
      <c r="T198">
        <v>129517</v>
      </c>
      <c r="U198">
        <v>129517</v>
      </c>
      <c r="V198">
        <v>1</v>
      </c>
      <c r="W198">
        <v>0</v>
      </c>
      <c r="X198">
        <v>126000679.01000001</v>
      </c>
      <c r="Y198">
        <v>126000679.01000001</v>
      </c>
    </row>
    <row r="199" spans="1:25" x14ac:dyDescent="0.25">
      <c r="A199">
        <v>20</v>
      </c>
      <c r="B199" t="s">
        <v>25</v>
      </c>
      <c r="C199" t="s">
        <v>26</v>
      </c>
      <c r="D199" t="s">
        <v>3540</v>
      </c>
      <c r="E199">
        <v>209912</v>
      </c>
      <c r="G199" t="s">
        <v>3541</v>
      </c>
      <c r="H199" t="s">
        <v>2652</v>
      </c>
      <c r="I199" t="s">
        <v>3541</v>
      </c>
      <c r="L199" t="b">
        <v>0</v>
      </c>
      <c r="M199" t="s">
        <v>50</v>
      </c>
      <c r="N199" t="s">
        <v>32</v>
      </c>
      <c r="O199" t="s">
        <v>26</v>
      </c>
      <c r="P199" t="s">
        <v>33</v>
      </c>
      <c r="Q199">
        <v>1</v>
      </c>
      <c r="R199">
        <v>5</v>
      </c>
      <c r="S199">
        <v>104.510941432</v>
      </c>
      <c r="T199">
        <v>54397</v>
      </c>
      <c r="U199">
        <v>54397</v>
      </c>
      <c r="V199">
        <v>1</v>
      </c>
      <c r="W199">
        <v>0</v>
      </c>
      <c r="X199">
        <v>52920154.310000002</v>
      </c>
      <c r="Y199">
        <v>52920154.310000002</v>
      </c>
    </row>
    <row r="200" spans="1:25" x14ac:dyDescent="0.25">
      <c r="A200">
        <v>20</v>
      </c>
      <c r="B200" t="s">
        <v>25</v>
      </c>
      <c r="C200" t="s">
        <v>26</v>
      </c>
      <c r="D200" t="s">
        <v>3542</v>
      </c>
      <c r="E200">
        <v>209916</v>
      </c>
      <c r="G200" t="s">
        <v>3543</v>
      </c>
      <c r="H200" t="s">
        <v>2652</v>
      </c>
      <c r="I200" t="s">
        <v>3543</v>
      </c>
      <c r="L200" t="b">
        <v>0</v>
      </c>
      <c r="M200" t="s">
        <v>50</v>
      </c>
      <c r="N200" t="s">
        <v>32</v>
      </c>
      <c r="O200" t="s">
        <v>26</v>
      </c>
      <c r="P200" t="s">
        <v>33</v>
      </c>
      <c r="Q200">
        <v>1</v>
      </c>
      <c r="R200">
        <v>5</v>
      </c>
      <c r="S200">
        <v>104.5215928432</v>
      </c>
      <c r="T200">
        <v>1054</v>
      </c>
      <c r="U200">
        <v>1054</v>
      </c>
      <c r="V200">
        <v>1</v>
      </c>
      <c r="W200">
        <v>0</v>
      </c>
      <c r="X200">
        <v>1025491.23</v>
      </c>
      <c r="Y200">
        <v>1025491.23</v>
      </c>
    </row>
    <row r="201" spans="1:25" x14ac:dyDescent="0.25">
      <c r="A201">
        <v>20</v>
      </c>
      <c r="B201" t="s">
        <v>25</v>
      </c>
      <c r="C201" t="s">
        <v>26</v>
      </c>
      <c r="D201" t="s">
        <v>3544</v>
      </c>
      <c r="E201">
        <v>209917</v>
      </c>
      <c r="G201" t="s">
        <v>3545</v>
      </c>
      <c r="H201" t="s">
        <v>2652</v>
      </c>
      <c r="I201" t="s">
        <v>3545</v>
      </c>
      <c r="L201" t="b">
        <v>0</v>
      </c>
      <c r="M201" t="s">
        <v>50</v>
      </c>
      <c r="N201" t="s">
        <v>32</v>
      </c>
      <c r="O201" t="s">
        <v>26</v>
      </c>
      <c r="P201" t="s">
        <v>33</v>
      </c>
      <c r="Q201">
        <v>1</v>
      </c>
      <c r="R201">
        <v>5</v>
      </c>
      <c r="S201">
        <v>104.52120154399999</v>
      </c>
      <c r="T201">
        <v>2040</v>
      </c>
      <c r="U201">
        <v>2040</v>
      </c>
      <c r="V201">
        <v>1</v>
      </c>
      <c r="W201">
        <v>0</v>
      </c>
      <c r="X201">
        <v>1984807.62</v>
      </c>
      <c r="Y201">
        <v>1984807.62</v>
      </c>
    </row>
    <row r="202" spans="1:25" x14ac:dyDescent="0.25">
      <c r="A202">
        <v>20</v>
      </c>
      <c r="B202" t="s">
        <v>25</v>
      </c>
      <c r="C202" t="s">
        <v>26</v>
      </c>
      <c r="D202" t="s">
        <v>3546</v>
      </c>
      <c r="E202">
        <v>209829</v>
      </c>
      <c r="G202" t="s">
        <v>3547</v>
      </c>
      <c r="H202" t="s">
        <v>2652</v>
      </c>
      <c r="I202" t="s">
        <v>3547</v>
      </c>
      <c r="L202" t="b">
        <v>0</v>
      </c>
      <c r="M202" t="s">
        <v>50</v>
      </c>
      <c r="N202" t="s">
        <v>32</v>
      </c>
      <c r="O202" t="s">
        <v>26</v>
      </c>
      <c r="P202" t="s">
        <v>33</v>
      </c>
      <c r="Q202">
        <v>1</v>
      </c>
      <c r="R202">
        <v>5</v>
      </c>
      <c r="S202">
        <v>104.52140301439999</v>
      </c>
      <c r="T202">
        <v>3591</v>
      </c>
      <c r="U202">
        <v>3591</v>
      </c>
      <c r="V202">
        <v>1</v>
      </c>
      <c r="W202">
        <v>0</v>
      </c>
      <c r="X202">
        <v>3493852.69</v>
      </c>
      <c r="Y202">
        <v>3493852.69</v>
      </c>
    </row>
    <row r="203" spans="1:25" x14ac:dyDescent="0.25">
      <c r="A203">
        <v>20</v>
      </c>
      <c r="B203" t="s">
        <v>25</v>
      </c>
      <c r="C203" t="s">
        <v>26</v>
      </c>
      <c r="D203" t="s">
        <v>3548</v>
      </c>
      <c r="E203">
        <v>209856</v>
      </c>
      <c r="G203" t="s">
        <v>3549</v>
      </c>
      <c r="H203" t="s">
        <v>2652</v>
      </c>
      <c r="I203" t="s">
        <v>3549</v>
      </c>
      <c r="L203" t="b">
        <v>0</v>
      </c>
      <c r="M203" t="s">
        <v>50</v>
      </c>
      <c r="N203" t="s">
        <v>32</v>
      </c>
      <c r="O203" t="s">
        <v>26</v>
      </c>
      <c r="P203" t="s">
        <v>33</v>
      </c>
      <c r="Q203">
        <v>1</v>
      </c>
      <c r="R203">
        <v>5</v>
      </c>
      <c r="S203">
        <v>104.5212883392</v>
      </c>
      <c r="T203">
        <v>2924</v>
      </c>
      <c r="U203">
        <v>2924</v>
      </c>
      <c r="V203">
        <v>1</v>
      </c>
      <c r="W203">
        <v>0</v>
      </c>
      <c r="X203">
        <v>2844894.33</v>
      </c>
      <c r="Y203">
        <v>2844894.33</v>
      </c>
    </row>
    <row r="204" spans="1:25" x14ac:dyDescent="0.25">
      <c r="A204">
        <v>20</v>
      </c>
      <c r="B204" t="s">
        <v>25</v>
      </c>
      <c r="C204" t="s">
        <v>26</v>
      </c>
      <c r="D204" t="s">
        <v>3550</v>
      </c>
      <c r="E204">
        <v>209837</v>
      </c>
      <c r="G204" t="s">
        <v>3551</v>
      </c>
      <c r="H204" t="s">
        <v>2652</v>
      </c>
      <c r="I204" t="s">
        <v>3551</v>
      </c>
      <c r="L204" t="b">
        <v>0</v>
      </c>
      <c r="M204" t="s">
        <v>50</v>
      </c>
      <c r="N204" t="s">
        <v>32</v>
      </c>
      <c r="O204" t="s">
        <v>26</v>
      </c>
      <c r="P204" t="s">
        <v>33</v>
      </c>
      <c r="Q204">
        <v>1</v>
      </c>
      <c r="R204">
        <v>5</v>
      </c>
      <c r="S204">
        <v>104.5213230192</v>
      </c>
      <c r="T204">
        <v>3065</v>
      </c>
      <c r="U204">
        <v>3065</v>
      </c>
      <c r="V204">
        <v>1</v>
      </c>
      <c r="W204">
        <v>0</v>
      </c>
      <c r="X204">
        <v>2982084.48</v>
      </c>
      <c r="Y204">
        <v>2982084.48</v>
      </c>
    </row>
    <row r="205" spans="1:25" x14ac:dyDescent="0.25">
      <c r="A205">
        <v>20</v>
      </c>
      <c r="B205" t="s">
        <v>25</v>
      </c>
      <c r="C205" t="s">
        <v>26</v>
      </c>
      <c r="D205" t="s">
        <v>3552</v>
      </c>
      <c r="E205">
        <v>209824</v>
      </c>
      <c r="G205" t="s">
        <v>3553</v>
      </c>
      <c r="H205" t="s">
        <v>2652</v>
      </c>
      <c r="I205" t="s">
        <v>3553</v>
      </c>
      <c r="L205" t="b">
        <v>0</v>
      </c>
      <c r="M205" t="s">
        <v>50</v>
      </c>
      <c r="N205" t="s">
        <v>32</v>
      </c>
      <c r="O205" t="s">
        <v>26</v>
      </c>
      <c r="P205" t="s">
        <v>33</v>
      </c>
      <c r="Q205">
        <v>1</v>
      </c>
      <c r="R205">
        <v>5</v>
      </c>
      <c r="S205">
        <v>104.5213052304</v>
      </c>
      <c r="T205">
        <v>2295</v>
      </c>
      <c r="U205">
        <v>2295</v>
      </c>
      <c r="V205">
        <v>1</v>
      </c>
      <c r="W205">
        <v>0</v>
      </c>
      <c r="X205">
        <v>2232909.73</v>
      </c>
      <c r="Y205">
        <v>2232909.73</v>
      </c>
    </row>
    <row r="206" spans="1:25" x14ac:dyDescent="0.25">
      <c r="A206">
        <v>20</v>
      </c>
      <c r="B206" t="s">
        <v>25</v>
      </c>
      <c r="C206" t="s">
        <v>26</v>
      </c>
      <c r="D206" t="s">
        <v>3554</v>
      </c>
      <c r="E206">
        <v>209834</v>
      </c>
      <c r="G206" t="s">
        <v>3555</v>
      </c>
      <c r="H206" t="s">
        <v>2652</v>
      </c>
      <c r="I206" t="s">
        <v>3555</v>
      </c>
      <c r="L206" t="b">
        <v>0</v>
      </c>
      <c r="M206" t="s">
        <v>50</v>
      </c>
      <c r="N206" t="s">
        <v>32</v>
      </c>
      <c r="O206" t="s">
        <v>26</v>
      </c>
      <c r="P206" t="s">
        <v>33</v>
      </c>
      <c r="Q206">
        <v>1</v>
      </c>
      <c r="R206">
        <v>5</v>
      </c>
      <c r="S206">
        <v>104.521438864</v>
      </c>
      <c r="T206">
        <v>11765</v>
      </c>
      <c r="U206">
        <v>11765</v>
      </c>
      <c r="V206">
        <v>1</v>
      </c>
      <c r="W206">
        <v>0</v>
      </c>
      <c r="X206">
        <v>11446738.880000001</v>
      </c>
      <c r="Y206">
        <v>11446738.880000001</v>
      </c>
    </row>
    <row r="207" spans="1:25" x14ac:dyDescent="0.25">
      <c r="A207">
        <v>20</v>
      </c>
      <c r="B207" t="s">
        <v>25</v>
      </c>
      <c r="C207" t="s">
        <v>26</v>
      </c>
      <c r="D207" t="s">
        <v>3556</v>
      </c>
      <c r="E207">
        <v>209973</v>
      </c>
      <c r="G207" t="s">
        <v>3557</v>
      </c>
      <c r="H207" t="s">
        <v>2652</v>
      </c>
      <c r="I207" t="s">
        <v>3557</v>
      </c>
      <c r="L207" t="b">
        <v>0</v>
      </c>
      <c r="M207" t="s">
        <v>50</v>
      </c>
      <c r="N207" t="s">
        <v>32</v>
      </c>
      <c r="O207" t="s">
        <v>26</v>
      </c>
      <c r="P207" t="s">
        <v>33</v>
      </c>
      <c r="Q207">
        <v>1</v>
      </c>
      <c r="R207">
        <v>5</v>
      </c>
      <c r="S207">
        <v>104.5214382656</v>
      </c>
      <c r="T207">
        <v>5522</v>
      </c>
      <c r="U207">
        <v>5522</v>
      </c>
      <c r="V207">
        <v>1</v>
      </c>
      <c r="W207">
        <v>0</v>
      </c>
      <c r="X207">
        <v>5372616.7400000002</v>
      </c>
      <c r="Y207">
        <v>5372616.7400000002</v>
      </c>
    </row>
    <row r="208" spans="1:25" x14ac:dyDescent="0.25">
      <c r="A208">
        <v>20</v>
      </c>
      <c r="B208" t="s">
        <v>25</v>
      </c>
      <c r="C208" t="s">
        <v>26</v>
      </c>
      <c r="D208" t="s">
        <v>3558</v>
      </c>
      <c r="E208">
        <v>209921</v>
      </c>
      <c r="G208" t="s">
        <v>3559</v>
      </c>
      <c r="H208" t="s">
        <v>2652</v>
      </c>
      <c r="I208" t="s">
        <v>3559</v>
      </c>
      <c r="L208" t="b">
        <v>0</v>
      </c>
      <c r="M208" t="s">
        <v>50</v>
      </c>
      <c r="N208" t="s">
        <v>32</v>
      </c>
      <c r="O208" t="s">
        <v>26</v>
      </c>
      <c r="P208" t="s">
        <v>33</v>
      </c>
      <c r="Q208">
        <v>1</v>
      </c>
      <c r="R208">
        <v>5</v>
      </c>
      <c r="S208">
        <v>104.52213465360001</v>
      </c>
      <c r="T208">
        <v>680</v>
      </c>
      <c r="U208">
        <v>680</v>
      </c>
      <c r="V208">
        <v>1</v>
      </c>
      <c r="W208">
        <v>0</v>
      </c>
      <c r="X208">
        <v>661608.74</v>
      </c>
      <c r="Y208">
        <v>661608.74</v>
      </c>
    </row>
    <row r="209" spans="1:25" x14ac:dyDescent="0.25">
      <c r="A209">
        <v>20</v>
      </c>
      <c r="B209" t="s">
        <v>25</v>
      </c>
      <c r="C209" t="s">
        <v>26</v>
      </c>
      <c r="D209" t="s">
        <v>3560</v>
      </c>
      <c r="E209">
        <v>209923</v>
      </c>
      <c r="G209" t="s">
        <v>3561</v>
      </c>
      <c r="H209" t="s">
        <v>2652</v>
      </c>
      <c r="I209" t="s">
        <v>3561</v>
      </c>
      <c r="L209" t="b">
        <v>0</v>
      </c>
      <c r="M209" t="s">
        <v>50</v>
      </c>
      <c r="N209" t="s">
        <v>32</v>
      </c>
      <c r="O209" t="s">
        <v>26</v>
      </c>
      <c r="P209" t="s">
        <v>33</v>
      </c>
      <c r="Q209">
        <v>1</v>
      </c>
      <c r="R209">
        <v>5</v>
      </c>
      <c r="S209">
        <v>104.5214560272</v>
      </c>
      <c r="T209">
        <v>11221</v>
      </c>
      <c r="U209">
        <v>11221</v>
      </c>
      <c r="V209">
        <v>1</v>
      </c>
      <c r="W209">
        <v>0</v>
      </c>
      <c r="X209">
        <v>10917451.880000001</v>
      </c>
      <c r="Y209">
        <v>10917451.880000001</v>
      </c>
    </row>
    <row r="210" spans="1:25" x14ac:dyDescent="0.25">
      <c r="A210">
        <v>20</v>
      </c>
      <c r="B210" t="s">
        <v>25</v>
      </c>
      <c r="C210" t="s">
        <v>26</v>
      </c>
      <c r="D210" t="s">
        <v>3562</v>
      </c>
      <c r="E210">
        <v>210026</v>
      </c>
      <c r="G210" t="s">
        <v>3563</v>
      </c>
      <c r="H210" t="s">
        <v>2652</v>
      </c>
      <c r="I210" t="s">
        <v>3563</v>
      </c>
      <c r="L210" t="b">
        <v>0</v>
      </c>
      <c r="M210" t="s">
        <v>50</v>
      </c>
      <c r="N210" t="s">
        <v>32</v>
      </c>
      <c r="O210" t="s">
        <v>26</v>
      </c>
      <c r="P210" t="s">
        <v>33</v>
      </c>
      <c r="Q210">
        <v>1</v>
      </c>
      <c r="R210">
        <v>5</v>
      </c>
      <c r="S210">
        <v>104.52145866559999</v>
      </c>
      <c r="T210">
        <v>12373</v>
      </c>
      <c r="U210">
        <v>12373</v>
      </c>
      <c r="V210">
        <v>1</v>
      </c>
      <c r="W210">
        <v>0</v>
      </c>
      <c r="X210">
        <v>12038291.1</v>
      </c>
      <c r="Y210">
        <v>12038291.1</v>
      </c>
    </row>
    <row r="211" spans="1:25" x14ac:dyDescent="0.25">
      <c r="A211">
        <v>20</v>
      </c>
      <c r="B211" t="s">
        <v>25</v>
      </c>
      <c r="C211" t="s">
        <v>26</v>
      </c>
      <c r="D211" t="s">
        <v>3564</v>
      </c>
      <c r="E211">
        <v>209978</v>
      </c>
      <c r="G211" t="s">
        <v>3565</v>
      </c>
      <c r="H211" t="s">
        <v>2652</v>
      </c>
      <c r="I211" t="s">
        <v>3565</v>
      </c>
      <c r="L211" t="b">
        <v>0</v>
      </c>
      <c r="M211" t="s">
        <v>50</v>
      </c>
      <c r="N211" t="s">
        <v>32</v>
      </c>
      <c r="O211" t="s">
        <v>26</v>
      </c>
      <c r="P211" t="s">
        <v>33</v>
      </c>
      <c r="Q211">
        <v>1</v>
      </c>
      <c r="R211">
        <v>5</v>
      </c>
      <c r="S211">
        <v>104.521426488</v>
      </c>
      <c r="T211">
        <v>41150</v>
      </c>
      <c r="U211">
        <v>41150</v>
      </c>
      <c r="V211">
        <v>1</v>
      </c>
      <c r="W211">
        <v>0</v>
      </c>
      <c r="X211">
        <v>40036819.189999998</v>
      </c>
      <c r="Y211">
        <v>40036819.189999998</v>
      </c>
    </row>
    <row r="212" spans="1:25" x14ac:dyDescent="0.25">
      <c r="A212">
        <v>20</v>
      </c>
      <c r="B212" t="s">
        <v>25</v>
      </c>
      <c r="C212" t="s">
        <v>26</v>
      </c>
      <c r="D212" t="s">
        <v>3566</v>
      </c>
      <c r="E212">
        <v>209832</v>
      </c>
      <c r="G212" t="s">
        <v>3567</v>
      </c>
      <c r="H212" t="s">
        <v>2652</v>
      </c>
      <c r="I212" t="s">
        <v>3567</v>
      </c>
      <c r="L212" t="b">
        <v>0</v>
      </c>
      <c r="M212" t="s">
        <v>50</v>
      </c>
      <c r="N212" t="s">
        <v>32</v>
      </c>
      <c r="O212" t="s">
        <v>26</v>
      </c>
      <c r="P212" t="s">
        <v>33</v>
      </c>
      <c r="Q212">
        <v>1</v>
      </c>
      <c r="R212">
        <v>5</v>
      </c>
      <c r="S212">
        <v>104.5213084264</v>
      </c>
      <c r="T212">
        <v>3088</v>
      </c>
      <c r="U212">
        <v>3088</v>
      </c>
      <c r="V212">
        <v>1</v>
      </c>
      <c r="W212">
        <v>0</v>
      </c>
      <c r="X212">
        <v>3004462.35</v>
      </c>
      <c r="Y212">
        <v>3004462.35</v>
      </c>
    </row>
    <row r="213" spans="1:25" x14ac:dyDescent="0.25">
      <c r="A213">
        <v>20</v>
      </c>
      <c r="B213" t="s">
        <v>25</v>
      </c>
      <c r="C213" t="s">
        <v>26</v>
      </c>
      <c r="D213" t="s">
        <v>3568</v>
      </c>
      <c r="E213">
        <v>209920</v>
      </c>
      <c r="G213" t="s">
        <v>3569</v>
      </c>
      <c r="H213" t="s">
        <v>2652</v>
      </c>
      <c r="I213" t="s">
        <v>3569</v>
      </c>
      <c r="L213" t="b">
        <v>0</v>
      </c>
      <c r="M213" t="s">
        <v>50</v>
      </c>
      <c r="N213" t="s">
        <v>32</v>
      </c>
      <c r="O213" t="s">
        <v>26</v>
      </c>
      <c r="P213" t="s">
        <v>33</v>
      </c>
      <c r="Q213">
        <v>1</v>
      </c>
      <c r="R213">
        <v>5</v>
      </c>
      <c r="S213">
        <v>104.52151257600001</v>
      </c>
      <c r="T213">
        <v>6121</v>
      </c>
      <c r="U213">
        <v>6121</v>
      </c>
      <c r="V213">
        <v>1</v>
      </c>
      <c r="W213">
        <v>0</v>
      </c>
      <c r="X213">
        <v>5955418.8699999992</v>
      </c>
      <c r="Y213">
        <v>5955418.8699999992</v>
      </c>
    </row>
    <row r="214" spans="1:25" x14ac:dyDescent="0.25">
      <c r="A214">
        <v>20</v>
      </c>
      <c r="B214" t="s">
        <v>25</v>
      </c>
      <c r="C214" t="s">
        <v>26</v>
      </c>
      <c r="D214" t="s">
        <v>3570</v>
      </c>
      <c r="E214">
        <v>209913</v>
      </c>
      <c r="G214" t="s">
        <v>3571</v>
      </c>
      <c r="H214" t="s">
        <v>2652</v>
      </c>
      <c r="I214" t="s">
        <v>3571</v>
      </c>
      <c r="L214" t="b">
        <v>0</v>
      </c>
      <c r="M214" t="s">
        <v>50</v>
      </c>
      <c r="N214" t="s">
        <v>32</v>
      </c>
      <c r="O214" t="s">
        <v>26</v>
      </c>
      <c r="P214" t="s">
        <v>33</v>
      </c>
      <c r="Q214">
        <v>1</v>
      </c>
      <c r="R214">
        <v>5</v>
      </c>
      <c r="S214">
        <v>104.52142586239999</v>
      </c>
      <c r="T214">
        <v>7968</v>
      </c>
      <c r="U214">
        <v>7968</v>
      </c>
      <c r="V214">
        <v>1</v>
      </c>
      <c r="W214">
        <v>0</v>
      </c>
      <c r="X214">
        <v>7752453.4099999992</v>
      </c>
      <c r="Y214">
        <v>7752453.4099999992</v>
      </c>
    </row>
    <row r="215" spans="1:25" x14ac:dyDescent="0.25">
      <c r="A215">
        <v>20</v>
      </c>
      <c r="B215" t="s">
        <v>25</v>
      </c>
      <c r="C215" t="s">
        <v>26</v>
      </c>
      <c r="D215" t="s">
        <v>3572</v>
      </c>
      <c r="E215">
        <v>209914</v>
      </c>
      <c r="G215" t="s">
        <v>3573</v>
      </c>
      <c r="H215" t="s">
        <v>2652</v>
      </c>
      <c r="I215" t="s">
        <v>3573</v>
      </c>
      <c r="L215" t="b">
        <v>0</v>
      </c>
      <c r="M215" t="s">
        <v>50</v>
      </c>
      <c r="N215" t="s">
        <v>32</v>
      </c>
      <c r="O215" t="s">
        <v>26</v>
      </c>
      <c r="P215" t="s">
        <v>33</v>
      </c>
      <c r="Q215">
        <v>1</v>
      </c>
      <c r="R215">
        <v>5</v>
      </c>
      <c r="S215">
        <v>104.5214438552</v>
      </c>
      <c r="T215">
        <v>7900</v>
      </c>
      <c r="U215">
        <v>7900</v>
      </c>
      <c r="V215">
        <v>1</v>
      </c>
      <c r="W215">
        <v>0</v>
      </c>
      <c r="X215">
        <v>7686287.8799999999</v>
      </c>
      <c r="Y215">
        <v>7686287.8799999999</v>
      </c>
    </row>
    <row r="216" spans="1:25" x14ac:dyDescent="0.25">
      <c r="A216">
        <v>20</v>
      </c>
      <c r="B216" t="s">
        <v>25</v>
      </c>
      <c r="C216" t="s">
        <v>26</v>
      </c>
      <c r="D216" t="s">
        <v>3574</v>
      </c>
      <c r="E216">
        <v>209904</v>
      </c>
      <c r="G216" t="s">
        <v>3575</v>
      </c>
      <c r="H216" t="s">
        <v>2652</v>
      </c>
      <c r="I216" t="s">
        <v>3575</v>
      </c>
      <c r="L216" t="b">
        <v>0</v>
      </c>
      <c r="M216" t="s">
        <v>50</v>
      </c>
      <c r="N216" t="s">
        <v>32</v>
      </c>
      <c r="O216" t="s">
        <v>26</v>
      </c>
      <c r="P216" t="s">
        <v>33</v>
      </c>
      <c r="Q216">
        <v>1</v>
      </c>
      <c r="R216">
        <v>5</v>
      </c>
      <c r="S216">
        <v>104.5214407408</v>
      </c>
      <c r="T216">
        <v>16864</v>
      </c>
      <c r="U216">
        <v>16864</v>
      </c>
      <c r="V216">
        <v>1</v>
      </c>
      <c r="W216">
        <v>0</v>
      </c>
      <c r="X216">
        <v>16407803.789999999</v>
      </c>
      <c r="Y216">
        <v>16407803.789999999</v>
      </c>
    </row>
    <row r="217" spans="1:25" x14ac:dyDescent="0.25">
      <c r="A217">
        <v>20</v>
      </c>
      <c r="B217" t="s">
        <v>25</v>
      </c>
      <c r="C217" t="s">
        <v>26</v>
      </c>
      <c r="D217" t="s">
        <v>3576</v>
      </c>
      <c r="E217">
        <v>209905</v>
      </c>
      <c r="G217" t="s">
        <v>3577</v>
      </c>
      <c r="H217" t="s">
        <v>2652</v>
      </c>
      <c r="I217" t="s">
        <v>3577</v>
      </c>
      <c r="L217" t="b">
        <v>0</v>
      </c>
      <c r="M217" t="s">
        <v>50</v>
      </c>
      <c r="N217" t="s">
        <v>32</v>
      </c>
      <c r="O217" t="s">
        <v>26</v>
      </c>
      <c r="P217" t="s">
        <v>33</v>
      </c>
      <c r="Q217">
        <v>1</v>
      </c>
      <c r="R217">
        <v>5</v>
      </c>
      <c r="S217">
        <v>104.5214489144</v>
      </c>
      <c r="T217">
        <v>20267</v>
      </c>
      <c r="U217">
        <v>20267</v>
      </c>
      <c r="V217">
        <v>1</v>
      </c>
      <c r="W217">
        <v>0</v>
      </c>
      <c r="X217">
        <v>19718742.489999998</v>
      </c>
      <c r="Y217">
        <v>19718742.489999998</v>
      </c>
    </row>
    <row r="218" spans="1:25" x14ac:dyDescent="0.25">
      <c r="A218">
        <v>20</v>
      </c>
      <c r="B218" t="s">
        <v>25</v>
      </c>
      <c r="C218" t="s">
        <v>26</v>
      </c>
      <c r="D218" t="s">
        <v>3578</v>
      </c>
      <c r="E218">
        <v>209907</v>
      </c>
      <c r="G218" t="s">
        <v>3579</v>
      </c>
      <c r="H218" t="s">
        <v>2652</v>
      </c>
      <c r="I218" t="s">
        <v>3579</v>
      </c>
      <c r="L218" t="b">
        <v>0</v>
      </c>
      <c r="M218" t="s">
        <v>50</v>
      </c>
      <c r="N218" t="s">
        <v>32</v>
      </c>
      <c r="O218" t="s">
        <v>26</v>
      </c>
      <c r="P218" t="s">
        <v>33</v>
      </c>
      <c r="Q218">
        <v>1</v>
      </c>
      <c r="R218">
        <v>5</v>
      </c>
      <c r="S218">
        <v>104.5214372864</v>
      </c>
      <c r="T218">
        <v>59913</v>
      </c>
      <c r="U218">
        <v>59913</v>
      </c>
      <c r="V218">
        <v>1</v>
      </c>
      <c r="W218">
        <v>0</v>
      </c>
      <c r="X218">
        <v>58292249.759999998</v>
      </c>
      <c r="Y218">
        <v>58292249.759999998</v>
      </c>
    </row>
    <row r="219" spans="1:25" x14ac:dyDescent="0.25">
      <c r="A219">
        <v>20</v>
      </c>
      <c r="B219" t="s">
        <v>25</v>
      </c>
      <c r="C219" t="s">
        <v>26</v>
      </c>
      <c r="D219" t="s">
        <v>3580</v>
      </c>
      <c r="E219">
        <v>209915</v>
      </c>
      <c r="G219" t="s">
        <v>3581</v>
      </c>
      <c r="H219" t="s">
        <v>2652</v>
      </c>
      <c r="I219" t="s">
        <v>3581</v>
      </c>
      <c r="L219" t="b">
        <v>0</v>
      </c>
      <c r="M219" t="s">
        <v>50</v>
      </c>
      <c r="N219" t="s">
        <v>32</v>
      </c>
      <c r="O219" t="s">
        <v>26</v>
      </c>
      <c r="P219" t="s">
        <v>33</v>
      </c>
      <c r="Q219">
        <v>1</v>
      </c>
      <c r="R219">
        <v>5</v>
      </c>
      <c r="S219">
        <v>104.5214670024</v>
      </c>
      <c r="T219">
        <v>9467</v>
      </c>
      <c r="U219">
        <v>9467</v>
      </c>
      <c r="V219">
        <v>1</v>
      </c>
      <c r="W219">
        <v>0</v>
      </c>
      <c r="X219">
        <v>9210906.2399999984</v>
      </c>
      <c r="Y219">
        <v>9210906.2399999984</v>
      </c>
    </row>
    <row r="220" spans="1:25" x14ac:dyDescent="0.25">
      <c r="A220">
        <v>20</v>
      </c>
      <c r="B220" t="s">
        <v>25</v>
      </c>
      <c r="C220" t="s">
        <v>26</v>
      </c>
      <c r="D220" t="s">
        <v>3582</v>
      </c>
      <c r="E220">
        <v>209908</v>
      </c>
      <c r="G220" t="s">
        <v>3583</v>
      </c>
      <c r="H220" t="s">
        <v>2652</v>
      </c>
      <c r="I220" t="s">
        <v>3583</v>
      </c>
      <c r="L220" t="b">
        <v>0</v>
      </c>
      <c r="M220" t="s">
        <v>50</v>
      </c>
      <c r="N220" t="s">
        <v>32</v>
      </c>
      <c r="O220" t="s">
        <v>26</v>
      </c>
      <c r="P220" t="s">
        <v>33</v>
      </c>
      <c r="Q220">
        <v>1</v>
      </c>
      <c r="R220">
        <v>5</v>
      </c>
      <c r="S220">
        <v>104.5214089032</v>
      </c>
      <c r="T220">
        <v>1836</v>
      </c>
      <c r="U220">
        <v>1836</v>
      </c>
      <c r="V220">
        <v>1</v>
      </c>
      <c r="W220">
        <v>0</v>
      </c>
      <c r="X220">
        <v>1786329.65</v>
      </c>
      <c r="Y220">
        <v>1786329.65</v>
      </c>
    </row>
    <row r="221" spans="1:25" x14ac:dyDescent="0.25">
      <c r="A221">
        <v>20</v>
      </c>
      <c r="B221" t="s">
        <v>25</v>
      </c>
      <c r="C221" t="s">
        <v>26</v>
      </c>
      <c r="D221" t="s">
        <v>3584</v>
      </c>
      <c r="E221">
        <v>209909</v>
      </c>
      <c r="G221" t="s">
        <v>3585</v>
      </c>
      <c r="H221" t="s">
        <v>2652</v>
      </c>
      <c r="I221" t="s">
        <v>3585</v>
      </c>
      <c r="L221" t="b">
        <v>0</v>
      </c>
      <c r="M221" t="s">
        <v>50</v>
      </c>
      <c r="N221" t="s">
        <v>32</v>
      </c>
      <c r="O221" t="s">
        <v>26</v>
      </c>
      <c r="P221" t="s">
        <v>33</v>
      </c>
      <c r="Q221">
        <v>1</v>
      </c>
      <c r="R221">
        <v>5</v>
      </c>
      <c r="S221">
        <v>104.5214348248</v>
      </c>
      <c r="T221">
        <v>4081</v>
      </c>
      <c r="U221">
        <v>4081</v>
      </c>
      <c r="V221">
        <v>1</v>
      </c>
      <c r="W221">
        <v>0</v>
      </c>
      <c r="X221">
        <v>3970601.95</v>
      </c>
      <c r="Y221">
        <v>3970601.95</v>
      </c>
    </row>
    <row r="222" spans="1:25" x14ac:dyDescent="0.25">
      <c r="A222">
        <v>20</v>
      </c>
      <c r="B222" t="s">
        <v>25</v>
      </c>
      <c r="C222" t="s">
        <v>26</v>
      </c>
      <c r="D222" t="s">
        <v>3586</v>
      </c>
      <c r="E222">
        <v>217846</v>
      </c>
      <c r="G222" t="s">
        <v>3587</v>
      </c>
      <c r="H222" t="s">
        <v>3588</v>
      </c>
      <c r="I222" t="s">
        <v>3587</v>
      </c>
      <c r="L222" t="b">
        <v>0</v>
      </c>
      <c r="M222" t="s">
        <v>50</v>
      </c>
      <c r="N222" t="s">
        <v>26</v>
      </c>
      <c r="P222" t="s">
        <v>33</v>
      </c>
      <c r="Q222">
        <v>1</v>
      </c>
      <c r="R222">
        <v>5</v>
      </c>
      <c r="S222">
        <v>101.33164494170001</v>
      </c>
      <c r="T222">
        <v>1866864</v>
      </c>
      <c r="U222">
        <v>1866864</v>
      </c>
      <c r="V222">
        <v>1</v>
      </c>
      <c r="W222">
        <v>0</v>
      </c>
      <c r="X222">
        <v>1891724</v>
      </c>
      <c r="Y222">
        <v>1891724</v>
      </c>
    </row>
    <row r="223" spans="1:25" x14ac:dyDescent="0.25">
      <c r="A223">
        <v>20</v>
      </c>
      <c r="B223" t="s">
        <v>25</v>
      </c>
      <c r="C223" t="s">
        <v>26</v>
      </c>
      <c r="D223" t="s">
        <v>3589</v>
      </c>
      <c r="E223">
        <v>217848</v>
      </c>
      <c r="G223" t="s">
        <v>3590</v>
      </c>
      <c r="H223" t="s">
        <v>3588</v>
      </c>
      <c r="I223" t="s">
        <v>3590</v>
      </c>
      <c r="L223" t="b">
        <v>0</v>
      </c>
      <c r="M223" t="s">
        <v>50</v>
      </c>
      <c r="N223" t="s">
        <v>26</v>
      </c>
      <c r="P223" t="s">
        <v>33</v>
      </c>
      <c r="Q223">
        <v>1</v>
      </c>
      <c r="R223">
        <v>5</v>
      </c>
      <c r="S223">
        <v>101.50167076709999</v>
      </c>
      <c r="T223">
        <v>8735803</v>
      </c>
      <c r="U223">
        <v>8735803</v>
      </c>
      <c r="V223">
        <v>1</v>
      </c>
      <c r="W223">
        <v>0</v>
      </c>
      <c r="X223">
        <v>8866986</v>
      </c>
      <c r="Y223">
        <v>8866986</v>
      </c>
    </row>
    <row r="224" spans="1:25" x14ac:dyDescent="0.25">
      <c r="A224">
        <v>20</v>
      </c>
      <c r="B224" t="s">
        <v>25</v>
      </c>
      <c r="C224" t="s">
        <v>26</v>
      </c>
      <c r="D224" t="s">
        <v>3591</v>
      </c>
      <c r="E224">
        <v>217776</v>
      </c>
      <c r="G224" t="s">
        <v>3592</v>
      </c>
      <c r="H224" t="s">
        <v>3588</v>
      </c>
      <c r="I224" t="s">
        <v>3592</v>
      </c>
      <c r="L224" t="b">
        <v>0</v>
      </c>
      <c r="M224" t="s">
        <v>50</v>
      </c>
      <c r="N224" t="s">
        <v>26</v>
      </c>
      <c r="P224" t="s">
        <v>33</v>
      </c>
      <c r="Q224">
        <v>1</v>
      </c>
      <c r="R224">
        <v>5</v>
      </c>
      <c r="S224">
        <v>101.3316608794</v>
      </c>
      <c r="T224">
        <v>5590988</v>
      </c>
      <c r="U224">
        <v>5590988</v>
      </c>
      <c r="V224">
        <v>1</v>
      </c>
      <c r="W224">
        <v>0</v>
      </c>
      <c r="X224">
        <v>5665441</v>
      </c>
      <c r="Y224">
        <v>5665441</v>
      </c>
    </row>
    <row r="225" spans="1:25" x14ac:dyDescent="0.25">
      <c r="A225">
        <v>20</v>
      </c>
      <c r="B225" t="s">
        <v>25</v>
      </c>
      <c r="C225" t="s">
        <v>26</v>
      </c>
      <c r="D225" t="s">
        <v>3593</v>
      </c>
      <c r="E225">
        <v>217839</v>
      </c>
      <c r="G225" t="s">
        <v>3594</v>
      </c>
      <c r="H225" t="s">
        <v>3588</v>
      </c>
      <c r="I225" t="s">
        <v>3594</v>
      </c>
      <c r="L225" t="b">
        <v>0</v>
      </c>
      <c r="M225" t="s">
        <v>50</v>
      </c>
      <c r="N225" t="s">
        <v>26</v>
      </c>
      <c r="P225" t="s">
        <v>33</v>
      </c>
      <c r="Q225">
        <v>1</v>
      </c>
      <c r="R225">
        <v>5</v>
      </c>
      <c r="S225">
        <v>101.3883406817</v>
      </c>
      <c r="T225">
        <v>6070268</v>
      </c>
      <c r="U225">
        <v>6070268</v>
      </c>
      <c r="V225">
        <v>1</v>
      </c>
      <c r="W225">
        <v>0</v>
      </c>
      <c r="X225">
        <v>6154544</v>
      </c>
      <c r="Y225">
        <v>6154544</v>
      </c>
    </row>
    <row r="226" spans="1:25" x14ac:dyDescent="0.25">
      <c r="A226">
        <v>20</v>
      </c>
      <c r="B226" t="s">
        <v>25</v>
      </c>
      <c r="C226" t="s">
        <v>26</v>
      </c>
      <c r="D226" t="s">
        <v>3595</v>
      </c>
      <c r="E226">
        <v>217798</v>
      </c>
      <c r="G226" t="s">
        <v>3596</v>
      </c>
      <c r="H226" t="s">
        <v>3588</v>
      </c>
      <c r="I226" t="s">
        <v>3596</v>
      </c>
      <c r="L226" t="b">
        <v>0</v>
      </c>
      <c r="M226" t="s">
        <v>50</v>
      </c>
      <c r="N226" t="s">
        <v>26</v>
      </c>
      <c r="P226" t="s">
        <v>33</v>
      </c>
      <c r="Q226">
        <v>1</v>
      </c>
      <c r="R226">
        <v>5</v>
      </c>
      <c r="S226">
        <v>101.3316621484</v>
      </c>
      <c r="T226">
        <v>1361907</v>
      </c>
      <c r="U226">
        <v>1361907</v>
      </c>
      <c r="V226">
        <v>1</v>
      </c>
      <c r="W226">
        <v>0</v>
      </c>
      <c r="X226">
        <v>1380043</v>
      </c>
      <c r="Y226">
        <v>1380043</v>
      </c>
    </row>
    <row r="227" spans="1:25" x14ac:dyDescent="0.25">
      <c r="A227">
        <v>20</v>
      </c>
      <c r="B227" t="s">
        <v>25</v>
      </c>
      <c r="C227" t="s">
        <v>26</v>
      </c>
      <c r="D227" t="s">
        <v>3597</v>
      </c>
      <c r="E227">
        <v>217799</v>
      </c>
      <c r="G227" t="s">
        <v>3598</v>
      </c>
      <c r="H227" t="s">
        <v>3588</v>
      </c>
      <c r="I227" t="s">
        <v>3598</v>
      </c>
      <c r="L227" t="b">
        <v>0</v>
      </c>
      <c r="M227" t="s">
        <v>50</v>
      </c>
      <c r="N227" t="s">
        <v>26</v>
      </c>
      <c r="P227" t="s">
        <v>33</v>
      </c>
      <c r="Q227">
        <v>1</v>
      </c>
      <c r="R227">
        <v>5</v>
      </c>
      <c r="S227">
        <v>101.3316579184</v>
      </c>
      <c r="T227">
        <v>2775037</v>
      </c>
      <c r="U227">
        <v>2775037</v>
      </c>
      <c r="V227">
        <v>1</v>
      </c>
      <c r="W227">
        <v>0</v>
      </c>
      <c r="X227">
        <v>2811991</v>
      </c>
      <c r="Y227">
        <v>2811991</v>
      </c>
    </row>
    <row r="228" spans="1:25" x14ac:dyDescent="0.25">
      <c r="A228">
        <v>20</v>
      </c>
      <c r="B228" t="s">
        <v>25</v>
      </c>
      <c r="C228" t="s">
        <v>26</v>
      </c>
      <c r="D228" t="s">
        <v>3599</v>
      </c>
      <c r="E228">
        <v>217810</v>
      </c>
      <c r="G228" t="s">
        <v>3600</v>
      </c>
      <c r="H228" t="s">
        <v>3588</v>
      </c>
      <c r="I228" t="s">
        <v>3600</v>
      </c>
      <c r="L228" t="b">
        <v>0</v>
      </c>
      <c r="M228" t="s">
        <v>50</v>
      </c>
      <c r="N228" t="s">
        <v>26</v>
      </c>
      <c r="P228" t="s">
        <v>33</v>
      </c>
      <c r="Q228">
        <v>1</v>
      </c>
      <c r="R228">
        <v>5</v>
      </c>
      <c r="S228">
        <v>101.3316746175</v>
      </c>
      <c r="T228">
        <v>269285</v>
      </c>
      <c r="U228">
        <v>269285</v>
      </c>
      <c r="V228">
        <v>1</v>
      </c>
      <c r="W228">
        <v>0</v>
      </c>
      <c r="X228">
        <v>272871</v>
      </c>
      <c r="Y228">
        <v>272871</v>
      </c>
    </row>
    <row r="229" spans="1:25" x14ac:dyDescent="0.25">
      <c r="A229">
        <v>20</v>
      </c>
      <c r="B229" t="s">
        <v>25</v>
      </c>
      <c r="C229" t="s">
        <v>26</v>
      </c>
      <c r="D229" t="s">
        <v>3601</v>
      </c>
      <c r="E229">
        <v>217793</v>
      </c>
      <c r="G229" t="s">
        <v>3602</v>
      </c>
      <c r="H229" t="s">
        <v>3588</v>
      </c>
      <c r="I229" t="s">
        <v>3602</v>
      </c>
      <c r="L229" t="b">
        <v>0</v>
      </c>
      <c r="M229" t="s">
        <v>50</v>
      </c>
      <c r="N229" t="s">
        <v>26</v>
      </c>
      <c r="P229" t="s">
        <v>33</v>
      </c>
      <c r="Q229">
        <v>1</v>
      </c>
      <c r="R229">
        <v>5</v>
      </c>
      <c r="S229">
        <v>101.3316713557</v>
      </c>
      <c r="T229">
        <v>542326</v>
      </c>
      <c r="U229">
        <v>542326</v>
      </c>
      <c r="V229">
        <v>1</v>
      </c>
      <c r="W229">
        <v>0</v>
      </c>
      <c r="X229">
        <v>549548</v>
      </c>
      <c r="Y229">
        <v>549548</v>
      </c>
    </row>
    <row r="230" spans="1:25" x14ac:dyDescent="0.25">
      <c r="A230">
        <v>20</v>
      </c>
      <c r="B230" t="s">
        <v>25</v>
      </c>
      <c r="C230" t="s">
        <v>26</v>
      </c>
      <c r="D230" t="s">
        <v>3603</v>
      </c>
      <c r="E230">
        <v>217792</v>
      </c>
      <c r="G230" t="s">
        <v>3604</v>
      </c>
      <c r="H230" t="s">
        <v>3588</v>
      </c>
      <c r="I230" t="s">
        <v>3604</v>
      </c>
      <c r="L230" t="b">
        <v>0</v>
      </c>
      <c r="M230" t="s">
        <v>50</v>
      </c>
      <c r="N230" t="s">
        <v>26</v>
      </c>
      <c r="P230" t="s">
        <v>33</v>
      </c>
      <c r="Q230">
        <v>1</v>
      </c>
      <c r="R230">
        <v>5</v>
      </c>
      <c r="S230">
        <v>101.3317027705</v>
      </c>
      <c r="T230">
        <v>148006</v>
      </c>
      <c r="U230">
        <v>148006</v>
      </c>
      <c r="V230">
        <v>1</v>
      </c>
      <c r="W230">
        <v>0</v>
      </c>
      <c r="X230">
        <v>149977</v>
      </c>
      <c r="Y230">
        <v>149977</v>
      </c>
    </row>
    <row r="231" spans="1:25" x14ac:dyDescent="0.25">
      <c r="A231">
        <v>20</v>
      </c>
      <c r="B231" t="s">
        <v>25</v>
      </c>
      <c r="C231" t="s">
        <v>26</v>
      </c>
      <c r="D231" t="s">
        <v>3605</v>
      </c>
      <c r="E231">
        <v>218542</v>
      </c>
      <c r="G231" t="s">
        <v>3606</v>
      </c>
      <c r="H231" t="s">
        <v>3588</v>
      </c>
      <c r="I231" t="s">
        <v>3606</v>
      </c>
      <c r="L231" t="b">
        <v>0</v>
      </c>
      <c r="M231" t="s">
        <v>50</v>
      </c>
      <c r="N231" t="s">
        <v>26</v>
      </c>
      <c r="P231" t="s">
        <v>33</v>
      </c>
      <c r="Q231">
        <v>1</v>
      </c>
      <c r="R231">
        <v>5</v>
      </c>
      <c r="S231">
        <v>101.756665747</v>
      </c>
      <c r="T231">
        <v>22066577</v>
      </c>
      <c r="U231">
        <v>22066577</v>
      </c>
      <c r="V231">
        <v>1</v>
      </c>
      <c r="W231">
        <v>0</v>
      </c>
      <c r="X231">
        <v>22454213</v>
      </c>
      <c r="Y231">
        <v>22454213</v>
      </c>
    </row>
    <row r="232" spans="1:25" x14ac:dyDescent="0.25">
      <c r="A232">
        <v>20</v>
      </c>
      <c r="B232" t="s">
        <v>25</v>
      </c>
      <c r="C232" t="s">
        <v>26</v>
      </c>
      <c r="D232" t="s">
        <v>3607</v>
      </c>
      <c r="E232">
        <v>218543</v>
      </c>
      <c r="G232" t="s">
        <v>3608</v>
      </c>
      <c r="H232" t="s">
        <v>3588</v>
      </c>
      <c r="I232" t="s">
        <v>3608</v>
      </c>
      <c r="L232" t="b">
        <v>0</v>
      </c>
      <c r="M232" t="s">
        <v>50</v>
      </c>
      <c r="N232" t="s">
        <v>26</v>
      </c>
      <c r="P232" t="s">
        <v>33</v>
      </c>
      <c r="Q232">
        <v>1</v>
      </c>
      <c r="R232">
        <v>5</v>
      </c>
      <c r="S232">
        <v>101.75666388080001</v>
      </c>
      <c r="T232">
        <v>7288133</v>
      </c>
      <c r="U232">
        <v>7288133</v>
      </c>
      <c r="V232">
        <v>1</v>
      </c>
      <c r="W232">
        <v>0</v>
      </c>
      <c r="X232">
        <v>7416161</v>
      </c>
      <c r="Y232">
        <v>7416161</v>
      </c>
    </row>
    <row r="233" spans="1:25" x14ac:dyDescent="0.25">
      <c r="A233">
        <v>20</v>
      </c>
      <c r="B233" t="s">
        <v>25</v>
      </c>
      <c r="C233" t="s">
        <v>26</v>
      </c>
      <c r="D233" t="s">
        <v>3609</v>
      </c>
      <c r="E233">
        <v>219015</v>
      </c>
      <c r="G233" t="s">
        <v>3610</v>
      </c>
      <c r="H233" t="s">
        <v>3588</v>
      </c>
      <c r="I233" t="s">
        <v>3610</v>
      </c>
      <c r="L233" t="b">
        <v>0</v>
      </c>
      <c r="M233" t="s">
        <v>50</v>
      </c>
      <c r="N233" t="s">
        <v>26</v>
      </c>
      <c r="P233" t="s">
        <v>33</v>
      </c>
      <c r="Q233">
        <v>1</v>
      </c>
      <c r="R233">
        <v>5</v>
      </c>
      <c r="S233">
        <v>101.7849997081</v>
      </c>
      <c r="T233">
        <v>42737430</v>
      </c>
      <c r="U233">
        <v>42737430</v>
      </c>
      <c r="V233">
        <v>1</v>
      </c>
      <c r="W233">
        <v>0</v>
      </c>
      <c r="X233">
        <v>43500293</v>
      </c>
      <c r="Y233">
        <v>43500293</v>
      </c>
    </row>
    <row r="234" spans="1:25" x14ac:dyDescent="0.25">
      <c r="A234">
        <v>20</v>
      </c>
      <c r="B234" t="s">
        <v>25</v>
      </c>
      <c r="C234" t="s">
        <v>26</v>
      </c>
      <c r="D234" t="s">
        <v>3611</v>
      </c>
      <c r="E234">
        <v>219329</v>
      </c>
      <c r="G234" t="s">
        <v>3612</v>
      </c>
      <c r="H234" t="s">
        <v>3613</v>
      </c>
      <c r="I234" t="s">
        <v>3612</v>
      </c>
      <c r="L234" t="b">
        <v>0</v>
      </c>
      <c r="M234" t="s">
        <v>50</v>
      </c>
      <c r="N234" t="s">
        <v>26</v>
      </c>
      <c r="P234" t="s">
        <v>33</v>
      </c>
      <c r="Q234">
        <v>1</v>
      </c>
      <c r="R234">
        <v>5</v>
      </c>
      <c r="S234">
        <v>101.43920260900001</v>
      </c>
      <c r="T234">
        <v>9871642</v>
      </c>
      <c r="U234">
        <v>9871642</v>
      </c>
      <c r="V234">
        <v>1</v>
      </c>
      <c r="W234">
        <v>0</v>
      </c>
      <c r="X234">
        <v>10013714.93</v>
      </c>
      <c r="Y234">
        <v>10013714.93</v>
      </c>
    </row>
    <row r="235" spans="1:25" x14ac:dyDescent="0.25">
      <c r="A235">
        <v>20</v>
      </c>
      <c r="B235" t="s">
        <v>25</v>
      </c>
      <c r="C235" t="s">
        <v>26</v>
      </c>
      <c r="D235" t="s">
        <v>3614</v>
      </c>
      <c r="E235">
        <v>219330</v>
      </c>
      <c r="G235" t="s">
        <v>3615</v>
      </c>
      <c r="H235" t="s">
        <v>3613</v>
      </c>
      <c r="I235" t="s">
        <v>3615</v>
      </c>
      <c r="L235" t="b">
        <v>0</v>
      </c>
      <c r="M235" t="s">
        <v>50</v>
      </c>
      <c r="N235" t="s">
        <v>26</v>
      </c>
      <c r="P235" t="s">
        <v>33</v>
      </c>
      <c r="Q235">
        <v>1</v>
      </c>
      <c r="R235">
        <v>5</v>
      </c>
      <c r="S235">
        <v>101.44048081450001</v>
      </c>
      <c r="T235">
        <v>14106583</v>
      </c>
      <c r="U235">
        <v>14106583</v>
      </c>
      <c r="V235">
        <v>1</v>
      </c>
      <c r="W235">
        <v>0</v>
      </c>
      <c r="X235">
        <v>14309785.619999999</v>
      </c>
      <c r="Y235">
        <v>14309785.619999999</v>
      </c>
    </row>
    <row r="236" spans="1:25" x14ac:dyDescent="0.25">
      <c r="A236">
        <v>20</v>
      </c>
      <c r="B236" t="s">
        <v>25</v>
      </c>
      <c r="C236" t="s">
        <v>26</v>
      </c>
      <c r="D236" t="s">
        <v>3616</v>
      </c>
      <c r="E236">
        <v>219339</v>
      </c>
      <c r="G236" t="s">
        <v>3617</v>
      </c>
      <c r="H236" t="s">
        <v>3618</v>
      </c>
      <c r="I236" t="s">
        <v>3617</v>
      </c>
      <c r="L236" t="b">
        <v>0</v>
      </c>
      <c r="M236" t="s">
        <v>50</v>
      </c>
      <c r="N236" t="s">
        <v>26</v>
      </c>
      <c r="P236" t="s">
        <v>33</v>
      </c>
      <c r="Q236">
        <v>1</v>
      </c>
      <c r="R236">
        <v>5</v>
      </c>
      <c r="S236">
        <v>101.4315983565</v>
      </c>
      <c r="T236">
        <v>13052199</v>
      </c>
      <c r="U236">
        <v>13052199</v>
      </c>
      <c r="V236">
        <v>1</v>
      </c>
      <c r="W236">
        <v>0</v>
      </c>
      <c r="X236">
        <v>13239054.07</v>
      </c>
      <c r="Y236">
        <v>13239054.07</v>
      </c>
    </row>
    <row r="237" spans="1:25" x14ac:dyDescent="0.25">
      <c r="A237">
        <v>20</v>
      </c>
      <c r="B237" t="s">
        <v>25</v>
      </c>
      <c r="C237" t="s">
        <v>26</v>
      </c>
      <c r="D237" t="s">
        <v>3619</v>
      </c>
      <c r="E237">
        <v>219348</v>
      </c>
      <c r="G237" t="s">
        <v>3620</v>
      </c>
      <c r="H237" t="s">
        <v>3618</v>
      </c>
      <c r="I237" t="s">
        <v>3620</v>
      </c>
      <c r="L237" t="b">
        <v>0</v>
      </c>
      <c r="M237" t="s">
        <v>50</v>
      </c>
      <c r="N237" t="s">
        <v>26</v>
      </c>
      <c r="P237" t="s">
        <v>33</v>
      </c>
      <c r="Q237">
        <v>1</v>
      </c>
      <c r="R237">
        <v>5</v>
      </c>
      <c r="S237">
        <v>101.18385028900001</v>
      </c>
      <c r="T237">
        <v>15174216</v>
      </c>
      <c r="U237">
        <v>15174216</v>
      </c>
      <c r="V237">
        <v>1</v>
      </c>
      <c r="W237">
        <v>0</v>
      </c>
      <c r="X237">
        <v>15353856</v>
      </c>
      <c r="Y237">
        <v>15353856</v>
      </c>
    </row>
    <row r="238" spans="1:25" x14ac:dyDescent="0.25">
      <c r="A238">
        <v>20</v>
      </c>
      <c r="B238" t="s">
        <v>25</v>
      </c>
      <c r="C238" t="s">
        <v>26</v>
      </c>
      <c r="D238" t="s">
        <v>3621</v>
      </c>
      <c r="E238">
        <v>219356</v>
      </c>
      <c r="G238" t="s">
        <v>3622</v>
      </c>
      <c r="H238" t="s">
        <v>3618</v>
      </c>
      <c r="I238" t="s">
        <v>3622</v>
      </c>
      <c r="L238" t="b">
        <v>0</v>
      </c>
      <c r="M238" t="s">
        <v>50</v>
      </c>
      <c r="N238" t="s">
        <v>26</v>
      </c>
      <c r="P238" t="s">
        <v>33</v>
      </c>
      <c r="Q238">
        <v>1</v>
      </c>
      <c r="R238">
        <v>5</v>
      </c>
      <c r="S238">
        <v>101.361625245</v>
      </c>
      <c r="T238">
        <v>26368195</v>
      </c>
      <c r="U238">
        <v>26368195</v>
      </c>
      <c r="V238">
        <v>1</v>
      </c>
      <c r="W238">
        <v>0</v>
      </c>
      <c r="X238">
        <v>26727231</v>
      </c>
      <c r="Y238">
        <v>26727231</v>
      </c>
    </row>
    <row r="239" spans="1:25" x14ac:dyDescent="0.25">
      <c r="A239">
        <v>20</v>
      </c>
      <c r="B239" t="s">
        <v>25</v>
      </c>
      <c r="C239" t="s">
        <v>26</v>
      </c>
      <c r="D239" t="s">
        <v>3623</v>
      </c>
      <c r="E239">
        <v>219357</v>
      </c>
      <c r="G239" t="s">
        <v>3624</v>
      </c>
      <c r="H239" t="s">
        <v>3618</v>
      </c>
      <c r="I239" t="s">
        <v>3624</v>
      </c>
      <c r="L239" t="b">
        <v>0</v>
      </c>
      <c r="M239" t="s">
        <v>50</v>
      </c>
      <c r="N239" t="s">
        <v>26</v>
      </c>
      <c r="P239" t="s">
        <v>33</v>
      </c>
      <c r="Q239">
        <v>1</v>
      </c>
      <c r="R239">
        <v>5</v>
      </c>
      <c r="S239">
        <v>101.05092966879999</v>
      </c>
      <c r="T239">
        <v>12953864</v>
      </c>
      <c r="U239">
        <v>12953864</v>
      </c>
      <c r="V239">
        <v>1</v>
      </c>
      <c r="W239">
        <v>0</v>
      </c>
      <c r="X239">
        <v>13090000</v>
      </c>
      <c r="Y239">
        <v>13090000</v>
      </c>
    </row>
    <row r="240" spans="1:25" x14ac:dyDescent="0.25">
      <c r="A240">
        <v>20</v>
      </c>
      <c r="B240" t="s">
        <v>25</v>
      </c>
      <c r="C240" t="s">
        <v>26</v>
      </c>
      <c r="D240" t="s">
        <v>3625</v>
      </c>
      <c r="E240">
        <v>219358</v>
      </c>
      <c r="G240" t="s">
        <v>3626</v>
      </c>
      <c r="H240" t="s">
        <v>3618</v>
      </c>
      <c r="I240" t="s">
        <v>3626</v>
      </c>
      <c r="L240" t="b">
        <v>0</v>
      </c>
      <c r="M240" t="s">
        <v>50</v>
      </c>
      <c r="N240" t="s">
        <v>26</v>
      </c>
      <c r="P240" t="s">
        <v>33</v>
      </c>
      <c r="Q240">
        <v>1</v>
      </c>
      <c r="R240">
        <v>5</v>
      </c>
      <c r="S240">
        <v>101.433809403</v>
      </c>
      <c r="T240">
        <v>12857434</v>
      </c>
      <c r="U240">
        <v>12857434</v>
      </c>
      <c r="V240">
        <v>1</v>
      </c>
      <c r="W240">
        <v>0</v>
      </c>
      <c r="X240">
        <v>13041785.1</v>
      </c>
      <c r="Y240">
        <v>13041785.1</v>
      </c>
    </row>
    <row r="241" spans="1:25" x14ac:dyDescent="0.25">
      <c r="A241">
        <v>20</v>
      </c>
      <c r="B241" t="s">
        <v>25</v>
      </c>
      <c r="C241" t="s">
        <v>26</v>
      </c>
      <c r="D241" t="s">
        <v>3627</v>
      </c>
      <c r="E241">
        <v>219359</v>
      </c>
      <c r="G241" t="s">
        <v>3628</v>
      </c>
      <c r="H241" t="s">
        <v>3618</v>
      </c>
      <c r="I241" t="s">
        <v>3628</v>
      </c>
      <c r="L241" t="b">
        <v>0</v>
      </c>
      <c r="M241" t="s">
        <v>50</v>
      </c>
      <c r="N241" t="s">
        <v>26</v>
      </c>
      <c r="P241" t="s">
        <v>33</v>
      </c>
      <c r="Q241">
        <v>1</v>
      </c>
      <c r="R241">
        <v>5</v>
      </c>
      <c r="S241">
        <v>101.1173442763</v>
      </c>
      <c r="T241">
        <v>14766532</v>
      </c>
      <c r="U241">
        <v>14766532</v>
      </c>
      <c r="V241">
        <v>1</v>
      </c>
      <c r="W241">
        <v>0</v>
      </c>
      <c r="X241">
        <v>14931525</v>
      </c>
      <c r="Y241">
        <v>14931525</v>
      </c>
    </row>
    <row r="242" spans="1:25" x14ac:dyDescent="0.25">
      <c r="A242">
        <v>20</v>
      </c>
      <c r="B242" t="s">
        <v>25</v>
      </c>
      <c r="C242" t="s">
        <v>26</v>
      </c>
      <c r="D242" t="s">
        <v>3629</v>
      </c>
      <c r="E242">
        <v>219361</v>
      </c>
      <c r="G242" t="s">
        <v>3630</v>
      </c>
      <c r="H242" t="s">
        <v>3618</v>
      </c>
      <c r="I242" t="s">
        <v>3630</v>
      </c>
      <c r="L242" t="b">
        <v>0</v>
      </c>
      <c r="M242" t="s">
        <v>50</v>
      </c>
      <c r="N242" t="s">
        <v>26</v>
      </c>
      <c r="P242" t="s">
        <v>33</v>
      </c>
      <c r="Q242">
        <v>1</v>
      </c>
      <c r="R242">
        <v>5</v>
      </c>
      <c r="S242">
        <v>101.4315975895</v>
      </c>
      <c r="T242">
        <v>27182783</v>
      </c>
      <c r="U242">
        <v>27182783</v>
      </c>
      <c r="V242">
        <v>1</v>
      </c>
      <c r="W242">
        <v>0</v>
      </c>
      <c r="X242">
        <v>27571931.07</v>
      </c>
      <c r="Y242">
        <v>27571931.07</v>
      </c>
    </row>
    <row r="243" spans="1:25" x14ac:dyDescent="0.25">
      <c r="A243">
        <v>20</v>
      </c>
      <c r="B243" t="s">
        <v>25</v>
      </c>
      <c r="C243" t="s">
        <v>26</v>
      </c>
      <c r="D243" t="s">
        <v>3631</v>
      </c>
      <c r="E243">
        <v>219383</v>
      </c>
      <c r="G243" t="s">
        <v>3632</v>
      </c>
      <c r="H243" t="s">
        <v>3618</v>
      </c>
      <c r="I243" t="s">
        <v>3632</v>
      </c>
      <c r="L243" t="b">
        <v>0</v>
      </c>
      <c r="M243" t="s">
        <v>50</v>
      </c>
      <c r="N243" t="s">
        <v>26</v>
      </c>
      <c r="P243" t="s">
        <v>33</v>
      </c>
      <c r="Q243">
        <v>1</v>
      </c>
      <c r="R243">
        <v>5</v>
      </c>
      <c r="S243">
        <v>101.4319140745</v>
      </c>
      <c r="T243">
        <v>15499708</v>
      </c>
      <c r="U243">
        <v>15499708</v>
      </c>
      <c r="V243">
        <v>1</v>
      </c>
      <c r="W243">
        <v>0</v>
      </c>
      <c r="X243">
        <v>15721650.5</v>
      </c>
      <c r="Y243">
        <v>15721650.5</v>
      </c>
    </row>
    <row r="244" spans="1:25" x14ac:dyDescent="0.25">
      <c r="A244">
        <v>20</v>
      </c>
      <c r="B244" t="s">
        <v>25</v>
      </c>
      <c r="C244" t="s">
        <v>26</v>
      </c>
      <c r="D244" t="s">
        <v>3633</v>
      </c>
      <c r="E244">
        <v>219386</v>
      </c>
      <c r="G244" t="s">
        <v>3634</v>
      </c>
      <c r="H244" t="s">
        <v>3618</v>
      </c>
      <c r="I244" t="s">
        <v>3634</v>
      </c>
      <c r="L244" t="b">
        <v>0</v>
      </c>
      <c r="M244" t="s">
        <v>50</v>
      </c>
      <c r="N244" t="s">
        <v>26</v>
      </c>
      <c r="P244" t="s">
        <v>33</v>
      </c>
      <c r="Q244">
        <v>1</v>
      </c>
      <c r="R244">
        <v>5</v>
      </c>
      <c r="S244">
        <v>101.1838494628</v>
      </c>
      <c r="T244">
        <v>13835205</v>
      </c>
      <c r="U244">
        <v>13835205</v>
      </c>
      <c r="V244">
        <v>1</v>
      </c>
      <c r="W244">
        <v>0</v>
      </c>
      <c r="X244">
        <v>13998993</v>
      </c>
      <c r="Y244">
        <v>13998993</v>
      </c>
    </row>
    <row r="245" spans="1:25" x14ac:dyDescent="0.25">
      <c r="A245">
        <v>20</v>
      </c>
      <c r="B245" t="s">
        <v>25</v>
      </c>
      <c r="C245" t="s">
        <v>26</v>
      </c>
      <c r="D245" t="s">
        <v>3635</v>
      </c>
      <c r="E245">
        <v>219388</v>
      </c>
      <c r="G245" t="s">
        <v>3636</v>
      </c>
      <c r="H245" t="s">
        <v>3618</v>
      </c>
      <c r="I245" t="s">
        <v>3636</v>
      </c>
      <c r="L245" t="b">
        <v>0</v>
      </c>
      <c r="M245" t="s">
        <v>50</v>
      </c>
      <c r="N245" t="s">
        <v>26</v>
      </c>
      <c r="P245" t="s">
        <v>33</v>
      </c>
      <c r="Q245">
        <v>1</v>
      </c>
      <c r="R245">
        <v>5</v>
      </c>
      <c r="S245">
        <v>101.18385169840001</v>
      </c>
      <c r="T245">
        <v>27342614</v>
      </c>
      <c r="U245">
        <v>27342614</v>
      </c>
      <c r="V245">
        <v>1</v>
      </c>
      <c r="W245">
        <v>0</v>
      </c>
      <c r="X245">
        <v>27666310</v>
      </c>
      <c r="Y245">
        <v>27666310</v>
      </c>
    </row>
    <row r="246" spans="1:25" x14ac:dyDescent="0.25">
      <c r="A246">
        <v>20</v>
      </c>
      <c r="B246" t="s">
        <v>25</v>
      </c>
      <c r="C246" t="s">
        <v>26</v>
      </c>
      <c r="D246" t="s">
        <v>3637</v>
      </c>
      <c r="E246">
        <v>219390</v>
      </c>
      <c r="G246" t="s">
        <v>3638</v>
      </c>
      <c r="H246" t="s">
        <v>3618</v>
      </c>
      <c r="I246" t="s">
        <v>3638</v>
      </c>
      <c r="L246" t="b">
        <v>0</v>
      </c>
      <c r="M246" t="s">
        <v>50</v>
      </c>
      <c r="N246" t="s">
        <v>26</v>
      </c>
      <c r="P246" t="s">
        <v>33</v>
      </c>
      <c r="Q246">
        <v>1</v>
      </c>
      <c r="R246">
        <v>5</v>
      </c>
      <c r="S246">
        <v>101.43222938300001</v>
      </c>
      <c r="T246">
        <v>23170076</v>
      </c>
      <c r="U246">
        <v>23170076</v>
      </c>
      <c r="V246">
        <v>1</v>
      </c>
      <c r="W246">
        <v>0</v>
      </c>
      <c r="X246">
        <v>23501924.640000001</v>
      </c>
      <c r="Y246">
        <v>23501924.640000001</v>
      </c>
    </row>
    <row r="247" spans="1:25" x14ac:dyDescent="0.25">
      <c r="A247">
        <v>20</v>
      </c>
      <c r="B247" t="s">
        <v>25</v>
      </c>
      <c r="C247" t="s">
        <v>26</v>
      </c>
      <c r="D247" t="s">
        <v>3639</v>
      </c>
      <c r="E247">
        <v>219397</v>
      </c>
      <c r="G247" t="s">
        <v>3640</v>
      </c>
      <c r="H247" t="s">
        <v>3618</v>
      </c>
      <c r="I247" t="s">
        <v>3640</v>
      </c>
      <c r="L247" t="b">
        <v>0</v>
      </c>
      <c r="M247" t="s">
        <v>50</v>
      </c>
      <c r="N247" t="s">
        <v>26</v>
      </c>
      <c r="P247" t="s">
        <v>33</v>
      </c>
      <c r="Q247">
        <v>1</v>
      </c>
      <c r="R247">
        <v>5</v>
      </c>
      <c r="S247">
        <v>101.43191048</v>
      </c>
      <c r="T247">
        <v>19079235</v>
      </c>
      <c r="U247">
        <v>19079235</v>
      </c>
      <c r="V247">
        <v>1</v>
      </c>
      <c r="W247">
        <v>0</v>
      </c>
      <c r="X247">
        <v>19352432.57</v>
      </c>
      <c r="Y247">
        <v>19352432.57</v>
      </c>
    </row>
    <row r="248" spans="1:25" x14ac:dyDescent="0.25">
      <c r="A248">
        <v>20</v>
      </c>
      <c r="B248" t="s">
        <v>25</v>
      </c>
      <c r="C248" t="s">
        <v>26</v>
      </c>
      <c r="D248" t="s">
        <v>3641</v>
      </c>
      <c r="E248">
        <v>219532</v>
      </c>
      <c r="G248" t="s">
        <v>3642</v>
      </c>
      <c r="H248" t="s">
        <v>3618</v>
      </c>
      <c r="I248" t="s">
        <v>3642</v>
      </c>
      <c r="L248" t="b">
        <v>0</v>
      </c>
      <c r="M248" t="s">
        <v>50</v>
      </c>
      <c r="N248" t="s">
        <v>26</v>
      </c>
      <c r="P248" t="s">
        <v>33</v>
      </c>
      <c r="Q248">
        <v>1</v>
      </c>
      <c r="R248">
        <v>5</v>
      </c>
      <c r="S248">
        <v>101.52210325119999</v>
      </c>
      <c r="T248">
        <v>16403501</v>
      </c>
      <c r="U248">
        <v>16403501</v>
      </c>
      <c r="V248">
        <v>1</v>
      </c>
      <c r="W248">
        <v>0</v>
      </c>
      <c r="X248">
        <v>16653179.220000001</v>
      </c>
      <c r="Y248">
        <v>16653179.220000001</v>
      </c>
    </row>
    <row r="249" spans="1:25" x14ac:dyDescent="0.25">
      <c r="A249">
        <v>20</v>
      </c>
      <c r="B249" t="s">
        <v>25</v>
      </c>
      <c r="C249" t="s">
        <v>26</v>
      </c>
      <c r="D249" t="s">
        <v>3643</v>
      </c>
      <c r="E249">
        <v>219533</v>
      </c>
      <c r="G249" t="s">
        <v>3644</v>
      </c>
      <c r="H249" t="s">
        <v>3618</v>
      </c>
      <c r="I249" t="s">
        <v>3644</v>
      </c>
      <c r="L249" t="b">
        <v>0</v>
      </c>
      <c r="M249" t="s">
        <v>50</v>
      </c>
      <c r="N249" t="s">
        <v>26</v>
      </c>
      <c r="P249" t="s">
        <v>33</v>
      </c>
      <c r="Q249">
        <v>1</v>
      </c>
      <c r="R249">
        <v>5</v>
      </c>
      <c r="S249">
        <v>101.52065347840001</v>
      </c>
      <c r="T249">
        <v>30812563</v>
      </c>
      <c r="U249">
        <v>30812563</v>
      </c>
      <c r="V249">
        <v>1</v>
      </c>
      <c r="W249">
        <v>0</v>
      </c>
      <c r="X249">
        <v>31281115.309999999</v>
      </c>
      <c r="Y249">
        <v>31281115.309999999</v>
      </c>
    </row>
    <row r="250" spans="1:25" x14ac:dyDescent="0.25">
      <c r="A250">
        <v>20</v>
      </c>
      <c r="B250" t="s">
        <v>25</v>
      </c>
      <c r="C250" t="s">
        <v>26</v>
      </c>
      <c r="D250" t="s">
        <v>3645</v>
      </c>
      <c r="E250">
        <v>219548</v>
      </c>
      <c r="G250" t="s">
        <v>3646</v>
      </c>
      <c r="H250" t="s">
        <v>3618</v>
      </c>
      <c r="I250" t="s">
        <v>3646</v>
      </c>
      <c r="L250" t="b">
        <v>0</v>
      </c>
      <c r="M250" t="s">
        <v>50</v>
      </c>
      <c r="N250" t="s">
        <v>26</v>
      </c>
      <c r="P250" t="s">
        <v>33</v>
      </c>
      <c r="Q250">
        <v>1</v>
      </c>
      <c r="R250">
        <v>5</v>
      </c>
      <c r="S250">
        <v>101.5170464256</v>
      </c>
      <c r="T250">
        <v>9371171</v>
      </c>
      <c r="U250">
        <v>9371171</v>
      </c>
      <c r="V250">
        <v>1</v>
      </c>
      <c r="W250">
        <v>0</v>
      </c>
      <c r="X250">
        <v>9513336.0099999998</v>
      </c>
      <c r="Y250">
        <v>9513336.0099999998</v>
      </c>
    </row>
    <row r="251" spans="1:25" x14ac:dyDescent="0.25">
      <c r="A251">
        <v>20</v>
      </c>
      <c r="B251" t="s">
        <v>25</v>
      </c>
      <c r="C251" t="s">
        <v>26</v>
      </c>
      <c r="D251" t="s">
        <v>3647</v>
      </c>
      <c r="E251">
        <v>219466</v>
      </c>
      <c r="G251" t="s">
        <v>3648</v>
      </c>
      <c r="H251" t="s">
        <v>3618</v>
      </c>
      <c r="I251" t="s">
        <v>3648</v>
      </c>
      <c r="L251" t="b">
        <v>0</v>
      </c>
      <c r="M251" t="s">
        <v>50</v>
      </c>
      <c r="N251" t="s">
        <v>26</v>
      </c>
      <c r="P251" t="s">
        <v>33</v>
      </c>
      <c r="Q251">
        <v>1</v>
      </c>
      <c r="R251">
        <v>5</v>
      </c>
      <c r="S251">
        <v>101.276077753</v>
      </c>
      <c r="T251">
        <v>13686235</v>
      </c>
      <c r="U251">
        <v>13686235</v>
      </c>
      <c r="V251">
        <v>1</v>
      </c>
      <c r="W251">
        <v>0</v>
      </c>
      <c r="X251">
        <v>13860882</v>
      </c>
      <c r="Y251">
        <v>13860882</v>
      </c>
    </row>
    <row r="252" spans="1:25" x14ac:dyDescent="0.25">
      <c r="A252">
        <v>20</v>
      </c>
      <c r="B252" t="s">
        <v>25</v>
      </c>
      <c r="C252" t="s">
        <v>26</v>
      </c>
      <c r="D252" t="s">
        <v>3649</v>
      </c>
      <c r="E252">
        <v>219464</v>
      </c>
      <c r="G252" t="s">
        <v>3650</v>
      </c>
      <c r="H252" t="s">
        <v>3618</v>
      </c>
      <c r="I252" t="s">
        <v>3650</v>
      </c>
      <c r="L252" t="b">
        <v>0</v>
      </c>
      <c r="M252" t="s">
        <v>50</v>
      </c>
      <c r="N252" t="s">
        <v>26</v>
      </c>
      <c r="P252" t="s">
        <v>33</v>
      </c>
      <c r="Q252">
        <v>1</v>
      </c>
      <c r="R252">
        <v>5</v>
      </c>
      <c r="S252">
        <v>101.276077753</v>
      </c>
      <c r="T252">
        <v>13686235</v>
      </c>
      <c r="U252">
        <v>13686235</v>
      </c>
      <c r="V252">
        <v>1</v>
      </c>
      <c r="W252">
        <v>0</v>
      </c>
      <c r="X252">
        <v>13860882</v>
      </c>
      <c r="Y252">
        <v>13860882</v>
      </c>
    </row>
    <row r="253" spans="1:25" x14ac:dyDescent="0.25">
      <c r="A253">
        <v>20</v>
      </c>
      <c r="B253" t="s">
        <v>25</v>
      </c>
      <c r="C253" t="s">
        <v>26</v>
      </c>
      <c r="D253" t="s">
        <v>3651</v>
      </c>
      <c r="E253">
        <v>219465</v>
      </c>
      <c r="G253" t="s">
        <v>3652</v>
      </c>
      <c r="H253" t="s">
        <v>3618</v>
      </c>
      <c r="I253" t="s">
        <v>3652</v>
      </c>
      <c r="L253" t="b">
        <v>0</v>
      </c>
      <c r="M253" t="s">
        <v>50</v>
      </c>
      <c r="N253" t="s">
        <v>26</v>
      </c>
      <c r="P253" t="s">
        <v>33</v>
      </c>
      <c r="Q253">
        <v>1</v>
      </c>
      <c r="R253">
        <v>5</v>
      </c>
      <c r="S253">
        <v>101.276077753</v>
      </c>
      <c r="T253">
        <v>13686235</v>
      </c>
      <c r="U253">
        <v>13686235</v>
      </c>
      <c r="V253">
        <v>1</v>
      </c>
      <c r="W253">
        <v>0</v>
      </c>
      <c r="X253">
        <v>13860882</v>
      </c>
      <c r="Y253">
        <v>13860882</v>
      </c>
    </row>
    <row r="254" spans="1:25" x14ac:dyDescent="0.25">
      <c r="A254">
        <v>20</v>
      </c>
      <c r="B254" t="s">
        <v>25</v>
      </c>
      <c r="C254" t="s">
        <v>26</v>
      </c>
      <c r="D254" t="s">
        <v>3653</v>
      </c>
      <c r="E254">
        <v>219836</v>
      </c>
      <c r="G254" t="s">
        <v>3654</v>
      </c>
      <c r="H254" t="s">
        <v>3618</v>
      </c>
      <c r="I254" t="s">
        <v>3654</v>
      </c>
      <c r="L254" t="b">
        <v>0</v>
      </c>
      <c r="M254" t="s">
        <v>50</v>
      </c>
      <c r="N254" t="s">
        <v>26</v>
      </c>
      <c r="P254" t="s">
        <v>33</v>
      </c>
      <c r="Q254">
        <v>1</v>
      </c>
      <c r="R254">
        <v>5</v>
      </c>
      <c r="S254">
        <v>101.41988230600001</v>
      </c>
      <c r="T254">
        <v>9718059</v>
      </c>
      <c r="U254">
        <v>9718059</v>
      </c>
      <c r="V254">
        <v>1</v>
      </c>
      <c r="W254">
        <v>0</v>
      </c>
      <c r="X254">
        <v>9856044</v>
      </c>
      <c r="Y254">
        <v>9856044</v>
      </c>
    </row>
    <row r="255" spans="1:25" x14ac:dyDescent="0.25">
      <c r="A255">
        <v>20</v>
      </c>
      <c r="B255" t="s">
        <v>25</v>
      </c>
      <c r="C255" t="s">
        <v>26</v>
      </c>
      <c r="D255" t="s">
        <v>3655</v>
      </c>
      <c r="E255">
        <v>219845</v>
      </c>
      <c r="G255" t="s">
        <v>3656</v>
      </c>
      <c r="H255" t="s">
        <v>3618</v>
      </c>
      <c r="I255" t="s">
        <v>3656</v>
      </c>
      <c r="L255" t="b">
        <v>0</v>
      </c>
      <c r="M255" t="s">
        <v>50</v>
      </c>
      <c r="N255" t="s">
        <v>26</v>
      </c>
      <c r="P255" t="s">
        <v>33</v>
      </c>
      <c r="Q255">
        <v>1</v>
      </c>
      <c r="R255">
        <v>5</v>
      </c>
      <c r="S255">
        <v>101.4919312177</v>
      </c>
      <c r="T255">
        <v>216582706</v>
      </c>
      <c r="U255">
        <v>216582706</v>
      </c>
      <c r="V255">
        <v>1</v>
      </c>
      <c r="W255">
        <v>0</v>
      </c>
      <c r="X255">
        <v>219813971</v>
      </c>
      <c r="Y255">
        <v>219813971</v>
      </c>
    </row>
    <row r="256" spans="1:25" x14ac:dyDescent="0.25">
      <c r="A256">
        <v>20</v>
      </c>
      <c r="B256" t="s">
        <v>25</v>
      </c>
      <c r="C256" t="s">
        <v>26</v>
      </c>
      <c r="D256" t="s">
        <v>3657</v>
      </c>
      <c r="E256">
        <v>219848</v>
      </c>
      <c r="G256" t="s">
        <v>3658</v>
      </c>
      <c r="H256" t="s">
        <v>3618</v>
      </c>
      <c r="I256" t="s">
        <v>3658</v>
      </c>
      <c r="L256" t="b">
        <v>0</v>
      </c>
      <c r="M256" t="s">
        <v>50</v>
      </c>
      <c r="N256" t="s">
        <v>26</v>
      </c>
      <c r="P256" t="s">
        <v>33</v>
      </c>
      <c r="Q256">
        <v>1</v>
      </c>
      <c r="R256">
        <v>5</v>
      </c>
      <c r="S256">
        <v>101.22823449320001</v>
      </c>
      <c r="T256">
        <v>23511227</v>
      </c>
      <c r="U256">
        <v>23511227</v>
      </c>
      <c r="V256">
        <v>1</v>
      </c>
      <c r="W256">
        <v>0</v>
      </c>
      <c r="X256">
        <v>23800000</v>
      </c>
      <c r="Y256">
        <v>23800000</v>
      </c>
    </row>
    <row r="257" spans="1:25" x14ac:dyDescent="0.25">
      <c r="A257">
        <v>20</v>
      </c>
      <c r="B257" t="s">
        <v>25</v>
      </c>
      <c r="C257" t="s">
        <v>26</v>
      </c>
      <c r="D257" t="s">
        <v>3659</v>
      </c>
      <c r="E257">
        <v>219849</v>
      </c>
      <c r="G257" t="s">
        <v>3660</v>
      </c>
      <c r="H257" t="s">
        <v>3618</v>
      </c>
      <c r="I257" t="s">
        <v>3660</v>
      </c>
      <c r="L257" t="b">
        <v>0</v>
      </c>
      <c r="M257" t="s">
        <v>50</v>
      </c>
      <c r="N257" t="s">
        <v>26</v>
      </c>
      <c r="P257" t="s">
        <v>33</v>
      </c>
      <c r="Q257">
        <v>1</v>
      </c>
      <c r="R257">
        <v>5</v>
      </c>
      <c r="S257">
        <v>101.22823522119999</v>
      </c>
      <c r="T257">
        <v>29270859</v>
      </c>
      <c r="U257">
        <v>29270859</v>
      </c>
      <c r="V257">
        <v>1</v>
      </c>
      <c r="W257">
        <v>0</v>
      </c>
      <c r="X257">
        <v>29630374</v>
      </c>
      <c r="Y257">
        <v>29630374</v>
      </c>
    </row>
    <row r="258" spans="1:25" x14ac:dyDescent="0.25">
      <c r="A258">
        <v>20</v>
      </c>
      <c r="B258" t="s">
        <v>25</v>
      </c>
      <c r="C258" t="s">
        <v>26</v>
      </c>
      <c r="D258" t="s">
        <v>3661</v>
      </c>
      <c r="E258">
        <v>219850</v>
      </c>
      <c r="G258" t="s">
        <v>3662</v>
      </c>
      <c r="H258" t="s">
        <v>3618</v>
      </c>
      <c r="I258" t="s">
        <v>3662</v>
      </c>
      <c r="L258" t="b">
        <v>0</v>
      </c>
      <c r="M258" t="s">
        <v>50</v>
      </c>
      <c r="N258" t="s">
        <v>26</v>
      </c>
      <c r="P258" t="s">
        <v>33</v>
      </c>
      <c r="Q258">
        <v>1</v>
      </c>
      <c r="R258">
        <v>5</v>
      </c>
      <c r="S258">
        <v>101.5008169771</v>
      </c>
      <c r="T258">
        <v>63852425</v>
      </c>
      <c r="U258">
        <v>63852425</v>
      </c>
      <c r="V258">
        <v>1</v>
      </c>
      <c r="W258">
        <v>0</v>
      </c>
      <c r="X258">
        <v>64810733.030000001</v>
      </c>
      <c r="Y258">
        <v>64810733.030000001</v>
      </c>
    </row>
    <row r="259" spans="1:25" x14ac:dyDescent="0.25">
      <c r="A259">
        <v>20</v>
      </c>
      <c r="B259" t="s">
        <v>25</v>
      </c>
      <c r="C259" t="s">
        <v>26</v>
      </c>
      <c r="D259" t="s">
        <v>3663</v>
      </c>
      <c r="E259">
        <v>219852</v>
      </c>
      <c r="G259" t="s">
        <v>3664</v>
      </c>
      <c r="H259" t="s">
        <v>3618</v>
      </c>
      <c r="I259" t="s">
        <v>3664</v>
      </c>
      <c r="L259" t="b">
        <v>0</v>
      </c>
      <c r="M259" t="s">
        <v>50</v>
      </c>
      <c r="N259" t="s">
        <v>26</v>
      </c>
      <c r="P259" t="s">
        <v>33</v>
      </c>
      <c r="Q259">
        <v>1</v>
      </c>
      <c r="R259">
        <v>5</v>
      </c>
      <c r="S259">
        <v>101.5105322764</v>
      </c>
      <c r="T259">
        <v>52395644</v>
      </c>
      <c r="U259">
        <v>52395644</v>
      </c>
      <c r="V259">
        <v>1</v>
      </c>
      <c r="W259">
        <v>0</v>
      </c>
      <c r="X259">
        <v>53187097.109999999</v>
      </c>
      <c r="Y259">
        <v>53187097.109999999</v>
      </c>
    </row>
    <row r="260" spans="1:25" x14ac:dyDescent="0.25">
      <c r="A260">
        <v>20</v>
      </c>
      <c r="B260" t="s">
        <v>25</v>
      </c>
      <c r="C260" t="s">
        <v>26</v>
      </c>
      <c r="D260" t="s">
        <v>3665</v>
      </c>
      <c r="E260">
        <v>219868</v>
      </c>
      <c r="G260" t="s">
        <v>3666</v>
      </c>
      <c r="H260" t="s">
        <v>3618</v>
      </c>
      <c r="I260" t="s">
        <v>3666</v>
      </c>
      <c r="L260" t="b">
        <v>0</v>
      </c>
      <c r="M260" t="s">
        <v>50</v>
      </c>
      <c r="N260" t="s">
        <v>26</v>
      </c>
      <c r="P260" t="s">
        <v>33</v>
      </c>
      <c r="Q260">
        <v>1</v>
      </c>
      <c r="R260">
        <v>5</v>
      </c>
      <c r="S260">
        <v>101.4438900934</v>
      </c>
      <c r="T260">
        <v>8967026</v>
      </c>
      <c r="U260">
        <v>8967026</v>
      </c>
      <c r="V260">
        <v>1</v>
      </c>
      <c r="W260">
        <v>0</v>
      </c>
      <c r="X260">
        <v>9096500</v>
      </c>
      <c r="Y260">
        <v>9096500</v>
      </c>
    </row>
    <row r="261" spans="1:25" x14ac:dyDescent="0.25">
      <c r="A261">
        <v>20</v>
      </c>
      <c r="B261" t="s">
        <v>25</v>
      </c>
      <c r="C261" t="s">
        <v>26</v>
      </c>
      <c r="D261" t="s">
        <v>3667</v>
      </c>
      <c r="E261">
        <v>219869</v>
      </c>
      <c r="G261" t="s">
        <v>3668</v>
      </c>
      <c r="H261" t="s">
        <v>3618</v>
      </c>
      <c r="I261" t="s">
        <v>3668</v>
      </c>
      <c r="L261" t="b">
        <v>0</v>
      </c>
      <c r="M261" t="s">
        <v>50</v>
      </c>
      <c r="N261" t="s">
        <v>26</v>
      </c>
      <c r="P261" t="s">
        <v>33</v>
      </c>
      <c r="Q261">
        <v>1</v>
      </c>
      <c r="R261">
        <v>5</v>
      </c>
      <c r="S261">
        <v>101.4993880048</v>
      </c>
      <c r="T261">
        <v>35000280</v>
      </c>
      <c r="U261">
        <v>35000280</v>
      </c>
      <c r="V261">
        <v>1</v>
      </c>
      <c r="W261">
        <v>0</v>
      </c>
      <c r="X261">
        <v>35525070</v>
      </c>
      <c r="Y261">
        <v>35525070</v>
      </c>
    </row>
    <row r="262" spans="1:25" x14ac:dyDescent="0.25">
      <c r="A262">
        <v>20</v>
      </c>
      <c r="B262" t="s">
        <v>25</v>
      </c>
      <c r="C262" t="s">
        <v>26</v>
      </c>
      <c r="D262" t="s">
        <v>3669</v>
      </c>
      <c r="E262">
        <v>219877</v>
      </c>
      <c r="G262" t="s">
        <v>3670</v>
      </c>
      <c r="H262" t="s">
        <v>3618</v>
      </c>
      <c r="I262" t="s">
        <v>3670</v>
      </c>
      <c r="L262" t="b">
        <v>0</v>
      </c>
      <c r="M262" t="s">
        <v>50</v>
      </c>
      <c r="N262" t="s">
        <v>26</v>
      </c>
      <c r="P262" t="s">
        <v>33</v>
      </c>
      <c r="Q262">
        <v>1</v>
      </c>
      <c r="R262">
        <v>5</v>
      </c>
      <c r="S262">
        <v>101.5090854436</v>
      </c>
      <c r="T262">
        <v>33047938</v>
      </c>
      <c r="U262">
        <v>33047938</v>
      </c>
      <c r="V262">
        <v>1</v>
      </c>
      <c r="W262">
        <v>0</v>
      </c>
      <c r="X262">
        <v>33546659.620000001</v>
      </c>
      <c r="Y262">
        <v>33546659.620000001</v>
      </c>
    </row>
    <row r="263" spans="1:25" x14ac:dyDescent="0.25">
      <c r="A263">
        <v>20</v>
      </c>
      <c r="B263" t="s">
        <v>25</v>
      </c>
      <c r="C263" t="s">
        <v>26</v>
      </c>
      <c r="D263" t="s">
        <v>3671</v>
      </c>
      <c r="E263">
        <v>219879</v>
      </c>
      <c r="G263" t="s">
        <v>3672</v>
      </c>
      <c r="H263" t="s">
        <v>3618</v>
      </c>
      <c r="I263" t="s">
        <v>3672</v>
      </c>
      <c r="L263" t="b">
        <v>0</v>
      </c>
      <c r="M263" t="s">
        <v>50</v>
      </c>
      <c r="N263" t="s">
        <v>26</v>
      </c>
      <c r="P263" t="s">
        <v>33</v>
      </c>
      <c r="Q263">
        <v>1</v>
      </c>
      <c r="R263">
        <v>5</v>
      </c>
      <c r="S263">
        <v>101.3958831771</v>
      </c>
      <c r="T263">
        <v>9319906</v>
      </c>
      <c r="U263">
        <v>9319906</v>
      </c>
      <c r="V263">
        <v>1</v>
      </c>
      <c r="W263">
        <v>0</v>
      </c>
      <c r="X263">
        <v>9450001</v>
      </c>
      <c r="Y263">
        <v>9450001</v>
      </c>
    </row>
    <row r="264" spans="1:25" x14ac:dyDescent="0.25">
      <c r="A264">
        <v>20</v>
      </c>
      <c r="B264" t="s">
        <v>25</v>
      </c>
      <c r="C264" t="s">
        <v>26</v>
      </c>
      <c r="D264" t="s">
        <v>3673</v>
      </c>
      <c r="E264">
        <v>219880</v>
      </c>
      <c r="G264" t="s">
        <v>3674</v>
      </c>
      <c r="H264" t="s">
        <v>3618</v>
      </c>
      <c r="I264" t="s">
        <v>3674</v>
      </c>
      <c r="L264" t="b">
        <v>0</v>
      </c>
      <c r="M264" t="s">
        <v>50</v>
      </c>
      <c r="N264" t="s">
        <v>26</v>
      </c>
      <c r="P264" t="s">
        <v>33</v>
      </c>
      <c r="Q264">
        <v>1</v>
      </c>
      <c r="R264">
        <v>5</v>
      </c>
      <c r="S264">
        <v>101.300018181</v>
      </c>
      <c r="T264">
        <v>10604544</v>
      </c>
      <c r="U264">
        <v>10604544</v>
      </c>
      <c r="V264">
        <v>1</v>
      </c>
      <c r="W264">
        <v>0</v>
      </c>
      <c r="X264">
        <v>10742405</v>
      </c>
      <c r="Y264">
        <v>10742405</v>
      </c>
    </row>
    <row r="265" spans="1:25" x14ac:dyDescent="0.25">
      <c r="A265">
        <v>20</v>
      </c>
      <c r="B265" t="s">
        <v>25</v>
      </c>
      <c r="C265" t="s">
        <v>26</v>
      </c>
      <c r="D265" t="s">
        <v>3675</v>
      </c>
      <c r="E265">
        <v>219881</v>
      </c>
      <c r="G265" t="s">
        <v>3676</v>
      </c>
      <c r="H265" t="s">
        <v>3618</v>
      </c>
      <c r="I265" t="s">
        <v>3676</v>
      </c>
      <c r="L265" t="b">
        <v>0</v>
      </c>
      <c r="M265" t="s">
        <v>50</v>
      </c>
      <c r="N265" t="s">
        <v>26</v>
      </c>
      <c r="P265" t="s">
        <v>33</v>
      </c>
      <c r="Q265">
        <v>1</v>
      </c>
      <c r="R265">
        <v>5</v>
      </c>
      <c r="S265">
        <v>101.4961829617</v>
      </c>
      <c r="T265">
        <v>12379502</v>
      </c>
      <c r="U265">
        <v>12379502</v>
      </c>
      <c r="V265">
        <v>1</v>
      </c>
      <c r="W265">
        <v>0</v>
      </c>
      <c r="X265">
        <v>12564722</v>
      </c>
      <c r="Y265">
        <v>12564722</v>
      </c>
    </row>
    <row r="266" spans="1:25" x14ac:dyDescent="0.25">
      <c r="A266">
        <v>20</v>
      </c>
      <c r="B266" t="s">
        <v>25</v>
      </c>
      <c r="C266" t="s">
        <v>26</v>
      </c>
      <c r="D266" t="s">
        <v>3677</v>
      </c>
      <c r="E266">
        <v>219889</v>
      </c>
      <c r="G266" t="s">
        <v>3678</v>
      </c>
      <c r="H266" t="s">
        <v>3618</v>
      </c>
      <c r="I266" t="s">
        <v>3678</v>
      </c>
      <c r="L266" t="b">
        <v>0</v>
      </c>
      <c r="M266" t="s">
        <v>50</v>
      </c>
      <c r="N266" t="s">
        <v>26</v>
      </c>
      <c r="P266" t="s">
        <v>33</v>
      </c>
      <c r="Q266">
        <v>1</v>
      </c>
      <c r="R266">
        <v>5</v>
      </c>
      <c r="S266">
        <v>101.3958818142</v>
      </c>
      <c r="T266">
        <v>22298736</v>
      </c>
      <c r="U266">
        <v>22298736</v>
      </c>
      <c r="V266">
        <v>1</v>
      </c>
      <c r="W266">
        <v>0</v>
      </c>
      <c r="X266">
        <v>22610000</v>
      </c>
      <c r="Y266">
        <v>22610000</v>
      </c>
    </row>
    <row r="267" spans="1:25" x14ac:dyDescent="0.25">
      <c r="A267">
        <v>20</v>
      </c>
      <c r="B267" t="s">
        <v>25</v>
      </c>
      <c r="C267" t="s">
        <v>26</v>
      </c>
      <c r="D267" t="s">
        <v>3679</v>
      </c>
      <c r="E267">
        <v>219898</v>
      </c>
      <c r="G267" t="s">
        <v>3680</v>
      </c>
      <c r="H267" t="s">
        <v>3618</v>
      </c>
      <c r="I267" t="s">
        <v>3680</v>
      </c>
      <c r="L267" t="b">
        <v>0</v>
      </c>
      <c r="M267" t="s">
        <v>50</v>
      </c>
      <c r="N267" t="s">
        <v>26</v>
      </c>
      <c r="P267" t="s">
        <v>33</v>
      </c>
      <c r="Q267">
        <v>1</v>
      </c>
      <c r="R267">
        <v>5</v>
      </c>
      <c r="S267">
        <v>101.49618706299999</v>
      </c>
      <c r="T267">
        <v>8870717</v>
      </c>
      <c r="U267">
        <v>8870717</v>
      </c>
      <c r="V267">
        <v>1</v>
      </c>
      <c r="W267">
        <v>0</v>
      </c>
      <c r="X267">
        <v>9003439.5199999996</v>
      </c>
      <c r="Y267">
        <v>9003439.5199999996</v>
      </c>
    </row>
    <row r="268" spans="1:25" x14ac:dyDescent="0.25">
      <c r="A268">
        <v>20</v>
      </c>
      <c r="B268" t="s">
        <v>25</v>
      </c>
      <c r="C268" t="s">
        <v>26</v>
      </c>
      <c r="D268" t="s">
        <v>3681</v>
      </c>
      <c r="E268">
        <v>219899</v>
      </c>
      <c r="G268" t="s">
        <v>3682</v>
      </c>
      <c r="H268" t="s">
        <v>3618</v>
      </c>
      <c r="I268" t="s">
        <v>3682</v>
      </c>
      <c r="L268" t="b">
        <v>0</v>
      </c>
      <c r="M268" t="s">
        <v>50</v>
      </c>
      <c r="N268" t="s">
        <v>26</v>
      </c>
      <c r="P268" t="s">
        <v>33</v>
      </c>
      <c r="Q268">
        <v>1</v>
      </c>
      <c r="R268">
        <v>5</v>
      </c>
      <c r="S268">
        <v>101.252151606</v>
      </c>
      <c r="T268">
        <v>10577553</v>
      </c>
      <c r="U268">
        <v>10577553</v>
      </c>
      <c r="V268">
        <v>1</v>
      </c>
      <c r="W268">
        <v>0</v>
      </c>
      <c r="X268">
        <v>10710000</v>
      </c>
      <c r="Y268">
        <v>10710000</v>
      </c>
    </row>
    <row r="269" spans="1:25" x14ac:dyDescent="0.25">
      <c r="A269">
        <v>20</v>
      </c>
      <c r="B269" t="s">
        <v>25</v>
      </c>
      <c r="C269" t="s">
        <v>26</v>
      </c>
      <c r="D269" t="s">
        <v>3683</v>
      </c>
      <c r="E269">
        <v>219907</v>
      </c>
      <c r="G269" t="s">
        <v>3684</v>
      </c>
      <c r="H269" t="s">
        <v>3618</v>
      </c>
      <c r="I269" t="s">
        <v>3684</v>
      </c>
      <c r="L269" t="b">
        <v>0</v>
      </c>
      <c r="M269" t="s">
        <v>50</v>
      </c>
      <c r="N269" t="s">
        <v>26</v>
      </c>
      <c r="P269" t="s">
        <v>33</v>
      </c>
      <c r="Q269">
        <v>1</v>
      </c>
      <c r="R269">
        <v>5</v>
      </c>
      <c r="S269">
        <v>101.4979616974</v>
      </c>
      <c r="T269">
        <v>16452652</v>
      </c>
      <c r="U269">
        <v>16452652</v>
      </c>
      <c r="V269">
        <v>1</v>
      </c>
      <c r="W269">
        <v>0</v>
      </c>
      <c r="X269">
        <v>16699106.43</v>
      </c>
      <c r="Y269">
        <v>16699106.43</v>
      </c>
    </row>
    <row r="270" spans="1:25" x14ac:dyDescent="0.25">
      <c r="A270">
        <v>20</v>
      </c>
      <c r="B270" t="s">
        <v>25</v>
      </c>
      <c r="C270" t="s">
        <v>26</v>
      </c>
      <c r="D270" t="s">
        <v>3685</v>
      </c>
      <c r="E270">
        <v>219914</v>
      </c>
      <c r="G270" t="s">
        <v>3686</v>
      </c>
      <c r="H270" t="s">
        <v>3618</v>
      </c>
      <c r="I270" t="s">
        <v>3686</v>
      </c>
      <c r="L270" t="b">
        <v>0</v>
      </c>
      <c r="M270" t="s">
        <v>50</v>
      </c>
      <c r="N270" t="s">
        <v>26</v>
      </c>
      <c r="P270" t="s">
        <v>33</v>
      </c>
      <c r="Q270">
        <v>1</v>
      </c>
      <c r="R270">
        <v>5</v>
      </c>
      <c r="S270">
        <v>101.49689540350001</v>
      </c>
      <c r="T270">
        <v>14580505</v>
      </c>
      <c r="U270">
        <v>14580505</v>
      </c>
      <c r="V270">
        <v>1</v>
      </c>
      <c r="W270">
        <v>0</v>
      </c>
      <c r="X270">
        <v>14798759.91</v>
      </c>
      <c r="Y270">
        <v>14798759.91</v>
      </c>
    </row>
    <row r="271" spans="1:25" x14ac:dyDescent="0.25">
      <c r="A271">
        <v>20</v>
      </c>
      <c r="B271" t="s">
        <v>25</v>
      </c>
      <c r="C271" t="s">
        <v>26</v>
      </c>
      <c r="D271" t="s">
        <v>3687</v>
      </c>
      <c r="E271">
        <v>219939</v>
      </c>
      <c r="G271" t="s">
        <v>3688</v>
      </c>
      <c r="H271" t="s">
        <v>3618</v>
      </c>
      <c r="I271" t="s">
        <v>3688</v>
      </c>
      <c r="L271" t="b">
        <v>0</v>
      </c>
      <c r="M271" t="s">
        <v>50</v>
      </c>
      <c r="N271" t="s">
        <v>26</v>
      </c>
      <c r="P271" t="s">
        <v>33</v>
      </c>
      <c r="Q271">
        <v>1</v>
      </c>
      <c r="R271">
        <v>5</v>
      </c>
      <c r="S271">
        <v>101.1088304437</v>
      </c>
      <c r="T271">
        <v>9071901</v>
      </c>
      <c r="U271">
        <v>9071901</v>
      </c>
      <c r="V271">
        <v>1</v>
      </c>
      <c r="W271">
        <v>0</v>
      </c>
      <c r="X271">
        <v>9172493</v>
      </c>
      <c r="Y271">
        <v>9172493</v>
      </c>
    </row>
    <row r="272" spans="1:25" x14ac:dyDescent="0.25">
      <c r="A272">
        <v>20</v>
      </c>
      <c r="B272" t="s">
        <v>25</v>
      </c>
      <c r="C272" t="s">
        <v>26</v>
      </c>
      <c r="D272" t="s">
        <v>3689</v>
      </c>
      <c r="E272">
        <v>221073</v>
      </c>
      <c r="G272" t="s">
        <v>3690</v>
      </c>
      <c r="H272" t="s">
        <v>3618</v>
      </c>
      <c r="I272" t="s">
        <v>3690</v>
      </c>
      <c r="L272" t="b">
        <v>0</v>
      </c>
      <c r="M272" t="s">
        <v>50</v>
      </c>
      <c r="N272" t="s">
        <v>26</v>
      </c>
      <c r="P272" t="s">
        <v>33</v>
      </c>
      <c r="Q272">
        <v>1</v>
      </c>
      <c r="R272">
        <v>5</v>
      </c>
      <c r="S272">
        <v>101.3556222334</v>
      </c>
      <c r="T272">
        <v>30855780</v>
      </c>
      <c r="U272">
        <v>30855780</v>
      </c>
      <c r="V272">
        <v>1</v>
      </c>
      <c r="W272">
        <v>0</v>
      </c>
      <c r="X272">
        <v>31274067.809999999</v>
      </c>
      <c r="Y272">
        <v>31274067.809999999</v>
      </c>
    </row>
    <row r="273" spans="1:25" x14ac:dyDescent="0.25">
      <c r="A273">
        <v>20</v>
      </c>
      <c r="B273" t="s">
        <v>25</v>
      </c>
      <c r="C273" t="s">
        <v>26</v>
      </c>
      <c r="D273" t="s">
        <v>3691</v>
      </c>
      <c r="E273">
        <v>221074</v>
      </c>
      <c r="G273" t="s">
        <v>3692</v>
      </c>
      <c r="H273" t="s">
        <v>3618</v>
      </c>
      <c r="I273" t="s">
        <v>3692</v>
      </c>
      <c r="L273" t="b">
        <v>0</v>
      </c>
      <c r="M273" t="s">
        <v>50</v>
      </c>
      <c r="N273" t="s">
        <v>26</v>
      </c>
      <c r="P273" t="s">
        <v>33</v>
      </c>
      <c r="Q273">
        <v>1</v>
      </c>
      <c r="R273">
        <v>5</v>
      </c>
      <c r="S273">
        <v>101.3556215608</v>
      </c>
      <c r="T273">
        <v>37605035</v>
      </c>
      <c r="U273">
        <v>37605035</v>
      </c>
      <c r="V273">
        <v>1</v>
      </c>
      <c r="W273">
        <v>0</v>
      </c>
      <c r="X273">
        <v>38114816.960000001</v>
      </c>
      <c r="Y273">
        <v>38114816.960000001</v>
      </c>
    </row>
    <row r="274" spans="1:25" x14ac:dyDescent="0.25">
      <c r="A274">
        <v>20</v>
      </c>
      <c r="B274" t="s">
        <v>25</v>
      </c>
      <c r="C274" t="s">
        <v>26</v>
      </c>
      <c r="D274" t="s">
        <v>3693</v>
      </c>
      <c r="E274">
        <v>221075</v>
      </c>
      <c r="G274" t="s">
        <v>3694</v>
      </c>
      <c r="H274" t="s">
        <v>3618</v>
      </c>
      <c r="I274" t="s">
        <v>3694</v>
      </c>
      <c r="L274" t="b">
        <v>0</v>
      </c>
      <c r="M274" t="s">
        <v>50</v>
      </c>
      <c r="N274" t="s">
        <v>26</v>
      </c>
      <c r="P274" t="s">
        <v>33</v>
      </c>
      <c r="Q274">
        <v>1</v>
      </c>
      <c r="R274">
        <v>5</v>
      </c>
      <c r="S274">
        <v>101.3556205804</v>
      </c>
      <c r="T274">
        <v>41429641</v>
      </c>
      <c r="U274">
        <v>41429641</v>
      </c>
      <c r="V274">
        <v>1</v>
      </c>
      <c r="W274">
        <v>0</v>
      </c>
      <c r="X274">
        <v>41991269.740000002</v>
      </c>
      <c r="Y274">
        <v>41991269.740000002</v>
      </c>
    </row>
    <row r="275" spans="1:25" x14ac:dyDescent="0.25">
      <c r="A275">
        <v>20</v>
      </c>
      <c r="B275" t="s">
        <v>25</v>
      </c>
      <c r="C275" t="s">
        <v>26</v>
      </c>
      <c r="D275" t="s">
        <v>3695</v>
      </c>
      <c r="E275">
        <v>221076</v>
      </c>
      <c r="G275" t="s">
        <v>3696</v>
      </c>
      <c r="H275" t="s">
        <v>3618</v>
      </c>
      <c r="I275" t="s">
        <v>3696</v>
      </c>
      <c r="L275" t="b">
        <v>0</v>
      </c>
      <c r="M275" t="s">
        <v>50</v>
      </c>
      <c r="N275" t="s">
        <v>26</v>
      </c>
      <c r="P275" t="s">
        <v>33</v>
      </c>
      <c r="Q275">
        <v>1</v>
      </c>
      <c r="R275">
        <v>5</v>
      </c>
      <c r="S275">
        <v>101.35562106490001</v>
      </c>
      <c r="T275">
        <v>47009750</v>
      </c>
      <c r="U275">
        <v>47009750</v>
      </c>
      <c r="V275">
        <v>1</v>
      </c>
      <c r="W275">
        <v>0</v>
      </c>
      <c r="X275">
        <v>47647024.07</v>
      </c>
      <c r="Y275">
        <v>47647024.07</v>
      </c>
    </row>
    <row r="276" spans="1:25" x14ac:dyDescent="0.25">
      <c r="A276">
        <v>20</v>
      </c>
      <c r="B276" t="s">
        <v>25</v>
      </c>
      <c r="C276" t="s">
        <v>26</v>
      </c>
      <c r="D276" t="s">
        <v>3697</v>
      </c>
      <c r="E276">
        <v>221083</v>
      </c>
      <c r="G276" t="s">
        <v>3698</v>
      </c>
      <c r="H276" t="s">
        <v>3618</v>
      </c>
      <c r="I276" t="s">
        <v>3698</v>
      </c>
      <c r="L276" t="b">
        <v>0</v>
      </c>
      <c r="M276" t="s">
        <v>50</v>
      </c>
      <c r="N276" t="s">
        <v>26</v>
      </c>
      <c r="P276" t="s">
        <v>33</v>
      </c>
      <c r="Q276">
        <v>1</v>
      </c>
      <c r="R276">
        <v>5</v>
      </c>
      <c r="S276">
        <v>101.3582047723</v>
      </c>
      <c r="T276">
        <v>41265509</v>
      </c>
      <c r="U276">
        <v>41265509</v>
      </c>
      <c r="V276">
        <v>1</v>
      </c>
      <c r="W276">
        <v>0</v>
      </c>
      <c r="X276">
        <v>41825979.109999999</v>
      </c>
      <c r="Y276">
        <v>41825979.109999999</v>
      </c>
    </row>
    <row r="277" spans="1:25" x14ac:dyDescent="0.25">
      <c r="A277">
        <v>20</v>
      </c>
      <c r="B277" t="s">
        <v>25</v>
      </c>
      <c r="C277" t="s">
        <v>26</v>
      </c>
      <c r="D277" t="s">
        <v>3699</v>
      </c>
      <c r="E277">
        <v>221085</v>
      </c>
      <c r="G277" t="s">
        <v>3700</v>
      </c>
      <c r="H277" t="s">
        <v>3618</v>
      </c>
      <c r="I277" t="s">
        <v>3700</v>
      </c>
      <c r="L277" t="b">
        <v>0</v>
      </c>
      <c r="M277" t="s">
        <v>50</v>
      </c>
      <c r="N277" t="s">
        <v>26</v>
      </c>
      <c r="P277" t="s">
        <v>33</v>
      </c>
      <c r="Q277">
        <v>1</v>
      </c>
      <c r="R277">
        <v>5</v>
      </c>
      <c r="S277">
        <v>101.3556210364</v>
      </c>
      <c r="T277">
        <v>35142021</v>
      </c>
      <c r="U277">
        <v>35142021</v>
      </c>
      <c r="V277">
        <v>1</v>
      </c>
      <c r="W277">
        <v>0</v>
      </c>
      <c r="X277">
        <v>35618413.630000003</v>
      </c>
      <c r="Y277">
        <v>35618413.630000003</v>
      </c>
    </row>
    <row r="278" spans="1:25" x14ac:dyDescent="0.25">
      <c r="A278">
        <v>20</v>
      </c>
      <c r="B278" t="s">
        <v>25</v>
      </c>
      <c r="C278" t="s">
        <v>26</v>
      </c>
      <c r="D278" t="s">
        <v>3701</v>
      </c>
      <c r="E278">
        <v>221087</v>
      </c>
      <c r="G278" t="s">
        <v>3702</v>
      </c>
      <c r="H278" t="s">
        <v>3703</v>
      </c>
      <c r="I278" t="s">
        <v>3702</v>
      </c>
      <c r="L278" t="b">
        <v>0</v>
      </c>
      <c r="M278" t="s">
        <v>50</v>
      </c>
      <c r="N278" t="s">
        <v>26</v>
      </c>
      <c r="P278" t="s">
        <v>33</v>
      </c>
      <c r="Q278">
        <v>1</v>
      </c>
      <c r="R278">
        <v>5</v>
      </c>
      <c r="S278">
        <v>101.18043738</v>
      </c>
      <c r="T278">
        <v>29096842</v>
      </c>
      <c r="U278">
        <v>29096842</v>
      </c>
      <c r="V278">
        <v>1</v>
      </c>
      <c r="W278">
        <v>0</v>
      </c>
      <c r="X278">
        <v>29440312</v>
      </c>
      <c r="Y278">
        <v>29440312</v>
      </c>
    </row>
    <row r="279" spans="1:25" x14ac:dyDescent="0.25">
      <c r="A279">
        <v>20</v>
      </c>
      <c r="B279" t="s">
        <v>25</v>
      </c>
      <c r="C279" t="s">
        <v>26</v>
      </c>
      <c r="D279" t="s">
        <v>3704</v>
      </c>
      <c r="E279">
        <v>221088</v>
      </c>
      <c r="G279" t="s">
        <v>3705</v>
      </c>
      <c r="H279" t="s">
        <v>3618</v>
      </c>
      <c r="I279" t="s">
        <v>3705</v>
      </c>
      <c r="L279" t="b">
        <v>0</v>
      </c>
      <c r="M279" t="s">
        <v>50</v>
      </c>
      <c r="N279" t="s">
        <v>26</v>
      </c>
      <c r="P279" t="s">
        <v>33</v>
      </c>
      <c r="Q279">
        <v>1</v>
      </c>
      <c r="R279">
        <v>5</v>
      </c>
      <c r="S279">
        <v>101.35112220880001</v>
      </c>
      <c r="T279">
        <v>28152558</v>
      </c>
      <c r="U279">
        <v>28152558</v>
      </c>
      <c r="V279">
        <v>1</v>
      </c>
      <c r="W279">
        <v>0</v>
      </c>
      <c r="X279">
        <v>28532933.460000001</v>
      </c>
      <c r="Y279">
        <v>28532933.460000001</v>
      </c>
    </row>
    <row r="280" spans="1:25" x14ac:dyDescent="0.25">
      <c r="A280">
        <v>20</v>
      </c>
      <c r="B280" t="s">
        <v>25</v>
      </c>
      <c r="C280" t="s">
        <v>26</v>
      </c>
      <c r="D280" t="s">
        <v>3706</v>
      </c>
      <c r="E280">
        <v>221092</v>
      </c>
      <c r="G280" t="s">
        <v>3707</v>
      </c>
      <c r="H280" t="s">
        <v>3618</v>
      </c>
      <c r="I280" t="s">
        <v>3707</v>
      </c>
      <c r="L280" t="b">
        <v>0</v>
      </c>
      <c r="M280" t="s">
        <v>50</v>
      </c>
      <c r="N280" t="s">
        <v>26</v>
      </c>
      <c r="P280" t="s">
        <v>33</v>
      </c>
      <c r="Q280">
        <v>1</v>
      </c>
      <c r="R280">
        <v>5</v>
      </c>
      <c r="S280">
        <v>101.2164680696</v>
      </c>
      <c r="T280">
        <v>12677357</v>
      </c>
      <c r="U280">
        <v>12677357</v>
      </c>
      <c r="V280">
        <v>1</v>
      </c>
      <c r="W280">
        <v>0</v>
      </c>
      <c r="X280">
        <v>12831573</v>
      </c>
      <c r="Y280">
        <v>12831573</v>
      </c>
    </row>
    <row r="281" spans="1:25" x14ac:dyDescent="0.25">
      <c r="A281">
        <v>20</v>
      </c>
      <c r="B281" t="s">
        <v>25</v>
      </c>
      <c r="C281" t="s">
        <v>26</v>
      </c>
      <c r="D281" t="s">
        <v>3708</v>
      </c>
      <c r="E281">
        <v>221093</v>
      </c>
      <c r="G281" t="s">
        <v>3709</v>
      </c>
      <c r="H281" t="s">
        <v>3618</v>
      </c>
      <c r="I281" t="s">
        <v>3709</v>
      </c>
      <c r="L281" t="b">
        <v>0</v>
      </c>
      <c r="M281" t="s">
        <v>50</v>
      </c>
      <c r="N281" t="s">
        <v>26</v>
      </c>
      <c r="P281" t="s">
        <v>33</v>
      </c>
      <c r="Q281">
        <v>1</v>
      </c>
      <c r="R281">
        <v>5</v>
      </c>
      <c r="S281">
        <v>101.21646576240001</v>
      </c>
      <c r="T281">
        <v>18218022</v>
      </c>
      <c r="U281">
        <v>18218022</v>
      </c>
      <c r="V281">
        <v>1</v>
      </c>
      <c r="W281">
        <v>0</v>
      </c>
      <c r="X281">
        <v>18439638</v>
      </c>
      <c r="Y281">
        <v>18439638</v>
      </c>
    </row>
    <row r="282" spans="1:25" x14ac:dyDescent="0.25">
      <c r="A282">
        <v>20</v>
      </c>
      <c r="B282" t="s">
        <v>25</v>
      </c>
      <c r="C282" t="s">
        <v>26</v>
      </c>
      <c r="D282" t="s">
        <v>3710</v>
      </c>
      <c r="E282">
        <v>221094</v>
      </c>
      <c r="G282" t="s">
        <v>3711</v>
      </c>
      <c r="H282" t="s">
        <v>3618</v>
      </c>
      <c r="I282" t="s">
        <v>3711</v>
      </c>
      <c r="L282" t="b">
        <v>0</v>
      </c>
      <c r="M282" t="s">
        <v>50</v>
      </c>
      <c r="N282" t="s">
        <v>26</v>
      </c>
      <c r="P282" t="s">
        <v>33</v>
      </c>
      <c r="Q282">
        <v>1</v>
      </c>
      <c r="R282">
        <v>5</v>
      </c>
      <c r="S282">
        <v>101.2164655608</v>
      </c>
      <c r="T282">
        <v>19356953</v>
      </c>
      <c r="U282">
        <v>19356953</v>
      </c>
      <c r="V282">
        <v>1</v>
      </c>
      <c r="W282">
        <v>0</v>
      </c>
      <c r="X282">
        <v>19592423.670000002</v>
      </c>
      <c r="Y282">
        <v>19592423.670000002</v>
      </c>
    </row>
    <row r="283" spans="1:25" x14ac:dyDescent="0.25">
      <c r="A283">
        <v>20</v>
      </c>
      <c r="B283" t="s">
        <v>25</v>
      </c>
      <c r="C283" t="s">
        <v>26</v>
      </c>
      <c r="D283" t="s">
        <v>3712</v>
      </c>
      <c r="E283">
        <v>221095</v>
      </c>
      <c r="G283" t="s">
        <v>3713</v>
      </c>
      <c r="H283" t="s">
        <v>3618</v>
      </c>
      <c r="I283" t="s">
        <v>3713</v>
      </c>
      <c r="L283" t="b">
        <v>0</v>
      </c>
      <c r="M283" t="s">
        <v>50</v>
      </c>
      <c r="N283" t="s">
        <v>26</v>
      </c>
      <c r="P283" t="s">
        <v>33</v>
      </c>
      <c r="Q283">
        <v>1</v>
      </c>
      <c r="R283">
        <v>5</v>
      </c>
      <c r="S283">
        <v>101.2164650568</v>
      </c>
      <c r="T283">
        <v>20090014</v>
      </c>
      <c r="U283">
        <v>20090014</v>
      </c>
      <c r="V283">
        <v>1</v>
      </c>
      <c r="W283">
        <v>0</v>
      </c>
      <c r="X283">
        <v>20334402</v>
      </c>
      <c r="Y283">
        <v>20334402</v>
      </c>
    </row>
    <row r="284" spans="1:25" x14ac:dyDescent="0.25">
      <c r="A284">
        <v>20</v>
      </c>
      <c r="B284" t="s">
        <v>25</v>
      </c>
      <c r="C284" t="s">
        <v>26</v>
      </c>
      <c r="D284" t="s">
        <v>3714</v>
      </c>
      <c r="E284">
        <v>221096</v>
      </c>
      <c r="G284" t="s">
        <v>3715</v>
      </c>
      <c r="H284" t="s">
        <v>3618</v>
      </c>
      <c r="I284" t="s">
        <v>3715</v>
      </c>
      <c r="L284" t="b">
        <v>0</v>
      </c>
      <c r="M284" t="s">
        <v>50</v>
      </c>
      <c r="N284" t="s">
        <v>26</v>
      </c>
      <c r="P284" t="s">
        <v>33</v>
      </c>
      <c r="Q284">
        <v>1</v>
      </c>
      <c r="R284">
        <v>5</v>
      </c>
      <c r="S284">
        <v>101.2159370944</v>
      </c>
      <c r="T284">
        <v>23895644</v>
      </c>
      <c r="U284">
        <v>23895644</v>
      </c>
      <c r="V284">
        <v>1</v>
      </c>
      <c r="W284">
        <v>0</v>
      </c>
      <c r="X284">
        <v>24186200</v>
      </c>
      <c r="Y284">
        <v>24186200</v>
      </c>
    </row>
    <row r="285" spans="1:25" x14ac:dyDescent="0.25">
      <c r="A285">
        <v>20</v>
      </c>
      <c r="B285" t="s">
        <v>25</v>
      </c>
      <c r="C285" t="s">
        <v>26</v>
      </c>
      <c r="D285" t="s">
        <v>3716</v>
      </c>
      <c r="E285">
        <v>221107</v>
      </c>
      <c r="G285" t="s">
        <v>3717</v>
      </c>
      <c r="H285" t="s">
        <v>3618</v>
      </c>
      <c r="I285" t="s">
        <v>3717</v>
      </c>
      <c r="L285" t="b">
        <v>0</v>
      </c>
      <c r="M285" t="s">
        <v>50</v>
      </c>
      <c r="N285" t="s">
        <v>26</v>
      </c>
      <c r="P285" t="s">
        <v>33</v>
      </c>
      <c r="Q285">
        <v>1</v>
      </c>
      <c r="R285">
        <v>5</v>
      </c>
      <c r="S285">
        <v>101.2098939384</v>
      </c>
      <c r="T285">
        <v>12706658</v>
      </c>
      <c r="U285">
        <v>12706658</v>
      </c>
      <c r="V285">
        <v>1</v>
      </c>
      <c r="W285">
        <v>0</v>
      </c>
      <c r="X285">
        <v>12860395.08</v>
      </c>
      <c r="Y285">
        <v>12860395.08</v>
      </c>
    </row>
    <row r="286" spans="1:25" x14ac:dyDescent="0.25">
      <c r="A286">
        <v>20</v>
      </c>
      <c r="B286" t="s">
        <v>25</v>
      </c>
      <c r="C286" t="s">
        <v>26</v>
      </c>
      <c r="D286" t="s">
        <v>3718</v>
      </c>
      <c r="E286">
        <v>221108</v>
      </c>
      <c r="G286" t="s">
        <v>3719</v>
      </c>
      <c r="H286" t="s">
        <v>3618</v>
      </c>
      <c r="I286" t="s">
        <v>3719</v>
      </c>
      <c r="L286" t="b">
        <v>0</v>
      </c>
      <c r="M286" t="s">
        <v>50</v>
      </c>
      <c r="N286" t="s">
        <v>26</v>
      </c>
      <c r="P286" t="s">
        <v>33</v>
      </c>
      <c r="Q286">
        <v>1</v>
      </c>
      <c r="R286">
        <v>5</v>
      </c>
      <c r="S286">
        <v>101.209894448</v>
      </c>
      <c r="T286">
        <v>26937181</v>
      </c>
      <c r="U286">
        <v>26937181</v>
      </c>
      <c r="V286">
        <v>1</v>
      </c>
      <c r="W286">
        <v>0</v>
      </c>
      <c r="X286">
        <v>27263092.460000001</v>
      </c>
      <c r="Y286">
        <v>27263092.460000001</v>
      </c>
    </row>
    <row r="287" spans="1:25" x14ac:dyDescent="0.25">
      <c r="A287">
        <v>20</v>
      </c>
      <c r="B287" t="s">
        <v>25</v>
      </c>
      <c r="C287" t="s">
        <v>26</v>
      </c>
      <c r="D287" t="s">
        <v>3720</v>
      </c>
      <c r="E287">
        <v>221110</v>
      </c>
      <c r="G287" t="s">
        <v>3721</v>
      </c>
      <c r="H287" t="s">
        <v>3618</v>
      </c>
      <c r="I287" t="s">
        <v>3721</v>
      </c>
      <c r="L287" t="b">
        <v>0</v>
      </c>
      <c r="M287" t="s">
        <v>50</v>
      </c>
      <c r="N287" t="s">
        <v>26</v>
      </c>
      <c r="P287" t="s">
        <v>33</v>
      </c>
      <c r="Q287">
        <v>1</v>
      </c>
      <c r="R287">
        <v>5</v>
      </c>
      <c r="S287">
        <v>101.2098955344</v>
      </c>
      <c r="T287">
        <v>13729461</v>
      </c>
      <c r="U287">
        <v>13729461</v>
      </c>
      <c r="V287">
        <v>1</v>
      </c>
      <c r="W287">
        <v>0</v>
      </c>
      <c r="X287">
        <v>13895573.140000001</v>
      </c>
      <c r="Y287">
        <v>13895573.140000001</v>
      </c>
    </row>
    <row r="288" spans="1:25" x14ac:dyDescent="0.25">
      <c r="A288">
        <v>20</v>
      </c>
      <c r="B288" t="s">
        <v>25</v>
      </c>
      <c r="C288" t="s">
        <v>26</v>
      </c>
      <c r="D288" t="s">
        <v>3722</v>
      </c>
      <c r="E288">
        <v>221111</v>
      </c>
      <c r="G288" t="s">
        <v>3723</v>
      </c>
      <c r="H288" t="s">
        <v>3618</v>
      </c>
      <c r="I288" t="s">
        <v>3723</v>
      </c>
      <c r="L288" t="b">
        <v>0</v>
      </c>
      <c r="M288" t="s">
        <v>50</v>
      </c>
      <c r="N288" t="s">
        <v>26</v>
      </c>
      <c r="P288" t="s">
        <v>33</v>
      </c>
      <c r="Q288">
        <v>1</v>
      </c>
      <c r="R288">
        <v>5</v>
      </c>
      <c r="S288">
        <v>101.143596953</v>
      </c>
      <c r="T288">
        <v>20841696</v>
      </c>
      <c r="U288">
        <v>20841696</v>
      </c>
      <c r="V288">
        <v>1</v>
      </c>
      <c r="W288">
        <v>0</v>
      </c>
      <c r="X288">
        <v>21080041</v>
      </c>
      <c r="Y288">
        <v>21080041</v>
      </c>
    </row>
    <row r="289" spans="1:25" x14ac:dyDescent="0.25">
      <c r="A289">
        <v>20</v>
      </c>
      <c r="B289" t="s">
        <v>25</v>
      </c>
      <c r="C289" t="s">
        <v>26</v>
      </c>
      <c r="D289" t="s">
        <v>3724</v>
      </c>
      <c r="E289">
        <v>221112</v>
      </c>
      <c r="G289" t="s">
        <v>3725</v>
      </c>
      <c r="H289" t="s">
        <v>3618</v>
      </c>
      <c r="I289" t="s">
        <v>3725</v>
      </c>
      <c r="L289" t="b">
        <v>0</v>
      </c>
      <c r="M289" t="s">
        <v>50</v>
      </c>
      <c r="N289" t="s">
        <v>26</v>
      </c>
      <c r="P289" t="s">
        <v>33</v>
      </c>
      <c r="Q289">
        <v>1</v>
      </c>
      <c r="R289">
        <v>5</v>
      </c>
      <c r="S289">
        <v>101.210155184</v>
      </c>
      <c r="T289">
        <v>27915351</v>
      </c>
      <c r="U289">
        <v>27915351</v>
      </c>
      <c r="V289">
        <v>1</v>
      </c>
      <c r="W289">
        <v>0</v>
      </c>
      <c r="X289">
        <v>28253170.07</v>
      </c>
      <c r="Y289">
        <v>28253170.07</v>
      </c>
    </row>
    <row r="290" spans="1:25" x14ac:dyDescent="0.25">
      <c r="A290">
        <v>20</v>
      </c>
      <c r="B290" t="s">
        <v>25</v>
      </c>
      <c r="C290" t="s">
        <v>26</v>
      </c>
      <c r="D290" t="s">
        <v>3726</v>
      </c>
      <c r="E290">
        <v>221118</v>
      </c>
      <c r="G290" t="s">
        <v>3727</v>
      </c>
      <c r="H290" t="s">
        <v>3618</v>
      </c>
      <c r="I290" t="s">
        <v>3727</v>
      </c>
      <c r="L290" t="b">
        <v>0</v>
      </c>
      <c r="M290" t="s">
        <v>50</v>
      </c>
      <c r="N290" t="s">
        <v>26</v>
      </c>
      <c r="P290" t="s">
        <v>33</v>
      </c>
      <c r="Q290">
        <v>1</v>
      </c>
      <c r="R290">
        <v>5</v>
      </c>
      <c r="S290">
        <v>101.1217785696</v>
      </c>
      <c r="T290">
        <v>10745971</v>
      </c>
      <c r="U290">
        <v>10745971</v>
      </c>
      <c r="V290">
        <v>1</v>
      </c>
      <c r="W290">
        <v>0</v>
      </c>
      <c r="X290">
        <v>10866517</v>
      </c>
      <c r="Y290">
        <v>10866517</v>
      </c>
    </row>
    <row r="291" spans="1:25" x14ac:dyDescent="0.25">
      <c r="A291">
        <v>20</v>
      </c>
      <c r="B291" t="s">
        <v>25</v>
      </c>
      <c r="C291" t="s">
        <v>26</v>
      </c>
      <c r="D291" t="s">
        <v>3728</v>
      </c>
      <c r="E291">
        <v>221119</v>
      </c>
      <c r="G291" t="s">
        <v>3729</v>
      </c>
      <c r="H291" t="s">
        <v>3618</v>
      </c>
      <c r="I291" t="s">
        <v>3729</v>
      </c>
      <c r="L291" t="b">
        <v>0</v>
      </c>
      <c r="M291" t="s">
        <v>50</v>
      </c>
      <c r="N291" t="s">
        <v>26</v>
      </c>
      <c r="P291" t="s">
        <v>33</v>
      </c>
      <c r="Q291">
        <v>1</v>
      </c>
      <c r="R291">
        <v>5</v>
      </c>
      <c r="S291">
        <v>101.0563734286</v>
      </c>
      <c r="T291">
        <v>12085215</v>
      </c>
      <c r="U291">
        <v>12085215</v>
      </c>
      <c r="V291">
        <v>1</v>
      </c>
      <c r="W291">
        <v>0</v>
      </c>
      <c r="X291">
        <v>12212880</v>
      </c>
      <c r="Y291">
        <v>12212880</v>
      </c>
    </row>
    <row r="292" spans="1:25" x14ac:dyDescent="0.25">
      <c r="A292">
        <v>20</v>
      </c>
      <c r="B292" t="s">
        <v>25</v>
      </c>
      <c r="C292" t="s">
        <v>26</v>
      </c>
      <c r="D292" t="s">
        <v>3730</v>
      </c>
      <c r="E292">
        <v>221125</v>
      </c>
      <c r="G292" t="s">
        <v>3731</v>
      </c>
      <c r="H292" t="s">
        <v>3618</v>
      </c>
      <c r="I292" t="s">
        <v>3731</v>
      </c>
      <c r="L292" t="b">
        <v>0</v>
      </c>
      <c r="M292" t="s">
        <v>50</v>
      </c>
      <c r="N292" t="s">
        <v>26</v>
      </c>
      <c r="P292" t="s">
        <v>33</v>
      </c>
      <c r="Q292">
        <v>1</v>
      </c>
      <c r="R292">
        <v>5</v>
      </c>
      <c r="S292">
        <v>101.12177525200001</v>
      </c>
      <c r="T292">
        <v>17947267</v>
      </c>
      <c r="U292">
        <v>17947267</v>
      </c>
      <c r="V292">
        <v>1</v>
      </c>
      <c r="W292">
        <v>0</v>
      </c>
      <c r="X292">
        <v>18148595</v>
      </c>
      <c r="Y292">
        <v>18148595</v>
      </c>
    </row>
    <row r="293" spans="1:25" x14ac:dyDescent="0.25">
      <c r="A293">
        <v>20</v>
      </c>
      <c r="B293" t="s">
        <v>25</v>
      </c>
      <c r="C293" t="s">
        <v>26</v>
      </c>
      <c r="D293" t="s">
        <v>3732</v>
      </c>
      <c r="E293">
        <v>221130</v>
      </c>
      <c r="G293" t="s">
        <v>3733</v>
      </c>
      <c r="H293" t="s">
        <v>3618</v>
      </c>
      <c r="I293" t="s">
        <v>3733</v>
      </c>
      <c r="L293" t="b">
        <v>0</v>
      </c>
      <c r="M293" t="s">
        <v>50</v>
      </c>
      <c r="N293" t="s">
        <v>26</v>
      </c>
      <c r="P293" t="s">
        <v>33</v>
      </c>
      <c r="Q293">
        <v>1</v>
      </c>
      <c r="R293">
        <v>5</v>
      </c>
      <c r="S293">
        <v>101.121780296</v>
      </c>
      <c r="T293">
        <v>15185059</v>
      </c>
      <c r="U293">
        <v>15185059</v>
      </c>
      <c r="V293">
        <v>1</v>
      </c>
      <c r="W293">
        <v>0</v>
      </c>
      <c r="X293">
        <v>15355402</v>
      </c>
      <c r="Y293">
        <v>15355402</v>
      </c>
    </row>
    <row r="294" spans="1:25" x14ac:dyDescent="0.25">
      <c r="A294">
        <v>20</v>
      </c>
      <c r="B294" t="s">
        <v>25</v>
      </c>
      <c r="C294" t="s">
        <v>26</v>
      </c>
      <c r="D294" t="s">
        <v>3734</v>
      </c>
      <c r="E294">
        <v>221398</v>
      </c>
      <c r="G294" t="s">
        <v>3735</v>
      </c>
      <c r="H294" t="s">
        <v>3736</v>
      </c>
      <c r="I294" t="s">
        <v>3735</v>
      </c>
      <c r="L294" t="b">
        <v>0</v>
      </c>
      <c r="M294" t="s">
        <v>50</v>
      </c>
      <c r="N294" t="s">
        <v>26</v>
      </c>
      <c r="P294" t="s">
        <v>33</v>
      </c>
      <c r="Q294">
        <v>1</v>
      </c>
      <c r="R294">
        <v>5</v>
      </c>
      <c r="S294">
        <v>101.14075585000001</v>
      </c>
      <c r="T294">
        <v>40483543</v>
      </c>
      <c r="U294">
        <v>40483543</v>
      </c>
      <c r="V294">
        <v>1</v>
      </c>
      <c r="W294">
        <v>0</v>
      </c>
      <c r="X294">
        <v>40945361.390000001</v>
      </c>
      <c r="Y294">
        <v>40945361.390000001</v>
      </c>
    </row>
    <row r="295" spans="1:25" x14ac:dyDescent="0.25">
      <c r="A295">
        <v>20</v>
      </c>
      <c r="B295" t="s">
        <v>25</v>
      </c>
      <c r="C295" t="s">
        <v>26</v>
      </c>
      <c r="D295" t="s">
        <v>3737</v>
      </c>
      <c r="E295">
        <v>221399</v>
      </c>
      <c r="G295" t="s">
        <v>3738</v>
      </c>
      <c r="H295" t="s">
        <v>3736</v>
      </c>
      <c r="I295" t="s">
        <v>3738</v>
      </c>
      <c r="L295" t="b">
        <v>0</v>
      </c>
      <c r="M295" t="s">
        <v>50</v>
      </c>
      <c r="N295" t="s">
        <v>26</v>
      </c>
      <c r="P295" t="s">
        <v>33</v>
      </c>
      <c r="Q295">
        <v>1</v>
      </c>
      <c r="R295">
        <v>5</v>
      </c>
      <c r="S295">
        <v>101.140253712</v>
      </c>
      <c r="T295">
        <v>47877115</v>
      </c>
      <c r="U295">
        <v>47877115</v>
      </c>
      <c r="V295">
        <v>1</v>
      </c>
      <c r="W295">
        <v>0</v>
      </c>
      <c r="X295">
        <v>48423035.579999998</v>
      </c>
      <c r="Y295">
        <v>48423035.579999998</v>
      </c>
    </row>
    <row r="296" spans="1:25" x14ac:dyDescent="0.25">
      <c r="A296">
        <v>20</v>
      </c>
      <c r="B296" t="s">
        <v>25</v>
      </c>
      <c r="C296" t="s">
        <v>26</v>
      </c>
      <c r="D296" t="s">
        <v>3739</v>
      </c>
      <c r="E296">
        <v>221400</v>
      </c>
      <c r="G296" t="s">
        <v>3740</v>
      </c>
      <c r="H296" t="s">
        <v>3736</v>
      </c>
      <c r="I296" t="s">
        <v>3740</v>
      </c>
      <c r="L296" t="b">
        <v>0</v>
      </c>
      <c r="M296" t="s">
        <v>50</v>
      </c>
      <c r="N296" t="s">
        <v>26</v>
      </c>
      <c r="P296" t="s">
        <v>33</v>
      </c>
      <c r="Q296">
        <v>1</v>
      </c>
      <c r="R296">
        <v>5</v>
      </c>
      <c r="S296">
        <v>101.1402550068</v>
      </c>
      <c r="T296">
        <v>54922853</v>
      </c>
      <c r="U296">
        <v>54922853</v>
      </c>
      <c r="V296">
        <v>1</v>
      </c>
      <c r="W296">
        <v>0</v>
      </c>
      <c r="X296">
        <v>55549113.579999998</v>
      </c>
      <c r="Y296">
        <v>55549113.579999998</v>
      </c>
    </row>
    <row r="297" spans="1:25" x14ac:dyDescent="0.25">
      <c r="A297">
        <v>20</v>
      </c>
      <c r="B297" t="s">
        <v>25</v>
      </c>
      <c r="C297" t="s">
        <v>26</v>
      </c>
      <c r="D297" t="s">
        <v>3741</v>
      </c>
      <c r="E297">
        <v>221401</v>
      </c>
      <c r="G297" t="s">
        <v>3742</v>
      </c>
      <c r="H297" t="s">
        <v>3736</v>
      </c>
      <c r="I297" t="s">
        <v>3742</v>
      </c>
      <c r="L297" t="b">
        <v>0</v>
      </c>
      <c r="M297" t="s">
        <v>50</v>
      </c>
      <c r="N297" t="s">
        <v>26</v>
      </c>
      <c r="P297" t="s">
        <v>33</v>
      </c>
      <c r="Q297">
        <v>1</v>
      </c>
      <c r="R297">
        <v>5</v>
      </c>
      <c r="S297">
        <v>101.1420078436</v>
      </c>
      <c r="T297">
        <v>68279018</v>
      </c>
      <c r="U297">
        <v>68279018</v>
      </c>
      <c r="V297">
        <v>1</v>
      </c>
      <c r="W297">
        <v>0</v>
      </c>
      <c r="X297">
        <v>69058769.739999995</v>
      </c>
      <c r="Y297">
        <v>69058769.739999995</v>
      </c>
    </row>
    <row r="298" spans="1:25" x14ac:dyDescent="0.25">
      <c r="A298">
        <v>20</v>
      </c>
      <c r="B298" t="s">
        <v>25</v>
      </c>
      <c r="C298" t="s">
        <v>26</v>
      </c>
      <c r="D298" t="s">
        <v>3743</v>
      </c>
      <c r="E298">
        <v>221402</v>
      </c>
      <c r="G298" t="s">
        <v>3744</v>
      </c>
      <c r="H298" t="s">
        <v>3736</v>
      </c>
      <c r="I298" t="s">
        <v>3744</v>
      </c>
      <c r="L298" t="b">
        <v>0</v>
      </c>
      <c r="M298" t="s">
        <v>50</v>
      </c>
      <c r="N298" t="s">
        <v>26</v>
      </c>
      <c r="P298" t="s">
        <v>33</v>
      </c>
      <c r="Q298">
        <v>1</v>
      </c>
      <c r="R298">
        <v>5</v>
      </c>
      <c r="S298">
        <v>101.14250937840001</v>
      </c>
      <c r="T298">
        <v>120355828</v>
      </c>
      <c r="U298">
        <v>120355828</v>
      </c>
      <c r="V298">
        <v>1</v>
      </c>
      <c r="W298">
        <v>0</v>
      </c>
      <c r="X298">
        <v>121730904.62</v>
      </c>
      <c r="Y298">
        <v>121730904.62</v>
      </c>
    </row>
    <row r="299" spans="1:25" x14ac:dyDescent="0.25">
      <c r="A299">
        <v>20</v>
      </c>
      <c r="B299" t="s">
        <v>25</v>
      </c>
      <c r="C299" t="s">
        <v>26</v>
      </c>
      <c r="D299" t="s">
        <v>3745</v>
      </c>
      <c r="E299">
        <v>221405</v>
      </c>
      <c r="G299" t="s">
        <v>3746</v>
      </c>
      <c r="H299" t="s">
        <v>3618</v>
      </c>
      <c r="I299" t="s">
        <v>3746</v>
      </c>
      <c r="L299" t="b">
        <v>0</v>
      </c>
      <c r="M299" t="s">
        <v>50</v>
      </c>
      <c r="N299" t="s">
        <v>26</v>
      </c>
      <c r="P299" t="s">
        <v>33</v>
      </c>
      <c r="Q299">
        <v>1</v>
      </c>
      <c r="R299">
        <v>5</v>
      </c>
      <c r="S299">
        <v>101.1395051356</v>
      </c>
      <c r="T299">
        <v>131650394</v>
      </c>
      <c r="U299">
        <v>131650394</v>
      </c>
      <c r="V299">
        <v>1</v>
      </c>
      <c r="W299">
        <v>0</v>
      </c>
      <c r="X299">
        <v>133150557</v>
      </c>
      <c r="Y299">
        <v>133150557</v>
      </c>
    </row>
    <row r="300" spans="1:25" x14ac:dyDescent="0.25">
      <c r="A300">
        <v>20</v>
      </c>
      <c r="B300" t="s">
        <v>25</v>
      </c>
      <c r="C300" t="s">
        <v>26</v>
      </c>
      <c r="D300" t="s">
        <v>3747</v>
      </c>
      <c r="E300">
        <v>221406</v>
      </c>
      <c r="G300" t="s">
        <v>3748</v>
      </c>
      <c r="H300" t="s">
        <v>3618</v>
      </c>
      <c r="I300" t="s">
        <v>3748</v>
      </c>
      <c r="L300" t="b">
        <v>0</v>
      </c>
      <c r="M300" t="s">
        <v>50</v>
      </c>
      <c r="N300" t="s">
        <v>26</v>
      </c>
      <c r="P300" t="s">
        <v>33</v>
      </c>
      <c r="Q300">
        <v>1</v>
      </c>
      <c r="R300">
        <v>5</v>
      </c>
      <c r="S300">
        <v>101.1490737128</v>
      </c>
      <c r="T300">
        <v>79756678</v>
      </c>
      <c r="U300">
        <v>79756678</v>
      </c>
      <c r="V300">
        <v>1</v>
      </c>
      <c r="W300">
        <v>0</v>
      </c>
      <c r="X300">
        <v>80673141.019999996</v>
      </c>
      <c r="Y300">
        <v>80673141.019999996</v>
      </c>
    </row>
    <row r="301" spans="1:25" x14ac:dyDescent="0.25">
      <c r="A301">
        <v>20</v>
      </c>
      <c r="B301" t="s">
        <v>25</v>
      </c>
      <c r="C301" t="s">
        <v>26</v>
      </c>
      <c r="D301" t="s">
        <v>3749</v>
      </c>
      <c r="E301">
        <v>221407</v>
      </c>
      <c r="G301" t="s">
        <v>3750</v>
      </c>
      <c r="H301" t="s">
        <v>3618</v>
      </c>
      <c r="I301" t="s">
        <v>3750</v>
      </c>
      <c r="L301" t="b">
        <v>0</v>
      </c>
      <c r="M301" t="s">
        <v>50</v>
      </c>
      <c r="N301" t="s">
        <v>26</v>
      </c>
      <c r="P301" t="s">
        <v>33</v>
      </c>
      <c r="Q301">
        <v>1</v>
      </c>
      <c r="R301">
        <v>5</v>
      </c>
      <c r="S301">
        <v>101.1405054544</v>
      </c>
      <c r="T301">
        <v>37861515</v>
      </c>
      <c r="U301">
        <v>37861515</v>
      </c>
      <c r="V301">
        <v>1</v>
      </c>
      <c r="W301">
        <v>0</v>
      </c>
      <c r="X301">
        <v>38293327.640000001</v>
      </c>
      <c r="Y301">
        <v>38293327.640000001</v>
      </c>
    </row>
    <row r="302" spans="1:25" x14ac:dyDescent="0.25">
      <c r="A302">
        <v>20</v>
      </c>
      <c r="B302" t="s">
        <v>25</v>
      </c>
      <c r="C302" t="s">
        <v>26</v>
      </c>
      <c r="D302" t="s">
        <v>3751</v>
      </c>
      <c r="E302">
        <v>221544</v>
      </c>
      <c r="G302" t="s">
        <v>3752</v>
      </c>
      <c r="H302" t="s">
        <v>3588</v>
      </c>
      <c r="I302" t="s">
        <v>3752</v>
      </c>
      <c r="L302" t="b">
        <v>0</v>
      </c>
      <c r="M302" t="s">
        <v>50</v>
      </c>
      <c r="N302" t="s">
        <v>26</v>
      </c>
      <c r="P302" t="s">
        <v>33</v>
      </c>
      <c r="Q302">
        <v>1</v>
      </c>
      <c r="R302">
        <v>5</v>
      </c>
      <c r="S302">
        <v>101.5300057171</v>
      </c>
      <c r="T302">
        <v>5148560</v>
      </c>
      <c r="U302">
        <v>5148560</v>
      </c>
      <c r="V302">
        <v>1</v>
      </c>
      <c r="W302">
        <v>0</v>
      </c>
      <c r="X302">
        <v>5227333.26</v>
      </c>
      <c r="Y302">
        <v>5227333.26</v>
      </c>
    </row>
    <row r="303" spans="1:25" x14ac:dyDescent="0.25">
      <c r="A303">
        <v>20</v>
      </c>
      <c r="B303" t="s">
        <v>25</v>
      </c>
      <c r="C303" t="s">
        <v>26</v>
      </c>
      <c r="D303" t="s">
        <v>3753</v>
      </c>
      <c r="E303">
        <v>221545</v>
      </c>
      <c r="G303" t="s">
        <v>3754</v>
      </c>
      <c r="H303" t="s">
        <v>3588</v>
      </c>
      <c r="I303" t="s">
        <v>3754</v>
      </c>
      <c r="L303" t="b">
        <v>0</v>
      </c>
      <c r="M303" t="s">
        <v>50</v>
      </c>
      <c r="N303" t="s">
        <v>26</v>
      </c>
      <c r="P303" t="s">
        <v>33</v>
      </c>
      <c r="Q303">
        <v>1</v>
      </c>
      <c r="R303">
        <v>5</v>
      </c>
      <c r="S303">
        <v>101.5300015249</v>
      </c>
      <c r="T303">
        <v>16982270</v>
      </c>
      <c r="U303">
        <v>16982270</v>
      </c>
      <c r="V303">
        <v>1</v>
      </c>
      <c r="W303">
        <v>0</v>
      </c>
      <c r="X303">
        <v>17242098.989999998</v>
      </c>
      <c r="Y303">
        <v>17242098.989999998</v>
      </c>
    </row>
    <row r="304" spans="1:25" x14ac:dyDescent="0.25">
      <c r="A304">
        <v>20</v>
      </c>
      <c r="B304" t="s">
        <v>25</v>
      </c>
      <c r="C304" t="s">
        <v>26</v>
      </c>
      <c r="D304" t="s">
        <v>3755</v>
      </c>
      <c r="E304">
        <v>221546</v>
      </c>
      <c r="G304" t="s">
        <v>3756</v>
      </c>
      <c r="H304" t="s">
        <v>3588</v>
      </c>
      <c r="I304" t="s">
        <v>3756</v>
      </c>
      <c r="L304" t="b">
        <v>0</v>
      </c>
      <c r="M304" t="s">
        <v>50</v>
      </c>
      <c r="N304" t="s">
        <v>26</v>
      </c>
      <c r="P304" t="s">
        <v>33</v>
      </c>
      <c r="Q304">
        <v>1</v>
      </c>
      <c r="R304">
        <v>5</v>
      </c>
      <c r="S304">
        <v>101.53000163199999</v>
      </c>
      <c r="T304">
        <v>5024093</v>
      </c>
      <c r="U304">
        <v>5024093</v>
      </c>
      <c r="V304">
        <v>1</v>
      </c>
      <c r="W304">
        <v>0</v>
      </c>
      <c r="X304">
        <v>5100961.7</v>
      </c>
      <c r="Y304">
        <v>5100961.7</v>
      </c>
    </row>
    <row r="305" spans="1:25" x14ac:dyDescent="0.25">
      <c r="A305">
        <v>20</v>
      </c>
      <c r="B305" t="s">
        <v>25</v>
      </c>
      <c r="C305" t="s">
        <v>26</v>
      </c>
      <c r="D305" t="s">
        <v>3757</v>
      </c>
      <c r="E305">
        <v>221547</v>
      </c>
      <c r="G305" t="s">
        <v>3758</v>
      </c>
      <c r="H305" t="s">
        <v>3588</v>
      </c>
      <c r="I305" t="s">
        <v>3758</v>
      </c>
      <c r="L305" t="b">
        <v>0</v>
      </c>
      <c r="M305" t="s">
        <v>50</v>
      </c>
      <c r="N305" t="s">
        <v>26</v>
      </c>
      <c r="P305" t="s">
        <v>33</v>
      </c>
      <c r="Q305">
        <v>1</v>
      </c>
      <c r="R305">
        <v>5</v>
      </c>
      <c r="S305">
        <v>101.52999840370001</v>
      </c>
      <c r="T305">
        <v>5485962</v>
      </c>
      <c r="U305">
        <v>5485962</v>
      </c>
      <c r="V305">
        <v>1</v>
      </c>
      <c r="W305">
        <v>0</v>
      </c>
      <c r="X305">
        <v>5569897.1299999999</v>
      </c>
      <c r="Y305">
        <v>5569897.1299999999</v>
      </c>
    </row>
    <row r="306" spans="1:25" x14ac:dyDescent="0.25">
      <c r="A306">
        <v>20</v>
      </c>
      <c r="B306" t="s">
        <v>25</v>
      </c>
      <c r="C306" t="s">
        <v>26</v>
      </c>
      <c r="D306" t="s">
        <v>3759</v>
      </c>
      <c r="E306">
        <v>221548</v>
      </c>
      <c r="G306" t="s">
        <v>3760</v>
      </c>
      <c r="H306" t="s">
        <v>3588</v>
      </c>
      <c r="I306" t="s">
        <v>3760</v>
      </c>
      <c r="L306" t="b">
        <v>0</v>
      </c>
      <c r="M306" t="s">
        <v>50</v>
      </c>
      <c r="N306" t="s">
        <v>26</v>
      </c>
      <c r="P306" t="s">
        <v>33</v>
      </c>
      <c r="Q306">
        <v>1</v>
      </c>
      <c r="R306">
        <v>5</v>
      </c>
      <c r="S306">
        <v>101.53000083640001</v>
      </c>
      <c r="T306">
        <v>5223713</v>
      </c>
      <c r="U306">
        <v>5223713</v>
      </c>
      <c r="V306">
        <v>1</v>
      </c>
      <c r="W306">
        <v>0</v>
      </c>
      <c r="X306">
        <v>5303635.8499999996</v>
      </c>
      <c r="Y306">
        <v>5303635.8499999996</v>
      </c>
    </row>
    <row r="307" spans="1:25" x14ac:dyDescent="0.25">
      <c r="A307">
        <v>20</v>
      </c>
      <c r="B307" t="s">
        <v>25</v>
      </c>
      <c r="C307" t="s">
        <v>26</v>
      </c>
      <c r="D307" t="s">
        <v>3761</v>
      </c>
      <c r="E307">
        <v>221549</v>
      </c>
      <c r="G307" t="s">
        <v>3762</v>
      </c>
      <c r="H307" t="s">
        <v>3588</v>
      </c>
      <c r="I307" t="s">
        <v>3762</v>
      </c>
      <c r="L307" t="b">
        <v>0</v>
      </c>
      <c r="M307" t="s">
        <v>50</v>
      </c>
      <c r="N307" t="s">
        <v>26</v>
      </c>
      <c r="P307" t="s">
        <v>33</v>
      </c>
      <c r="Q307">
        <v>1</v>
      </c>
      <c r="R307">
        <v>5</v>
      </c>
      <c r="S307">
        <v>101.5299993472</v>
      </c>
      <c r="T307">
        <v>8089457</v>
      </c>
      <c r="U307">
        <v>8089457</v>
      </c>
      <c r="V307">
        <v>1</v>
      </c>
      <c r="W307">
        <v>0</v>
      </c>
      <c r="X307">
        <v>8213225.6399999997</v>
      </c>
      <c r="Y307">
        <v>8213225.6399999997</v>
      </c>
    </row>
    <row r="308" spans="1:25" x14ac:dyDescent="0.25">
      <c r="A308">
        <v>20</v>
      </c>
      <c r="B308" t="s">
        <v>25</v>
      </c>
      <c r="C308" t="s">
        <v>26</v>
      </c>
      <c r="D308" t="s">
        <v>3763</v>
      </c>
      <c r="E308">
        <v>221550</v>
      </c>
      <c r="G308" t="s">
        <v>3764</v>
      </c>
      <c r="H308" t="s">
        <v>3588</v>
      </c>
      <c r="I308" t="s">
        <v>3764</v>
      </c>
      <c r="L308" t="b">
        <v>0</v>
      </c>
      <c r="M308" t="s">
        <v>50</v>
      </c>
      <c r="N308" t="s">
        <v>26</v>
      </c>
      <c r="P308" t="s">
        <v>33</v>
      </c>
      <c r="Q308">
        <v>1</v>
      </c>
      <c r="R308">
        <v>5</v>
      </c>
      <c r="S308">
        <v>101.52999665439999</v>
      </c>
      <c r="T308">
        <v>6764136</v>
      </c>
      <c r="U308">
        <v>6764136</v>
      </c>
      <c r="V308">
        <v>1</v>
      </c>
      <c r="W308">
        <v>0</v>
      </c>
      <c r="X308">
        <v>6867627.0499999998</v>
      </c>
      <c r="Y308">
        <v>6867627.0499999998</v>
      </c>
    </row>
    <row r="309" spans="1:25" x14ac:dyDescent="0.25">
      <c r="A309">
        <v>20</v>
      </c>
      <c r="B309" t="s">
        <v>25</v>
      </c>
      <c r="C309" t="s">
        <v>26</v>
      </c>
      <c r="D309" t="s">
        <v>3765</v>
      </c>
      <c r="E309">
        <v>221722</v>
      </c>
      <c r="G309" t="s">
        <v>3766</v>
      </c>
      <c r="H309" t="s">
        <v>3736</v>
      </c>
      <c r="I309" t="s">
        <v>3766</v>
      </c>
      <c r="L309" t="b">
        <v>0</v>
      </c>
      <c r="M309" t="s">
        <v>50</v>
      </c>
      <c r="N309" t="s">
        <v>26</v>
      </c>
      <c r="P309" t="s">
        <v>33</v>
      </c>
      <c r="Q309">
        <v>1</v>
      </c>
      <c r="R309">
        <v>5</v>
      </c>
      <c r="S309">
        <v>101.07909940499999</v>
      </c>
      <c r="T309">
        <v>12746054</v>
      </c>
      <c r="U309">
        <v>12746054</v>
      </c>
      <c r="V309">
        <v>1</v>
      </c>
      <c r="W309">
        <v>0</v>
      </c>
      <c r="X309">
        <v>12883596.59</v>
      </c>
      <c r="Y309">
        <v>12883596.59</v>
      </c>
    </row>
    <row r="310" spans="1:25" x14ac:dyDescent="0.25">
      <c r="A310">
        <v>20</v>
      </c>
      <c r="B310" t="s">
        <v>25</v>
      </c>
      <c r="C310" t="s">
        <v>26</v>
      </c>
      <c r="D310" t="s">
        <v>3767</v>
      </c>
      <c r="E310">
        <v>224894</v>
      </c>
      <c r="G310" t="s">
        <v>3768</v>
      </c>
      <c r="H310" t="s">
        <v>3769</v>
      </c>
      <c r="I310" t="s">
        <v>3768</v>
      </c>
      <c r="L310" t="b">
        <v>0</v>
      </c>
      <c r="M310" t="s">
        <v>50</v>
      </c>
      <c r="N310" t="s">
        <v>26</v>
      </c>
      <c r="P310" t="s">
        <v>33</v>
      </c>
      <c r="Q310">
        <v>1</v>
      </c>
      <c r="R310">
        <v>5</v>
      </c>
      <c r="S310">
        <v>100.53089043839999</v>
      </c>
      <c r="T310">
        <v>9307872</v>
      </c>
      <c r="U310">
        <v>9307872</v>
      </c>
      <c r="V310">
        <v>1</v>
      </c>
      <c r="W310">
        <v>0</v>
      </c>
      <c r="X310">
        <v>9357286.5999999996</v>
      </c>
      <c r="Y310">
        <v>9357286.5999999996</v>
      </c>
    </row>
    <row r="311" spans="1:25" x14ac:dyDescent="0.25">
      <c r="A311">
        <v>20</v>
      </c>
      <c r="B311" t="s">
        <v>25</v>
      </c>
      <c r="C311" t="s">
        <v>26</v>
      </c>
      <c r="D311" t="s">
        <v>3770</v>
      </c>
      <c r="E311">
        <v>224895</v>
      </c>
      <c r="G311" t="s">
        <v>3771</v>
      </c>
      <c r="H311" t="s">
        <v>3769</v>
      </c>
      <c r="I311" t="s">
        <v>3771</v>
      </c>
      <c r="L311" t="b">
        <v>0</v>
      </c>
      <c r="M311" t="s">
        <v>50</v>
      </c>
      <c r="N311" t="s">
        <v>26</v>
      </c>
      <c r="P311" t="s">
        <v>33</v>
      </c>
      <c r="Q311">
        <v>1</v>
      </c>
      <c r="R311">
        <v>5</v>
      </c>
      <c r="S311">
        <v>100.37472762</v>
      </c>
      <c r="T311">
        <v>9450064</v>
      </c>
      <c r="U311">
        <v>9450064</v>
      </c>
      <c r="V311">
        <v>1</v>
      </c>
      <c r="W311">
        <v>0</v>
      </c>
      <c r="X311">
        <v>9485476</v>
      </c>
      <c r="Y311">
        <v>9485476</v>
      </c>
    </row>
    <row r="312" spans="1:25" x14ac:dyDescent="0.25">
      <c r="A312">
        <v>20</v>
      </c>
      <c r="B312" t="s">
        <v>25</v>
      </c>
      <c r="C312" t="s">
        <v>26</v>
      </c>
      <c r="D312" t="s">
        <v>3772</v>
      </c>
      <c r="E312">
        <v>224896</v>
      </c>
      <c r="G312" t="s">
        <v>3773</v>
      </c>
      <c r="H312" t="s">
        <v>3769</v>
      </c>
      <c r="I312" t="s">
        <v>3773</v>
      </c>
      <c r="L312" t="b">
        <v>0</v>
      </c>
      <c r="M312" t="s">
        <v>50</v>
      </c>
      <c r="N312" t="s">
        <v>26</v>
      </c>
      <c r="P312" t="s">
        <v>33</v>
      </c>
      <c r="Q312">
        <v>1</v>
      </c>
      <c r="R312">
        <v>5</v>
      </c>
      <c r="S312">
        <v>100.5287865184</v>
      </c>
      <c r="T312">
        <v>11988886</v>
      </c>
      <c r="U312">
        <v>11988886</v>
      </c>
      <c r="V312">
        <v>1</v>
      </c>
      <c r="W312">
        <v>0</v>
      </c>
      <c r="X312">
        <v>12052281.609999999</v>
      </c>
      <c r="Y312">
        <v>12052281.609999999</v>
      </c>
    </row>
    <row r="313" spans="1:25" x14ac:dyDescent="0.25">
      <c r="A313">
        <v>20</v>
      </c>
      <c r="B313" t="s">
        <v>25</v>
      </c>
      <c r="C313" t="s">
        <v>26</v>
      </c>
      <c r="D313" t="s">
        <v>3774</v>
      </c>
      <c r="E313">
        <v>224897</v>
      </c>
      <c r="G313" t="s">
        <v>3775</v>
      </c>
      <c r="H313" t="s">
        <v>3769</v>
      </c>
      <c r="I313" t="s">
        <v>3775</v>
      </c>
      <c r="L313" t="b">
        <v>0</v>
      </c>
      <c r="M313" t="s">
        <v>50</v>
      </c>
      <c r="N313" t="s">
        <v>26</v>
      </c>
      <c r="P313" t="s">
        <v>33</v>
      </c>
      <c r="Q313">
        <v>1</v>
      </c>
      <c r="R313">
        <v>5</v>
      </c>
      <c r="S313">
        <v>100.5308918552</v>
      </c>
      <c r="T313">
        <v>19740612</v>
      </c>
      <c r="U313">
        <v>19740612</v>
      </c>
      <c r="V313">
        <v>1</v>
      </c>
      <c r="W313">
        <v>0</v>
      </c>
      <c r="X313">
        <v>19845413.300000001</v>
      </c>
      <c r="Y313">
        <v>19845413.300000001</v>
      </c>
    </row>
    <row r="314" spans="1:25" x14ac:dyDescent="0.25">
      <c r="A314">
        <v>20</v>
      </c>
      <c r="B314" t="s">
        <v>25</v>
      </c>
      <c r="C314" t="s">
        <v>26</v>
      </c>
      <c r="D314" t="s">
        <v>3776</v>
      </c>
      <c r="E314">
        <v>224898</v>
      </c>
      <c r="G314" t="s">
        <v>3777</v>
      </c>
      <c r="H314" t="s">
        <v>3769</v>
      </c>
      <c r="I314" t="s">
        <v>3777</v>
      </c>
      <c r="L314" t="b">
        <v>0</v>
      </c>
      <c r="M314" t="s">
        <v>50</v>
      </c>
      <c r="N314" t="s">
        <v>26</v>
      </c>
      <c r="P314" t="s">
        <v>33</v>
      </c>
      <c r="Q314">
        <v>1</v>
      </c>
      <c r="R314">
        <v>5</v>
      </c>
      <c r="S314">
        <v>100.5308915136</v>
      </c>
      <c r="T314">
        <v>20064254</v>
      </c>
      <c r="U314">
        <v>20064254</v>
      </c>
      <c r="V314">
        <v>1</v>
      </c>
      <c r="W314">
        <v>0</v>
      </c>
      <c r="X314">
        <v>20170773.420000002</v>
      </c>
      <c r="Y314">
        <v>20170773.420000002</v>
      </c>
    </row>
    <row r="315" spans="1:25" x14ac:dyDescent="0.25">
      <c r="A315">
        <v>20</v>
      </c>
      <c r="B315" t="s">
        <v>25</v>
      </c>
      <c r="C315" t="s">
        <v>26</v>
      </c>
      <c r="D315" t="s">
        <v>3778</v>
      </c>
      <c r="E315">
        <v>224899</v>
      </c>
      <c r="G315" t="s">
        <v>3779</v>
      </c>
      <c r="H315" t="s">
        <v>3618</v>
      </c>
      <c r="I315" t="s">
        <v>3779</v>
      </c>
      <c r="L315" t="b">
        <v>0</v>
      </c>
      <c r="M315" t="s">
        <v>50</v>
      </c>
      <c r="N315" t="s">
        <v>26</v>
      </c>
      <c r="P315" t="s">
        <v>33</v>
      </c>
      <c r="Q315">
        <v>1</v>
      </c>
      <c r="R315">
        <v>5</v>
      </c>
      <c r="S315">
        <v>100.5291862828</v>
      </c>
      <c r="T315">
        <v>204590119</v>
      </c>
      <c r="U315">
        <v>204590119</v>
      </c>
      <c r="V315">
        <v>1</v>
      </c>
      <c r="W315">
        <v>0</v>
      </c>
      <c r="X315">
        <v>205672781.84999999</v>
      </c>
      <c r="Y315">
        <v>205672781.84999999</v>
      </c>
    </row>
    <row r="316" spans="1:25" x14ac:dyDescent="0.25">
      <c r="A316">
        <v>20</v>
      </c>
      <c r="B316" t="s">
        <v>25</v>
      </c>
      <c r="C316" t="s">
        <v>26</v>
      </c>
      <c r="D316" t="s">
        <v>3780</v>
      </c>
      <c r="E316">
        <v>224900</v>
      </c>
      <c r="G316" t="s">
        <v>3781</v>
      </c>
      <c r="H316" t="s">
        <v>3736</v>
      </c>
      <c r="I316" t="s">
        <v>3781</v>
      </c>
      <c r="L316" t="b">
        <v>0</v>
      </c>
      <c r="M316" t="s">
        <v>50</v>
      </c>
      <c r="N316" t="s">
        <v>26</v>
      </c>
      <c r="P316" t="s">
        <v>33</v>
      </c>
      <c r="Q316">
        <v>1</v>
      </c>
      <c r="R316">
        <v>5</v>
      </c>
      <c r="S316">
        <v>100.52848683720001</v>
      </c>
      <c r="T316">
        <v>15620728</v>
      </c>
      <c r="U316">
        <v>15620728</v>
      </c>
      <c r="V316">
        <v>1</v>
      </c>
      <c r="W316">
        <v>0</v>
      </c>
      <c r="X316">
        <v>15703281.49</v>
      </c>
      <c r="Y316">
        <v>15703281.49</v>
      </c>
    </row>
    <row r="317" spans="1:25" x14ac:dyDescent="0.25">
      <c r="A317">
        <v>20</v>
      </c>
      <c r="B317" t="s">
        <v>25</v>
      </c>
      <c r="C317" t="s">
        <v>26</v>
      </c>
      <c r="D317" t="s">
        <v>3782</v>
      </c>
      <c r="E317">
        <v>224901</v>
      </c>
      <c r="G317" t="s">
        <v>3783</v>
      </c>
      <c r="H317" t="s">
        <v>3736</v>
      </c>
      <c r="I317" t="s">
        <v>3783</v>
      </c>
      <c r="L317" t="b">
        <v>0</v>
      </c>
      <c r="M317" t="s">
        <v>50</v>
      </c>
      <c r="N317" t="s">
        <v>26</v>
      </c>
      <c r="P317" t="s">
        <v>33</v>
      </c>
      <c r="Q317">
        <v>1</v>
      </c>
      <c r="R317">
        <v>5</v>
      </c>
      <c r="S317">
        <v>100.5279890784</v>
      </c>
      <c r="T317">
        <v>21402491</v>
      </c>
      <c r="U317">
        <v>21402491</v>
      </c>
      <c r="V317">
        <v>1</v>
      </c>
      <c r="W317">
        <v>0</v>
      </c>
      <c r="X317">
        <v>21515493.809999999</v>
      </c>
      <c r="Y317">
        <v>21515493.809999999</v>
      </c>
    </row>
    <row r="318" spans="1:25" x14ac:dyDescent="0.25">
      <c r="A318">
        <v>20</v>
      </c>
      <c r="B318" t="s">
        <v>25</v>
      </c>
      <c r="C318" t="s">
        <v>26</v>
      </c>
      <c r="D318" t="s">
        <v>3784</v>
      </c>
      <c r="E318">
        <v>224902</v>
      </c>
      <c r="G318" t="s">
        <v>3785</v>
      </c>
      <c r="H318" t="s">
        <v>3736</v>
      </c>
      <c r="I318" t="s">
        <v>3785</v>
      </c>
      <c r="L318" t="b">
        <v>0</v>
      </c>
      <c r="M318" t="s">
        <v>50</v>
      </c>
      <c r="N318" t="s">
        <v>26</v>
      </c>
      <c r="P318" t="s">
        <v>33</v>
      </c>
      <c r="Q318">
        <v>1</v>
      </c>
      <c r="R318">
        <v>5</v>
      </c>
      <c r="S318">
        <v>100.52888627119999</v>
      </c>
      <c r="T318">
        <v>158374061</v>
      </c>
      <c r="U318">
        <v>158374061</v>
      </c>
      <c r="V318">
        <v>1</v>
      </c>
      <c r="W318">
        <v>0</v>
      </c>
      <c r="X318">
        <v>159211679.66999999</v>
      </c>
      <c r="Y318">
        <v>159211679.66999999</v>
      </c>
    </row>
    <row r="319" spans="1:25" x14ac:dyDescent="0.25">
      <c r="A319">
        <v>20</v>
      </c>
      <c r="B319" t="s">
        <v>25</v>
      </c>
      <c r="C319" t="s">
        <v>26</v>
      </c>
      <c r="D319" t="s">
        <v>3786</v>
      </c>
      <c r="E319">
        <v>224903</v>
      </c>
      <c r="G319" t="s">
        <v>3787</v>
      </c>
      <c r="H319" t="s">
        <v>3618</v>
      </c>
      <c r="I319" t="s">
        <v>3787</v>
      </c>
      <c r="L319" t="b">
        <v>0</v>
      </c>
      <c r="M319" t="s">
        <v>50</v>
      </c>
      <c r="N319" t="s">
        <v>26</v>
      </c>
      <c r="P319" t="s">
        <v>33</v>
      </c>
      <c r="Q319">
        <v>1</v>
      </c>
      <c r="R319">
        <v>5</v>
      </c>
      <c r="S319">
        <v>100.53169743479999</v>
      </c>
      <c r="T319">
        <v>13610459</v>
      </c>
      <c r="U319">
        <v>13610459</v>
      </c>
      <c r="V319">
        <v>1</v>
      </c>
      <c r="W319">
        <v>0</v>
      </c>
      <c r="X319">
        <v>13682825.460000001</v>
      </c>
      <c r="Y319">
        <v>13682825.460000001</v>
      </c>
    </row>
    <row r="320" spans="1:25" x14ac:dyDescent="0.25">
      <c r="A320">
        <v>20</v>
      </c>
      <c r="B320" t="s">
        <v>25</v>
      </c>
      <c r="C320" t="s">
        <v>26</v>
      </c>
      <c r="D320" t="s">
        <v>3788</v>
      </c>
      <c r="E320">
        <v>224904</v>
      </c>
      <c r="G320" t="s">
        <v>3789</v>
      </c>
      <c r="H320" t="s">
        <v>3618</v>
      </c>
      <c r="I320" t="s">
        <v>3789</v>
      </c>
      <c r="L320" t="b">
        <v>0</v>
      </c>
      <c r="M320" t="s">
        <v>50</v>
      </c>
      <c r="N320" t="s">
        <v>26</v>
      </c>
      <c r="P320" t="s">
        <v>33</v>
      </c>
      <c r="Q320">
        <v>1</v>
      </c>
      <c r="R320">
        <v>5</v>
      </c>
      <c r="S320">
        <v>100.531698832</v>
      </c>
      <c r="T320">
        <v>21167275</v>
      </c>
      <c r="U320">
        <v>21167275</v>
      </c>
      <c r="V320">
        <v>1</v>
      </c>
      <c r="W320">
        <v>0</v>
      </c>
      <c r="X320">
        <v>21279821.149999999</v>
      </c>
      <c r="Y320">
        <v>21279821.149999999</v>
      </c>
    </row>
    <row r="321" spans="1:25" x14ac:dyDescent="0.25">
      <c r="A321">
        <v>20</v>
      </c>
      <c r="B321" t="s">
        <v>25</v>
      </c>
      <c r="C321" t="s">
        <v>26</v>
      </c>
      <c r="D321" t="s">
        <v>3790</v>
      </c>
      <c r="E321">
        <v>224905</v>
      </c>
      <c r="G321" t="s">
        <v>3791</v>
      </c>
      <c r="H321" t="s">
        <v>3618</v>
      </c>
      <c r="I321" t="s">
        <v>3791</v>
      </c>
      <c r="L321" t="b">
        <v>0</v>
      </c>
      <c r="M321" t="s">
        <v>50</v>
      </c>
      <c r="N321" t="s">
        <v>26</v>
      </c>
      <c r="P321" t="s">
        <v>33</v>
      </c>
      <c r="Q321">
        <v>1</v>
      </c>
      <c r="R321">
        <v>5</v>
      </c>
      <c r="S321">
        <v>100.5316987172</v>
      </c>
      <c r="T321">
        <v>24631011</v>
      </c>
      <c r="U321">
        <v>24631011</v>
      </c>
      <c r="V321">
        <v>1</v>
      </c>
      <c r="W321">
        <v>0</v>
      </c>
      <c r="X321">
        <v>24761973.77</v>
      </c>
      <c r="Y321">
        <v>24761973.77</v>
      </c>
    </row>
    <row r="322" spans="1:25" x14ac:dyDescent="0.25">
      <c r="A322">
        <v>20</v>
      </c>
      <c r="B322" t="s">
        <v>25</v>
      </c>
      <c r="C322" t="s">
        <v>26</v>
      </c>
      <c r="D322" t="s">
        <v>3792</v>
      </c>
      <c r="E322">
        <v>224906</v>
      </c>
      <c r="G322" t="s">
        <v>3793</v>
      </c>
      <c r="H322" t="s">
        <v>3618</v>
      </c>
      <c r="I322" t="s">
        <v>3793</v>
      </c>
      <c r="L322" t="b">
        <v>0</v>
      </c>
      <c r="M322" t="s">
        <v>50</v>
      </c>
      <c r="N322" t="s">
        <v>26</v>
      </c>
      <c r="P322" t="s">
        <v>33</v>
      </c>
      <c r="Q322">
        <v>1</v>
      </c>
      <c r="R322">
        <v>5</v>
      </c>
      <c r="S322">
        <v>100.531698734</v>
      </c>
      <c r="T322">
        <v>28864466</v>
      </c>
      <c r="U322">
        <v>28864466</v>
      </c>
      <c r="V322">
        <v>1</v>
      </c>
      <c r="W322">
        <v>0</v>
      </c>
      <c r="X322">
        <v>29017938</v>
      </c>
      <c r="Y322">
        <v>29017938</v>
      </c>
    </row>
    <row r="323" spans="1:25" x14ac:dyDescent="0.25">
      <c r="A323">
        <v>20</v>
      </c>
      <c r="B323" t="s">
        <v>25</v>
      </c>
      <c r="C323" t="s">
        <v>26</v>
      </c>
      <c r="D323" t="s">
        <v>3794</v>
      </c>
      <c r="E323">
        <v>224907</v>
      </c>
      <c r="G323" t="s">
        <v>3795</v>
      </c>
      <c r="H323" t="s">
        <v>3618</v>
      </c>
      <c r="I323" t="s">
        <v>3795</v>
      </c>
      <c r="L323" t="b">
        <v>0</v>
      </c>
      <c r="M323" t="s">
        <v>50</v>
      </c>
      <c r="N323" t="s">
        <v>26</v>
      </c>
      <c r="P323" t="s">
        <v>33</v>
      </c>
      <c r="Q323">
        <v>1</v>
      </c>
      <c r="R323">
        <v>5</v>
      </c>
      <c r="S323">
        <v>100.5316986584</v>
      </c>
      <c r="T323">
        <v>33502667</v>
      </c>
      <c r="U323">
        <v>33502667</v>
      </c>
      <c r="V323">
        <v>1</v>
      </c>
      <c r="W323">
        <v>0</v>
      </c>
      <c r="X323">
        <v>33680800.229999997</v>
      </c>
      <c r="Y323">
        <v>33680800.229999997</v>
      </c>
    </row>
    <row r="324" spans="1:25" x14ac:dyDescent="0.25">
      <c r="A324">
        <v>20</v>
      </c>
      <c r="B324" t="s">
        <v>25</v>
      </c>
      <c r="C324" t="s">
        <v>26</v>
      </c>
      <c r="D324" t="s">
        <v>3796</v>
      </c>
      <c r="E324">
        <v>224908</v>
      </c>
      <c r="G324" t="s">
        <v>3797</v>
      </c>
      <c r="H324" t="s">
        <v>3618</v>
      </c>
      <c r="I324" t="s">
        <v>3797</v>
      </c>
      <c r="L324" t="b">
        <v>0</v>
      </c>
      <c r="M324" t="s">
        <v>50</v>
      </c>
      <c r="N324" t="s">
        <v>26</v>
      </c>
      <c r="P324" t="s">
        <v>33</v>
      </c>
      <c r="Q324">
        <v>1</v>
      </c>
      <c r="R324">
        <v>5</v>
      </c>
      <c r="S324">
        <v>100.45001912319999</v>
      </c>
      <c r="T324">
        <v>16209089</v>
      </c>
      <c r="U324">
        <v>16209089</v>
      </c>
      <c r="V324">
        <v>1</v>
      </c>
      <c r="W324">
        <v>0</v>
      </c>
      <c r="X324">
        <v>16282033</v>
      </c>
      <c r="Y324">
        <v>16282033</v>
      </c>
    </row>
    <row r="325" spans="1:25" x14ac:dyDescent="0.25">
      <c r="A325">
        <v>20</v>
      </c>
      <c r="B325" t="s">
        <v>25</v>
      </c>
      <c r="C325" t="s">
        <v>26</v>
      </c>
      <c r="D325" t="s">
        <v>3798</v>
      </c>
      <c r="E325">
        <v>224909</v>
      </c>
      <c r="G325" t="s">
        <v>3799</v>
      </c>
      <c r="H325" t="s">
        <v>3618</v>
      </c>
      <c r="I325" t="s">
        <v>3799</v>
      </c>
      <c r="L325" t="b">
        <v>0</v>
      </c>
      <c r="M325" t="s">
        <v>50</v>
      </c>
      <c r="N325" t="s">
        <v>26</v>
      </c>
      <c r="P325" t="s">
        <v>33</v>
      </c>
      <c r="Q325">
        <v>1</v>
      </c>
      <c r="R325">
        <v>5</v>
      </c>
      <c r="S325">
        <v>100.45001912319999</v>
      </c>
      <c r="T325">
        <v>16209089</v>
      </c>
      <c r="U325">
        <v>16209089</v>
      </c>
      <c r="V325">
        <v>1</v>
      </c>
      <c r="W325">
        <v>0</v>
      </c>
      <c r="X325">
        <v>16282033</v>
      </c>
      <c r="Y325">
        <v>16282033</v>
      </c>
    </row>
    <row r="326" spans="1:25" x14ac:dyDescent="0.25">
      <c r="A326">
        <v>20</v>
      </c>
      <c r="B326" t="s">
        <v>25</v>
      </c>
      <c r="C326" t="s">
        <v>26</v>
      </c>
      <c r="D326" t="s">
        <v>3800</v>
      </c>
      <c r="E326">
        <v>224910</v>
      </c>
      <c r="G326" t="s">
        <v>3801</v>
      </c>
      <c r="H326" t="s">
        <v>3618</v>
      </c>
      <c r="I326" t="s">
        <v>3801</v>
      </c>
      <c r="L326" t="b">
        <v>0</v>
      </c>
      <c r="M326" t="s">
        <v>50</v>
      </c>
      <c r="N326" t="s">
        <v>26</v>
      </c>
      <c r="P326" t="s">
        <v>33</v>
      </c>
      <c r="Q326">
        <v>1</v>
      </c>
      <c r="R326">
        <v>5</v>
      </c>
      <c r="S326">
        <v>100.450014856</v>
      </c>
      <c r="T326">
        <v>21250854</v>
      </c>
      <c r="U326">
        <v>21250854</v>
      </c>
      <c r="V326">
        <v>1</v>
      </c>
      <c r="W326">
        <v>0</v>
      </c>
      <c r="X326">
        <v>21346486</v>
      </c>
      <c r="Y326">
        <v>21346486</v>
      </c>
    </row>
    <row r="327" spans="1:25" x14ac:dyDescent="0.25">
      <c r="A327">
        <v>20</v>
      </c>
      <c r="B327" t="s">
        <v>25</v>
      </c>
      <c r="C327" t="s">
        <v>26</v>
      </c>
      <c r="D327" t="s">
        <v>3802</v>
      </c>
      <c r="E327">
        <v>224911</v>
      </c>
      <c r="G327" t="s">
        <v>3803</v>
      </c>
      <c r="H327" t="s">
        <v>3769</v>
      </c>
      <c r="I327" t="s">
        <v>3803</v>
      </c>
      <c r="L327" t="b">
        <v>0</v>
      </c>
      <c r="M327" t="s">
        <v>50</v>
      </c>
      <c r="N327" t="s">
        <v>26</v>
      </c>
      <c r="P327" t="s">
        <v>33</v>
      </c>
      <c r="Q327">
        <v>1</v>
      </c>
      <c r="R327">
        <v>5</v>
      </c>
      <c r="S327">
        <v>100.5259069228</v>
      </c>
      <c r="T327">
        <v>9211078</v>
      </c>
      <c r="U327">
        <v>9211078</v>
      </c>
      <c r="V327">
        <v>1</v>
      </c>
      <c r="W327">
        <v>0</v>
      </c>
      <c r="X327">
        <v>9259519.6999999993</v>
      </c>
      <c r="Y327">
        <v>9259519.6999999993</v>
      </c>
    </row>
    <row r="328" spans="1:25" x14ac:dyDescent="0.25">
      <c r="A328">
        <v>20</v>
      </c>
      <c r="B328" t="s">
        <v>25</v>
      </c>
      <c r="C328" t="s">
        <v>26</v>
      </c>
      <c r="D328" t="s">
        <v>3804</v>
      </c>
      <c r="E328">
        <v>224912</v>
      </c>
      <c r="G328" t="s">
        <v>3805</v>
      </c>
      <c r="H328" t="s">
        <v>3769</v>
      </c>
      <c r="I328" t="s">
        <v>3805</v>
      </c>
      <c r="L328" t="b">
        <v>0</v>
      </c>
      <c r="M328" t="s">
        <v>50</v>
      </c>
      <c r="N328" t="s">
        <v>26</v>
      </c>
      <c r="P328" t="s">
        <v>33</v>
      </c>
      <c r="Q328">
        <v>1</v>
      </c>
      <c r="R328">
        <v>5</v>
      </c>
      <c r="S328">
        <v>100.374730786</v>
      </c>
      <c r="T328">
        <v>9721379</v>
      </c>
      <c r="U328">
        <v>9721379</v>
      </c>
      <c r="V328">
        <v>1</v>
      </c>
      <c r="W328">
        <v>0</v>
      </c>
      <c r="X328">
        <v>9757808</v>
      </c>
      <c r="Y328">
        <v>9757808</v>
      </c>
    </row>
    <row r="329" spans="1:25" x14ac:dyDescent="0.25">
      <c r="A329">
        <v>20</v>
      </c>
      <c r="B329" t="s">
        <v>25</v>
      </c>
      <c r="C329" t="s">
        <v>26</v>
      </c>
      <c r="D329" t="s">
        <v>3806</v>
      </c>
      <c r="E329">
        <v>224913</v>
      </c>
      <c r="G329" t="s">
        <v>3807</v>
      </c>
      <c r="H329" t="s">
        <v>3769</v>
      </c>
      <c r="I329" t="s">
        <v>3807</v>
      </c>
      <c r="L329" t="b">
        <v>0</v>
      </c>
      <c r="M329" t="s">
        <v>50</v>
      </c>
      <c r="N329" t="s">
        <v>26</v>
      </c>
      <c r="P329" t="s">
        <v>33</v>
      </c>
      <c r="Q329">
        <v>1</v>
      </c>
      <c r="R329">
        <v>5</v>
      </c>
      <c r="S329">
        <v>100.5316993612</v>
      </c>
      <c r="T329">
        <v>10829023</v>
      </c>
      <c r="U329">
        <v>10829023</v>
      </c>
      <c r="V329">
        <v>1</v>
      </c>
      <c r="W329">
        <v>0</v>
      </c>
      <c r="X329">
        <v>10886600.85</v>
      </c>
      <c r="Y329">
        <v>10886600.85</v>
      </c>
    </row>
    <row r="330" spans="1:25" x14ac:dyDescent="0.25">
      <c r="A330">
        <v>20</v>
      </c>
      <c r="B330" t="s">
        <v>25</v>
      </c>
      <c r="C330" t="s">
        <v>26</v>
      </c>
      <c r="D330" t="s">
        <v>3808</v>
      </c>
      <c r="E330">
        <v>224917</v>
      </c>
      <c r="G330" t="s">
        <v>3809</v>
      </c>
      <c r="H330" t="s">
        <v>3810</v>
      </c>
      <c r="I330" t="s">
        <v>3809</v>
      </c>
      <c r="L330" t="b">
        <v>0</v>
      </c>
      <c r="M330" t="s">
        <v>50</v>
      </c>
      <c r="N330" t="s">
        <v>26</v>
      </c>
      <c r="P330" t="s">
        <v>33</v>
      </c>
      <c r="Q330">
        <v>1</v>
      </c>
      <c r="R330">
        <v>5</v>
      </c>
      <c r="S330">
        <v>100.5254127088</v>
      </c>
      <c r="T330">
        <v>64392428</v>
      </c>
      <c r="U330">
        <v>64392428</v>
      </c>
      <c r="V330">
        <v>1</v>
      </c>
      <c r="W330">
        <v>0</v>
      </c>
      <c r="X330">
        <v>64730754</v>
      </c>
      <c r="Y330">
        <v>64730754</v>
      </c>
    </row>
    <row r="331" spans="1:25" x14ac:dyDescent="0.25">
      <c r="A331">
        <v>20</v>
      </c>
      <c r="B331" t="s">
        <v>25</v>
      </c>
      <c r="C331" t="s">
        <v>26</v>
      </c>
      <c r="D331" t="s">
        <v>3811</v>
      </c>
      <c r="E331">
        <v>224918</v>
      </c>
      <c r="G331" t="s">
        <v>3812</v>
      </c>
      <c r="H331" t="s">
        <v>3618</v>
      </c>
      <c r="I331" t="s">
        <v>3812</v>
      </c>
      <c r="L331" t="b">
        <v>0</v>
      </c>
      <c r="M331" t="s">
        <v>50</v>
      </c>
      <c r="N331" t="s">
        <v>26</v>
      </c>
      <c r="P331" t="s">
        <v>33</v>
      </c>
      <c r="Q331">
        <v>1</v>
      </c>
      <c r="R331">
        <v>5</v>
      </c>
      <c r="S331">
        <v>100.5270951896</v>
      </c>
      <c r="T331">
        <v>24699886</v>
      </c>
      <c r="U331">
        <v>24699886</v>
      </c>
      <c r="V331">
        <v>1</v>
      </c>
      <c r="W331">
        <v>0</v>
      </c>
      <c r="X331">
        <v>24830077.91</v>
      </c>
      <c r="Y331">
        <v>24830077.91</v>
      </c>
    </row>
    <row r="332" spans="1:25" x14ac:dyDescent="0.25">
      <c r="A332">
        <v>20</v>
      </c>
      <c r="B332" t="s">
        <v>25</v>
      </c>
      <c r="C332" t="s">
        <v>26</v>
      </c>
      <c r="D332" t="s">
        <v>3813</v>
      </c>
      <c r="E332">
        <v>224919</v>
      </c>
      <c r="G332" t="s">
        <v>3814</v>
      </c>
      <c r="H332" t="s">
        <v>3618</v>
      </c>
      <c r="I332" t="s">
        <v>3814</v>
      </c>
      <c r="L332" t="b">
        <v>0</v>
      </c>
      <c r="M332" t="s">
        <v>50</v>
      </c>
      <c r="N332" t="s">
        <v>26</v>
      </c>
      <c r="P332" t="s">
        <v>33</v>
      </c>
      <c r="Q332">
        <v>1</v>
      </c>
      <c r="R332">
        <v>5</v>
      </c>
      <c r="S332">
        <v>100.52541291039999</v>
      </c>
      <c r="T332">
        <v>34311871</v>
      </c>
      <c r="U332">
        <v>34311871</v>
      </c>
      <c r="V332">
        <v>1</v>
      </c>
      <c r="W332">
        <v>0</v>
      </c>
      <c r="X332">
        <v>34492150</v>
      </c>
      <c r="Y332">
        <v>34492150</v>
      </c>
    </row>
    <row r="333" spans="1:25" x14ac:dyDescent="0.25">
      <c r="A333">
        <v>20</v>
      </c>
      <c r="B333" t="s">
        <v>25</v>
      </c>
      <c r="C333" t="s">
        <v>26</v>
      </c>
      <c r="D333" t="s">
        <v>3815</v>
      </c>
      <c r="E333">
        <v>224924</v>
      </c>
      <c r="G333" t="s">
        <v>3816</v>
      </c>
      <c r="H333" t="s">
        <v>3618</v>
      </c>
      <c r="I333" t="s">
        <v>3816</v>
      </c>
      <c r="L333" t="b">
        <v>0</v>
      </c>
      <c r="M333" t="s">
        <v>50</v>
      </c>
      <c r="N333" t="s">
        <v>26</v>
      </c>
      <c r="P333" t="s">
        <v>33</v>
      </c>
      <c r="Q333">
        <v>1</v>
      </c>
      <c r="R333">
        <v>5</v>
      </c>
      <c r="S333">
        <v>100.52610354159999</v>
      </c>
      <c r="T333">
        <v>15366861</v>
      </c>
      <c r="U333">
        <v>15366861</v>
      </c>
      <c r="V333">
        <v>1</v>
      </c>
      <c r="W333">
        <v>0</v>
      </c>
      <c r="X333">
        <v>15447706.6</v>
      </c>
      <c r="Y333">
        <v>15447706.6</v>
      </c>
    </row>
    <row r="334" spans="1:25" x14ac:dyDescent="0.25">
      <c r="A334">
        <v>20</v>
      </c>
      <c r="B334" t="s">
        <v>25</v>
      </c>
      <c r="C334" t="s">
        <v>26</v>
      </c>
      <c r="D334" t="s">
        <v>3817</v>
      </c>
      <c r="E334">
        <v>224929</v>
      </c>
      <c r="G334" t="s">
        <v>3818</v>
      </c>
      <c r="H334" t="s">
        <v>3618</v>
      </c>
      <c r="I334" t="s">
        <v>3818</v>
      </c>
      <c r="L334" t="b">
        <v>0</v>
      </c>
      <c r="M334" t="s">
        <v>50</v>
      </c>
      <c r="N334" t="s">
        <v>26</v>
      </c>
      <c r="P334" t="s">
        <v>33</v>
      </c>
      <c r="Q334">
        <v>1</v>
      </c>
      <c r="R334">
        <v>5</v>
      </c>
      <c r="S334">
        <v>100.5338282292</v>
      </c>
      <c r="T334">
        <v>11418186</v>
      </c>
      <c r="U334">
        <v>11418186</v>
      </c>
      <c r="V334">
        <v>1</v>
      </c>
      <c r="W334">
        <v>0</v>
      </c>
      <c r="X334">
        <v>11479139.5</v>
      </c>
      <c r="Y334">
        <v>11479139.5</v>
      </c>
    </row>
    <row r="335" spans="1:25" x14ac:dyDescent="0.25">
      <c r="A335">
        <v>20</v>
      </c>
      <c r="B335" t="s">
        <v>25</v>
      </c>
      <c r="C335" t="s">
        <v>26</v>
      </c>
      <c r="D335" t="s">
        <v>3819</v>
      </c>
      <c r="E335">
        <v>224930</v>
      </c>
      <c r="G335" t="s">
        <v>3820</v>
      </c>
      <c r="H335" t="s">
        <v>3618</v>
      </c>
      <c r="I335" t="s">
        <v>3820</v>
      </c>
      <c r="L335" t="b">
        <v>0</v>
      </c>
      <c r="M335" t="s">
        <v>50</v>
      </c>
      <c r="N335" t="s">
        <v>26</v>
      </c>
      <c r="P335" t="s">
        <v>33</v>
      </c>
      <c r="Q335">
        <v>1</v>
      </c>
      <c r="R335">
        <v>5</v>
      </c>
      <c r="S335">
        <v>100.5264988764</v>
      </c>
      <c r="T335">
        <v>10981707</v>
      </c>
      <c r="U335">
        <v>10981707</v>
      </c>
      <c r="V335">
        <v>1</v>
      </c>
      <c r="W335">
        <v>0</v>
      </c>
      <c r="X335">
        <v>11039525.560000001</v>
      </c>
      <c r="Y335">
        <v>11039525.560000001</v>
      </c>
    </row>
    <row r="336" spans="1:25" x14ac:dyDescent="0.25">
      <c r="A336">
        <v>20</v>
      </c>
      <c r="B336" t="s">
        <v>25</v>
      </c>
      <c r="C336" t="s">
        <v>26</v>
      </c>
      <c r="D336" t="s">
        <v>3821</v>
      </c>
      <c r="E336">
        <v>224931</v>
      </c>
      <c r="G336" t="s">
        <v>3822</v>
      </c>
      <c r="H336" t="s">
        <v>3618</v>
      </c>
      <c r="I336" t="s">
        <v>3822</v>
      </c>
      <c r="L336" t="b">
        <v>0</v>
      </c>
      <c r="M336" t="s">
        <v>50</v>
      </c>
      <c r="N336" t="s">
        <v>26</v>
      </c>
      <c r="P336" t="s">
        <v>33</v>
      </c>
      <c r="Q336">
        <v>1</v>
      </c>
      <c r="R336">
        <v>5</v>
      </c>
      <c r="S336">
        <v>100.52709417600001</v>
      </c>
      <c r="T336">
        <v>10702671</v>
      </c>
      <c r="U336">
        <v>10702671</v>
      </c>
      <c r="V336">
        <v>1</v>
      </c>
      <c r="W336">
        <v>0</v>
      </c>
      <c r="X336">
        <v>10759084.16</v>
      </c>
      <c r="Y336">
        <v>10759084.16</v>
      </c>
    </row>
    <row r="337" spans="1:25" x14ac:dyDescent="0.25">
      <c r="A337">
        <v>20</v>
      </c>
      <c r="B337" t="s">
        <v>25</v>
      </c>
      <c r="C337" t="s">
        <v>26</v>
      </c>
      <c r="D337" t="s">
        <v>3823</v>
      </c>
      <c r="E337">
        <v>224932</v>
      </c>
      <c r="G337" t="s">
        <v>3824</v>
      </c>
      <c r="H337" t="s">
        <v>1810</v>
      </c>
      <c r="I337" t="s">
        <v>3824</v>
      </c>
      <c r="L337" t="b">
        <v>0</v>
      </c>
      <c r="M337" t="s">
        <v>50</v>
      </c>
      <c r="N337" t="s">
        <v>26</v>
      </c>
      <c r="P337" t="s">
        <v>33</v>
      </c>
      <c r="Q337">
        <v>1</v>
      </c>
      <c r="R337">
        <v>5</v>
      </c>
      <c r="S337">
        <v>100.5114534625</v>
      </c>
      <c r="T337">
        <v>34617845</v>
      </c>
      <c r="U337">
        <v>34617845</v>
      </c>
      <c r="V337">
        <v>1</v>
      </c>
      <c r="W337">
        <v>0</v>
      </c>
      <c r="X337">
        <v>34794899.170000002</v>
      </c>
      <c r="Y337">
        <v>34794899.170000002</v>
      </c>
    </row>
    <row r="338" spans="1:25" x14ac:dyDescent="0.25">
      <c r="A338">
        <v>20</v>
      </c>
      <c r="B338" t="s">
        <v>25</v>
      </c>
      <c r="C338" t="s">
        <v>26</v>
      </c>
      <c r="D338" t="s">
        <v>3825</v>
      </c>
      <c r="E338">
        <v>224933</v>
      </c>
      <c r="G338" t="s">
        <v>3826</v>
      </c>
      <c r="H338" t="s">
        <v>3618</v>
      </c>
      <c r="I338" t="s">
        <v>3826</v>
      </c>
      <c r="L338" t="b">
        <v>0</v>
      </c>
      <c r="M338" t="s">
        <v>50</v>
      </c>
      <c r="N338" t="s">
        <v>26</v>
      </c>
      <c r="P338" t="s">
        <v>33</v>
      </c>
      <c r="Q338">
        <v>1</v>
      </c>
      <c r="R338">
        <v>5</v>
      </c>
      <c r="S338">
        <v>100.51124609750001</v>
      </c>
      <c r="T338">
        <v>12343615</v>
      </c>
      <c r="U338">
        <v>12343615</v>
      </c>
      <c r="V338">
        <v>1</v>
      </c>
      <c r="W338">
        <v>0</v>
      </c>
      <c r="X338">
        <v>12406721.25</v>
      </c>
      <c r="Y338">
        <v>12406721.25</v>
      </c>
    </row>
    <row r="339" spans="1:25" x14ac:dyDescent="0.25">
      <c r="A339">
        <v>20</v>
      </c>
      <c r="B339" t="s">
        <v>25</v>
      </c>
      <c r="C339" t="s">
        <v>26</v>
      </c>
      <c r="D339" t="s">
        <v>3827</v>
      </c>
      <c r="E339">
        <v>224934</v>
      </c>
      <c r="G339" t="s">
        <v>3828</v>
      </c>
      <c r="H339" t="s">
        <v>3618</v>
      </c>
      <c r="I339" t="s">
        <v>3828</v>
      </c>
      <c r="L339" t="b">
        <v>0</v>
      </c>
      <c r="M339" t="s">
        <v>50</v>
      </c>
      <c r="N339" t="s">
        <v>26</v>
      </c>
      <c r="P339" t="s">
        <v>33</v>
      </c>
      <c r="Q339">
        <v>1</v>
      </c>
      <c r="R339">
        <v>5</v>
      </c>
      <c r="S339">
        <v>100.5112466575</v>
      </c>
      <c r="T339">
        <v>11674369</v>
      </c>
      <c r="U339">
        <v>11674369</v>
      </c>
      <c r="V339">
        <v>1</v>
      </c>
      <c r="W339">
        <v>0</v>
      </c>
      <c r="X339">
        <v>11734053.82</v>
      </c>
      <c r="Y339">
        <v>11734053.82</v>
      </c>
    </row>
    <row r="340" spans="1:25" x14ac:dyDescent="0.25">
      <c r="A340">
        <v>20</v>
      </c>
      <c r="B340" t="s">
        <v>25</v>
      </c>
      <c r="C340" t="s">
        <v>26</v>
      </c>
      <c r="D340" t="s">
        <v>3829</v>
      </c>
      <c r="E340">
        <v>224937</v>
      </c>
      <c r="G340" t="s">
        <v>3830</v>
      </c>
      <c r="H340" t="s">
        <v>3618</v>
      </c>
      <c r="I340" t="s">
        <v>3830</v>
      </c>
      <c r="L340" t="b">
        <v>0</v>
      </c>
      <c r="M340" t="s">
        <v>50</v>
      </c>
      <c r="N340" t="s">
        <v>26</v>
      </c>
      <c r="P340" t="s">
        <v>33</v>
      </c>
      <c r="Q340">
        <v>1</v>
      </c>
      <c r="R340">
        <v>5</v>
      </c>
      <c r="S340">
        <v>100.4698649461</v>
      </c>
      <c r="T340">
        <v>17883011</v>
      </c>
      <c r="U340">
        <v>17883011</v>
      </c>
      <c r="V340">
        <v>1</v>
      </c>
      <c r="W340">
        <v>0</v>
      </c>
      <c r="X340">
        <v>17967037</v>
      </c>
      <c r="Y340">
        <v>17967037</v>
      </c>
    </row>
    <row r="341" spans="1:25" x14ac:dyDescent="0.25">
      <c r="A341">
        <v>20</v>
      </c>
      <c r="B341" t="s">
        <v>25</v>
      </c>
      <c r="C341" t="s">
        <v>26</v>
      </c>
      <c r="D341" t="s">
        <v>3831</v>
      </c>
      <c r="E341">
        <v>224938</v>
      </c>
      <c r="G341" t="s">
        <v>3832</v>
      </c>
      <c r="H341" t="s">
        <v>3618</v>
      </c>
      <c r="I341" t="s">
        <v>3832</v>
      </c>
      <c r="L341" t="b">
        <v>0</v>
      </c>
      <c r="M341" t="s">
        <v>50</v>
      </c>
      <c r="N341" t="s">
        <v>26</v>
      </c>
      <c r="P341" t="s">
        <v>33</v>
      </c>
      <c r="Q341">
        <v>1</v>
      </c>
      <c r="R341">
        <v>5</v>
      </c>
      <c r="S341">
        <v>100.5114512825</v>
      </c>
      <c r="T341">
        <v>16387843</v>
      </c>
      <c r="U341">
        <v>16387843</v>
      </c>
      <c r="V341">
        <v>1</v>
      </c>
      <c r="W341">
        <v>0</v>
      </c>
      <c r="X341">
        <v>16471658.83</v>
      </c>
      <c r="Y341">
        <v>16471658.83</v>
      </c>
    </row>
    <row r="342" spans="1:25" x14ac:dyDescent="0.25">
      <c r="A342">
        <v>20</v>
      </c>
      <c r="B342" t="s">
        <v>25</v>
      </c>
      <c r="C342" t="s">
        <v>26</v>
      </c>
      <c r="D342" t="s">
        <v>3833</v>
      </c>
      <c r="E342">
        <v>224939</v>
      </c>
      <c r="G342" t="s">
        <v>3834</v>
      </c>
      <c r="H342" t="s">
        <v>3618</v>
      </c>
      <c r="I342" t="s">
        <v>3834</v>
      </c>
      <c r="L342" t="b">
        <v>0</v>
      </c>
      <c r="M342" t="s">
        <v>50</v>
      </c>
      <c r="N342" t="s">
        <v>26</v>
      </c>
      <c r="P342" t="s">
        <v>33</v>
      </c>
      <c r="Q342">
        <v>1</v>
      </c>
      <c r="R342">
        <v>5</v>
      </c>
      <c r="S342">
        <v>100.5114531975</v>
      </c>
      <c r="T342">
        <v>14192892</v>
      </c>
      <c r="U342">
        <v>14192892</v>
      </c>
      <c r="V342">
        <v>1</v>
      </c>
      <c r="W342">
        <v>0</v>
      </c>
      <c r="X342">
        <v>14265482</v>
      </c>
      <c r="Y342">
        <v>14265482</v>
      </c>
    </row>
    <row r="343" spans="1:25" x14ac:dyDescent="0.25">
      <c r="A343">
        <v>20</v>
      </c>
      <c r="B343" t="s">
        <v>25</v>
      </c>
      <c r="C343" t="s">
        <v>26</v>
      </c>
      <c r="D343" t="s">
        <v>3835</v>
      </c>
      <c r="E343">
        <v>224940</v>
      </c>
      <c r="G343" t="s">
        <v>3836</v>
      </c>
      <c r="H343" t="s">
        <v>3618</v>
      </c>
      <c r="I343" t="s">
        <v>3836</v>
      </c>
      <c r="L343" t="b">
        <v>0</v>
      </c>
      <c r="M343" t="s">
        <v>50</v>
      </c>
      <c r="N343" t="s">
        <v>26</v>
      </c>
      <c r="P343" t="s">
        <v>33</v>
      </c>
      <c r="Q343">
        <v>1</v>
      </c>
      <c r="R343">
        <v>5</v>
      </c>
      <c r="S343">
        <v>100.5114567175</v>
      </c>
      <c r="T343">
        <v>9165976</v>
      </c>
      <c r="U343">
        <v>9165976</v>
      </c>
      <c r="V343">
        <v>1</v>
      </c>
      <c r="W343">
        <v>0</v>
      </c>
      <c r="X343">
        <v>9212856</v>
      </c>
      <c r="Y343">
        <v>9212856</v>
      </c>
    </row>
    <row r="344" spans="1:25" x14ac:dyDescent="0.25">
      <c r="A344">
        <v>20</v>
      </c>
      <c r="B344" t="s">
        <v>25</v>
      </c>
      <c r="C344" t="s">
        <v>26</v>
      </c>
      <c r="D344" t="s">
        <v>3837</v>
      </c>
      <c r="E344">
        <v>224941</v>
      </c>
      <c r="G344" t="s">
        <v>3838</v>
      </c>
      <c r="H344" t="s">
        <v>3618</v>
      </c>
      <c r="I344" t="s">
        <v>3838</v>
      </c>
      <c r="L344" t="b">
        <v>0</v>
      </c>
      <c r="M344" t="s">
        <v>50</v>
      </c>
      <c r="N344" t="s">
        <v>26</v>
      </c>
      <c r="P344" t="s">
        <v>33</v>
      </c>
      <c r="Q344">
        <v>1</v>
      </c>
      <c r="R344">
        <v>5</v>
      </c>
      <c r="S344">
        <v>100.5114550875</v>
      </c>
      <c r="T344">
        <v>13598457</v>
      </c>
      <c r="U344">
        <v>13598457</v>
      </c>
      <c r="V344">
        <v>1</v>
      </c>
      <c r="W344">
        <v>0</v>
      </c>
      <c r="X344">
        <v>13668007</v>
      </c>
      <c r="Y344">
        <v>13668007</v>
      </c>
    </row>
    <row r="345" spans="1:25" x14ac:dyDescent="0.25">
      <c r="A345">
        <v>20</v>
      </c>
      <c r="B345" t="s">
        <v>25</v>
      </c>
      <c r="C345" t="s">
        <v>26</v>
      </c>
      <c r="D345" t="s">
        <v>3839</v>
      </c>
      <c r="E345">
        <v>224942</v>
      </c>
      <c r="G345" t="s">
        <v>3840</v>
      </c>
      <c r="H345" t="s">
        <v>3618</v>
      </c>
      <c r="I345" t="s">
        <v>3840</v>
      </c>
      <c r="L345" t="b">
        <v>0</v>
      </c>
      <c r="M345" t="s">
        <v>50</v>
      </c>
      <c r="N345" t="s">
        <v>26</v>
      </c>
      <c r="P345" t="s">
        <v>33</v>
      </c>
      <c r="Q345">
        <v>1</v>
      </c>
      <c r="R345">
        <v>5</v>
      </c>
      <c r="S345">
        <v>100.51145142750001</v>
      </c>
      <c r="T345">
        <v>11691889</v>
      </c>
      <c r="U345">
        <v>11691889</v>
      </c>
      <c r="V345">
        <v>1</v>
      </c>
      <c r="W345">
        <v>0</v>
      </c>
      <c r="X345">
        <v>11751687.33</v>
      </c>
      <c r="Y345">
        <v>11751687.33</v>
      </c>
    </row>
    <row r="346" spans="1:25" x14ac:dyDescent="0.25">
      <c r="A346">
        <v>20</v>
      </c>
      <c r="B346" t="s">
        <v>25</v>
      </c>
      <c r="C346" t="s">
        <v>26</v>
      </c>
      <c r="D346" t="s">
        <v>3841</v>
      </c>
      <c r="E346">
        <v>224943</v>
      </c>
      <c r="G346" t="s">
        <v>3842</v>
      </c>
      <c r="H346" t="s">
        <v>3618</v>
      </c>
      <c r="I346" t="s">
        <v>3842</v>
      </c>
      <c r="L346" t="b">
        <v>0</v>
      </c>
      <c r="M346" t="s">
        <v>50</v>
      </c>
      <c r="N346" t="s">
        <v>26</v>
      </c>
      <c r="P346" t="s">
        <v>33</v>
      </c>
      <c r="Q346">
        <v>1</v>
      </c>
      <c r="R346">
        <v>5</v>
      </c>
      <c r="S346">
        <v>100.5114537325</v>
      </c>
      <c r="T346">
        <v>13459673</v>
      </c>
      <c r="U346">
        <v>13459673</v>
      </c>
      <c r="V346">
        <v>1</v>
      </c>
      <c r="W346">
        <v>0</v>
      </c>
      <c r="X346">
        <v>13528513</v>
      </c>
      <c r="Y346">
        <v>13528513</v>
      </c>
    </row>
    <row r="347" spans="1:25" x14ac:dyDescent="0.25">
      <c r="A347">
        <v>20</v>
      </c>
      <c r="B347" t="s">
        <v>25</v>
      </c>
      <c r="C347" t="s">
        <v>26</v>
      </c>
      <c r="D347" t="s">
        <v>3843</v>
      </c>
      <c r="E347">
        <v>224944</v>
      </c>
      <c r="G347" t="s">
        <v>3844</v>
      </c>
      <c r="H347" t="s">
        <v>3618</v>
      </c>
      <c r="I347" t="s">
        <v>3844</v>
      </c>
      <c r="L347" t="b">
        <v>0</v>
      </c>
      <c r="M347" t="s">
        <v>50</v>
      </c>
      <c r="N347" t="s">
        <v>26</v>
      </c>
      <c r="P347" t="s">
        <v>33</v>
      </c>
      <c r="Q347">
        <v>1</v>
      </c>
      <c r="R347">
        <v>5</v>
      </c>
      <c r="S347">
        <v>100.5114517825</v>
      </c>
      <c r="T347">
        <v>11061160</v>
      </c>
      <c r="U347">
        <v>11061160</v>
      </c>
      <c r="V347">
        <v>1</v>
      </c>
      <c r="W347">
        <v>0</v>
      </c>
      <c r="X347">
        <v>11117732.5</v>
      </c>
      <c r="Y347">
        <v>11117732.5</v>
      </c>
    </row>
    <row r="348" spans="1:25" x14ac:dyDescent="0.25">
      <c r="A348">
        <v>20</v>
      </c>
      <c r="B348" t="s">
        <v>25</v>
      </c>
      <c r="C348" t="s">
        <v>26</v>
      </c>
      <c r="D348" t="s">
        <v>3845</v>
      </c>
      <c r="E348">
        <v>224945</v>
      </c>
      <c r="G348" t="s">
        <v>3846</v>
      </c>
      <c r="H348" t="s">
        <v>3618</v>
      </c>
      <c r="I348" t="s">
        <v>3846</v>
      </c>
      <c r="L348" t="b">
        <v>0</v>
      </c>
      <c r="M348" t="s">
        <v>50</v>
      </c>
      <c r="N348" t="s">
        <v>26</v>
      </c>
      <c r="P348" t="s">
        <v>33</v>
      </c>
      <c r="Q348">
        <v>1</v>
      </c>
      <c r="R348">
        <v>5</v>
      </c>
      <c r="S348">
        <v>100.51093414499999</v>
      </c>
      <c r="T348">
        <v>13153750</v>
      </c>
      <c r="U348">
        <v>13153750</v>
      </c>
      <c r="V348">
        <v>1</v>
      </c>
      <c r="W348">
        <v>0</v>
      </c>
      <c r="X348">
        <v>13220957</v>
      </c>
      <c r="Y348">
        <v>13220957</v>
      </c>
    </row>
    <row r="349" spans="1:25" x14ac:dyDescent="0.25">
      <c r="A349">
        <v>20</v>
      </c>
      <c r="B349" t="s">
        <v>25</v>
      </c>
      <c r="C349" t="s">
        <v>26</v>
      </c>
      <c r="D349" t="s">
        <v>3847</v>
      </c>
      <c r="E349">
        <v>224947</v>
      </c>
      <c r="G349" t="s">
        <v>3848</v>
      </c>
      <c r="H349" t="s">
        <v>3618</v>
      </c>
      <c r="I349" t="s">
        <v>3848</v>
      </c>
      <c r="L349" t="b">
        <v>0</v>
      </c>
      <c r="M349" t="s">
        <v>50</v>
      </c>
      <c r="N349" t="s">
        <v>26</v>
      </c>
      <c r="P349" t="s">
        <v>33</v>
      </c>
      <c r="Q349">
        <v>1</v>
      </c>
      <c r="R349">
        <v>5</v>
      </c>
      <c r="S349">
        <v>100.51145624999999</v>
      </c>
      <c r="T349">
        <v>12359643</v>
      </c>
      <c r="U349">
        <v>12359643</v>
      </c>
      <c r="V349">
        <v>1</v>
      </c>
      <c r="W349">
        <v>0</v>
      </c>
      <c r="X349">
        <v>12422857.17</v>
      </c>
      <c r="Y349">
        <v>12422857.17</v>
      </c>
    </row>
    <row r="350" spans="1:25" x14ac:dyDescent="0.25">
      <c r="A350">
        <v>20</v>
      </c>
      <c r="B350" t="s">
        <v>25</v>
      </c>
      <c r="C350" t="s">
        <v>26</v>
      </c>
      <c r="D350" t="s">
        <v>3849</v>
      </c>
      <c r="E350">
        <v>224948</v>
      </c>
      <c r="G350" t="s">
        <v>3850</v>
      </c>
      <c r="H350" t="s">
        <v>3618</v>
      </c>
      <c r="I350" t="s">
        <v>3850</v>
      </c>
      <c r="L350" t="b">
        <v>0</v>
      </c>
      <c r="M350" t="s">
        <v>50</v>
      </c>
      <c r="N350" t="s">
        <v>26</v>
      </c>
      <c r="P350" t="s">
        <v>33</v>
      </c>
      <c r="Q350">
        <v>1</v>
      </c>
      <c r="R350">
        <v>5</v>
      </c>
      <c r="S350">
        <v>100.5112401975</v>
      </c>
      <c r="T350">
        <v>9045755</v>
      </c>
      <c r="U350">
        <v>9045755</v>
      </c>
      <c r="V350">
        <v>1</v>
      </c>
      <c r="W350">
        <v>0</v>
      </c>
      <c r="X350">
        <v>9092000.5399999991</v>
      </c>
      <c r="Y350">
        <v>9092000.5399999991</v>
      </c>
    </row>
    <row r="351" spans="1:25" x14ac:dyDescent="0.25">
      <c r="A351">
        <v>20</v>
      </c>
      <c r="B351" t="s">
        <v>25</v>
      </c>
      <c r="C351" t="s">
        <v>26</v>
      </c>
      <c r="D351" t="s">
        <v>3851</v>
      </c>
      <c r="E351">
        <v>224952</v>
      </c>
      <c r="G351" t="s">
        <v>3852</v>
      </c>
      <c r="H351" t="s">
        <v>3853</v>
      </c>
      <c r="I351" t="s">
        <v>3852</v>
      </c>
      <c r="L351" t="b">
        <v>0</v>
      </c>
      <c r="M351" t="s">
        <v>50</v>
      </c>
      <c r="N351" t="s">
        <v>26</v>
      </c>
      <c r="P351" t="s">
        <v>33</v>
      </c>
      <c r="Q351">
        <v>1</v>
      </c>
      <c r="R351">
        <v>5</v>
      </c>
      <c r="S351">
        <v>100.5114549275</v>
      </c>
      <c r="T351">
        <v>9698476</v>
      </c>
      <c r="U351">
        <v>9698476</v>
      </c>
      <c r="V351">
        <v>1</v>
      </c>
      <c r="W351">
        <v>0</v>
      </c>
      <c r="X351">
        <v>9748079.3300000001</v>
      </c>
      <c r="Y351">
        <v>9748079.3300000001</v>
      </c>
    </row>
    <row r="352" spans="1:25" x14ac:dyDescent="0.25">
      <c r="A352">
        <v>20</v>
      </c>
      <c r="B352" t="s">
        <v>25</v>
      </c>
      <c r="C352" t="s">
        <v>26</v>
      </c>
      <c r="D352" t="s">
        <v>3854</v>
      </c>
      <c r="E352">
        <v>224953</v>
      </c>
      <c r="G352" t="s">
        <v>3855</v>
      </c>
      <c r="H352" t="s">
        <v>3853</v>
      </c>
      <c r="I352" t="s">
        <v>3855</v>
      </c>
      <c r="L352" t="b">
        <v>0</v>
      </c>
      <c r="M352" t="s">
        <v>50</v>
      </c>
      <c r="N352" t="s">
        <v>26</v>
      </c>
      <c r="P352" t="s">
        <v>33</v>
      </c>
      <c r="Q352">
        <v>1</v>
      </c>
      <c r="R352">
        <v>5</v>
      </c>
      <c r="S352">
        <v>100.5114549275</v>
      </c>
      <c r="T352">
        <v>9698476</v>
      </c>
      <c r="U352">
        <v>9698476</v>
      </c>
      <c r="V352">
        <v>1</v>
      </c>
      <c r="W352">
        <v>0</v>
      </c>
      <c r="X352">
        <v>9748079.3300000001</v>
      </c>
      <c r="Y352">
        <v>9748079.3300000001</v>
      </c>
    </row>
    <row r="353" spans="1:25" x14ac:dyDescent="0.25">
      <c r="A353">
        <v>20</v>
      </c>
      <c r="B353" t="s">
        <v>25</v>
      </c>
      <c r="C353" t="s">
        <v>26</v>
      </c>
      <c r="D353" t="s">
        <v>3856</v>
      </c>
      <c r="E353">
        <v>224954</v>
      </c>
      <c r="G353" t="s">
        <v>3857</v>
      </c>
      <c r="H353" t="s">
        <v>3618</v>
      </c>
      <c r="I353" t="s">
        <v>3857</v>
      </c>
      <c r="L353" t="b">
        <v>0</v>
      </c>
      <c r="M353" t="s">
        <v>50</v>
      </c>
      <c r="N353" t="s">
        <v>26</v>
      </c>
      <c r="P353" t="s">
        <v>33</v>
      </c>
      <c r="Q353">
        <v>1</v>
      </c>
      <c r="R353">
        <v>5</v>
      </c>
      <c r="S353">
        <v>100.5112423775</v>
      </c>
      <c r="T353">
        <v>9470976</v>
      </c>
      <c r="U353">
        <v>9470976</v>
      </c>
      <c r="V353">
        <v>1</v>
      </c>
      <c r="W353">
        <v>0</v>
      </c>
      <c r="X353">
        <v>9519395.6400000006</v>
      </c>
      <c r="Y353">
        <v>9519395.6400000006</v>
      </c>
    </row>
    <row r="354" spans="1:25" x14ac:dyDescent="0.25">
      <c r="A354">
        <v>20</v>
      </c>
      <c r="B354" t="s">
        <v>25</v>
      </c>
      <c r="C354" t="s">
        <v>26</v>
      </c>
      <c r="D354" t="s">
        <v>3858</v>
      </c>
      <c r="E354">
        <v>224955</v>
      </c>
      <c r="G354" t="s">
        <v>3859</v>
      </c>
      <c r="H354" t="s">
        <v>3618</v>
      </c>
      <c r="I354" t="s">
        <v>3859</v>
      </c>
      <c r="L354" t="b">
        <v>0</v>
      </c>
      <c r="M354" t="s">
        <v>50</v>
      </c>
      <c r="N354" t="s">
        <v>26</v>
      </c>
      <c r="P354" t="s">
        <v>33</v>
      </c>
      <c r="Q354">
        <v>1</v>
      </c>
      <c r="R354">
        <v>5</v>
      </c>
      <c r="S354">
        <v>100.42883475879999</v>
      </c>
      <c r="T354">
        <v>9100475</v>
      </c>
      <c r="U354">
        <v>9100475</v>
      </c>
      <c r="V354">
        <v>1</v>
      </c>
      <c r="W354">
        <v>0</v>
      </c>
      <c r="X354">
        <v>9139501</v>
      </c>
      <c r="Y354">
        <v>9139501</v>
      </c>
    </row>
    <row r="355" spans="1:25" x14ac:dyDescent="0.25">
      <c r="A355">
        <v>20</v>
      </c>
      <c r="B355" t="s">
        <v>25</v>
      </c>
      <c r="C355" t="s">
        <v>26</v>
      </c>
      <c r="D355" t="s">
        <v>3860</v>
      </c>
      <c r="E355">
        <v>225078</v>
      </c>
      <c r="G355" t="s">
        <v>3861</v>
      </c>
      <c r="H355" t="s">
        <v>3147</v>
      </c>
      <c r="I355" t="s">
        <v>3861</v>
      </c>
      <c r="L355" t="b">
        <v>0</v>
      </c>
      <c r="M355" t="s">
        <v>50</v>
      </c>
      <c r="N355" t="s">
        <v>26</v>
      </c>
      <c r="P355" t="s">
        <v>33</v>
      </c>
      <c r="Q355">
        <v>1</v>
      </c>
      <c r="R355">
        <v>5</v>
      </c>
      <c r="S355">
        <v>100.4935196488</v>
      </c>
      <c r="T355">
        <v>30506572</v>
      </c>
      <c r="U355">
        <v>30506572</v>
      </c>
      <c r="V355">
        <v>1</v>
      </c>
      <c r="W355">
        <v>0</v>
      </c>
      <c r="X355">
        <v>30657127.93</v>
      </c>
      <c r="Y355">
        <v>30657127.93</v>
      </c>
    </row>
    <row r="356" spans="1:25" x14ac:dyDescent="0.25">
      <c r="A356">
        <v>20</v>
      </c>
      <c r="B356" t="s">
        <v>25</v>
      </c>
      <c r="C356" t="s">
        <v>26</v>
      </c>
      <c r="D356" t="s">
        <v>3862</v>
      </c>
      <c r="E356">
        <v>225079</v>
      </c>
      <c r="G356" t="s">
        <v>3863</v>
      </c>
      <c r="H356" t="s">
        <v>3147</v>
      </c>
      <c r="I356" t="s">
        <v>3863</v>
      </c>
      <c r="L356" t="b">
        <v>0</v>
      </c>
      <c r="M356" t="s">
        <v>50</v>
      </c>
      <c r="N356" t="s">
        <v>26</v>
      </c>
      <c r="P356" t="s">
        <v>33</v>
      </c>
      <c r="Q356">
        <v>1</v>
      </c>
      <c r="R356">
        <v>5</v>
      </c>
      <c r="S356">
        <v>100.4936218552</v>
      </c>
      <c r="T356">
        <v>9844725</v>
      </c>
      <c r="U356">
        <v>9844725</v>
      </c>
      <c r="V356">
        <v>1</v>
      </c>
      <c r="W356">
        <v>0</v>
      </c>
      <c r="X356">
        <v>9893320.7100000009</v>
      </c>
      <c r="Y356">
        <v>9893320.7100000009</v>
      </c>
    </row>
    <row r="357" spans="1:25" x14ac:dyDescent="0.25">
      <c r="A357">
        <v>20</v>
      </c>
      <c r="B357" t="s">
        <v>25</v>
      </c>
      <c r="C357" t="s">
        <v>26</v>
      </c>
      <c r="D357" t="s">
        <v>3864</v>
      </c>
      <c r="E357">
        <v>225080</v>
      </c>
      <c r="G357" t="s">
        <v>3865</v>
      </c>
      <c r="H357" t="s">
        <v>3147</v>
      </c>
      <c r="I357" t="s">
        <v>3865</v>
      </c>
      <c r="L357" t="b">
        <v>0</v>
      </c>
      <c r="M357" t="s">
        <v>50</v>
      </c>
      <c r="N357" t="s">
        <v>26</v>
      </c>
      <c r="P357" t="s">
        <v>33</v>
      </c>
      <c r="Q357">
        <v>1</v>
      </c>
      <c r="R357">
        <v>5</v>
      </c>
      <c r="S357">
        <v>100.4936203936</v>
      </c>
      <c r="T357">
        <v>13447349</v>
      </c>
      <c r="U357">
        <v>13447349</v>
      </c>
      <c r="V357">
        <v>1</v>
      </c>
      <c r="W357">
        <v>0</v>
      </c>
      <c r="X357">
        <v>13513727.859999999</v>
      </c>
      <c r="Y357">
        <v>13513727.859999999</v>
      </c>
    </row>
    <row r="358" spans="1:25" x14ac:dyDescent="0.25">
      <c r="A358">
        <v>20</v>
      </c>
      <c r="B358" t="s">
        <v>25</v>
      </c>
      <c r="C358" t="s">
        <v>26</v>
      </c>
      <c r="D358" t="s">
        <v>3866</v>
      </c>
      <c r="E358">
        <v>226158</v>
      </c>
      <c r="G358" t="s">
        <v>3867</v>
      </c>
      <c r="H358" t="s">
        <v>3618</v>
      </c>
      <c r="I358" t="s">
        <v>3867</v>
      </c>
      <c r="L358" t="b">
        <v>0</v>
      </c>
      <c r="M358" t="s">
        <v>50</v>
      </c>
      <c r="N358" t="s">
        <v>26</v>
      </c>
      <c r="P358" t="s">
        <v>33</v>
      </c>
      <c r="Q358">
        <v>1</v>
      </c>
      <c r="R358">
        <v>5</v>
      </c>
      <c r="S358">
        <v>100.299954488</v>
      </c>
      <c r="T358">
        <v>245929483</v>
      </c>
      <c r="U358">
        <v>245929483</v>
      </c>
      <c r="V358">
        <v>1</v>
      </c>
      <c r="W358">
        <v>0</v>
      </c>
      <c r="X358">
        <v>246667159.52000001</v>
      </c>
      <c r="Y358">
        <v>246667159.52000001</v>
      </c>
    </row>
    <row r="359" spans="1:25" x14ac:dyDescent="0.25">
      <c r="A359">
        <v>20</v>
      </c>
      <c r="B359" t="s">
        <v>25</v>
      </c>
      <c r="C359" t="s">
        <v>26</v>
      </c>
      <c r="D359" t="s">
        <v>3868</v>
      </c>
      <c r="E359">
        <v>226160</v>
      </c>
      <c r="G359" t="s">
        <v>3869</v>
      </c>
      <c r="H359" t="s">
        <v>3618</v>
      </c>
      <c r="I359" t="s">
        <v>3869</v>
      </c>
      <c r="L359" t="b">
        <v>0</v>
      </c>
      <c r="M359" t="s">
        <v>50</v>
      </c>
      <c r="N359" t="s">
        <v>26</v>
      </c>
      <c r="P359" t="s">
        <v>33</v>
      </c>
      <c r="Q359">
        <v>1</v>
      </c>
      <c r="R359">
        <v>5</v>
      </c>
      <c r="S359">
        <v>100.30068711520001</v>
      </c>
      <c r="T359">
        <v>93010969</v>
      </c>
      <c r="U359">
        <v>93010969</v>
      </c>
      <c r="V359">
        <v>1</v>
      </c>
      <c r="W359">
        <v>0</v>
      </c>
      <c r="X359">
        <v>93290641</v>
      </c>
      <c r="Y359">
        <v>93290641</v>
      </c>
    </row>
    <row r="360" spans="1:25" x14ac:dyDescent="0.25">
      <c r="A360">
        <v>20</v>
      </c>
      <c r="B360" t="s">
        <v>25</v>
      </c>
      <c r="C360" t="s">
        <v>26</v>
      </c>
      <c r="D360" t="s">
        <v>3870</v>
      </c>
      <c r="E360">
        <v>226161</v>
      </c>
      <c r="G360" t="s">
        <v>3871</v>
      </c>
      <c r="H360" t="s">
        <v>3618</v>
      </c>
      <c r="I360" t="s">
        <v>3871</v>
      </c>
      <c r="L360" t="b">
        <v>0</v>
      </c>
      <c r="M360" t="s">
        <v>50</v>
      </c>
      <c r="N360" t="s">
        <v>26</v>
      </c>
      <c r="P360" t="s">
        <v>33</v>
      </c>
      <c r="Q360">
        <v>1</v>
      </c>
      <c r="R360">
        <v>5</v>
      </c>
      <c r="S360">
        <v>100.300744048</v>
      </c>
      <c r="T360">
        <v>66611873</v>
      </c>
      <c r="U360">
        <v>66611873</v>
      </c>
      <c r="V360">
        <v>1</v>
      </c>
      <c r="W360">
        <v>0</v>
      </c>
      <c r="X360">
        <v>66812204.240000002</v>
      </c>
      <c r="Y360">
        <v>66812204.240000002</v>
      </c>
    </row>
    <row r="361" spans="1:25" x14ac:dyDescent="0.25">
      <c r="A361">
        <v>20</v>
      </c>
      <c r="B361" t="s">
        <v>25</v>
      </c>
      <c r="C361" t="s">
        <v>26</v>
      </c>
      <c r="D361" t="s">
        <v>3872</v>
      </c>
      <c r="E361">
        <v>226162</v>
      </c>
      <c r="G361" t="s">
        <v>3873</v>
      </c>
      <c r="H361" t="s">
        <v>3736</v>
      </c>
      <c r="I361" t="s">
        <v>3873</v>
      </c>
      <c r="L361" t="b">
        <v>0</v>
      </c>
      <c r="M361" t="s">
        <v>50</v>
      </c>
      <c r="N361" t="s">
        <v>26</v>
      </c>
      <c r="P361" t="s">
        <v>33</v>
      </c>
      <c r="Q361">
        <v>1</v>
      </c>
      <c r="R361">
        <v>5</v>
      </c>
      <c r="S361">
        <v>100.30131057120001</v>
      </c>
      <c r="T361">
        <v>11260764</v>
      </c>
      <c r="U361">
        <v>11260764</v>
      </c>
      <c r="V361">
        <v>1</v>
      </c>
      <c r="W361">
        <v>0</v>
      </c>
      <c r="X361">
        <v>11294693.869999999</v>
      </c>
      <c r="Y361">
        <v>11294693.869999999</v>
      </c>
    </row>
    <row r="362" spans="1:25" x14ac:dyDescent="0.25">
      <c r="A362">
        <v>20</v>
      </c>
      <c r="B362" t="s">
        <v>25</v>
      </c>
      <c r="C362" t="s">
        <v>26</v>
      </c>
      <c r="D362" t="s">
        <v>3874</v>
      </c>
      <c r="E362">
        <v>226163</v>
      </c>
      <c r="G362" t="s">
        <v>3875</v>
      </c>
      <c r="H362" t="s">
        <v>3736</v>
      </c>
      <c r="I362" t="s">
        <v>3875</v>
      </c>
      <c r="L362" t="b">
        <v>0</v>
      </c>
      <c r="M362" t="s">
        <v>50</v>
      </c>
      <c r="N362" t="s">
        <v>26</v>
      </c>
      <c r="P362" t="s">
        <v>33</v>
      </c>
      <c r="Q362">
        <v>1</v>
      </c>
      <c r="R362">
        <v>5</v>
      </c>
      <c r="S362">
        <v>100.3013101344</v>
      </c>
      <c r="T362">
        <v>33676703</v>
      </c>
      <c r="U362">
        <v>33676703</v>
      </c>
      <c r="V362">
        <v>1</v>
      </c>
      <c r="W362">
        <v>0</v>
      </c>
      <c r="X362">
        <v>33778174.32</v>
      </c>
      <c r="Y362">
        <v>33778174.32</v>
      </c>
    </row>
    <row r="363" spans="1:25" x14ac:dyDescent="0.25">
      <c r="A363">
        <v>20</v>
      </c>
      <c r="B363" t="s">
        <v>25</v>
      </c>
      <c r="C363" t="s">
        <v>26</v>
      </c>
      <c r="D363" t="s">
        <v>3876</v>
      </c>
      <c r="E363">
        <v>226164</v>
      </c>
      <c r="G363" t="s">
        <v>3877</v>
      </c>
      <c r="H363" t="s">
        <v>3736</v>
      </c>
      <c r="I363" t="s">
        <v>3877</v>
      </c>
      <c r="L363" t="b">
        <v>0</v>
      </c>
      <c r="M363" t="s">
        <v>50</v>
      </c>
      <c r="N363" t="s">
        <v>26</v>
      </c>
      <c r="P363" t="s">
        <v>33</v>
      </c>
      <c r="Q363">
        <v>1</v>
      </c>
      <c r="R363">
        <v>5</v>
      </c>
      <c r="S363">
        <v>100.301310312</v>
      </c>
      <c r="T363">
        <v>84734133</v>
      </c>
      <c r="U363">
        <v>84734133</v>
      </c>
      <c r="V363">
        <v>1</v>
      </c>
      <c r="W363">
        <v>0</v>
      </c>
      <c r="X363">
        <v>84989445.680000007</v>
      </c>
      <c r="Y363">
        <v>84989445.680000007</v>
      </c>
    </row>
    <row r="364" spans="1:25" x14ac:dyDescent="0.25">
      <c r="A364">
        <v>20</v>
      </c>
      <c r="B364" t="s">
        <v>25</v>
      </c>
      <c r="C364" t="s">
        <v>26</v>
      </c>
      <c r="D364" t="s">
        <v>3878</v>
      </c>
      <c r="E364">
        <v>226165</v>
      </c>
      <c r="G364" t="s">
        <v>3879</v>
      </c>
      <c r="H364" t="s">
        <v>3736</v>
      </c>
      <c r="I364" t="s">
        <v>3879</v>
      </c>
      <c r="L364" t="b">
        <v>0</v>
      </c>
      <c r="M364" t="s">
        <v>50</v>
      </c>
      <c r="N364" t="s">
        <v>26</v>
      </c>
      <c r="P364" t="s">
        <v>33</v>
      </c>
      <c r="Q364">
        <v>1</v>
      </c>
      <c r="R364">
        <v>5</v>
      </c>
      <c r="S364">
        <v>100.3018787152</v>
      </c>
      <c r="T364">
        <v>140125521</v>
      </c>
      <c r="U364">
        <v>140125521</v>
      </c>
      <c r="V364">
        <v>1</v>
      </c>
      <c r="W364">
        <v>0</v>
      </c>
      <c r="X364">
        <v>140548530.12</v>
      </c>
      <c r="Y364">
        <v>140548530.12</v>
      </c>
    </row>
    <row r="365" spans="1:25" x14ac:dyDescent="0.25">
      <c r="A365">
        <v>20</v>
      </c>
      <c r="B365" t="s">
        <v>25</v>
      </c>
      <c r="C365" t="s">
        <v>26</v>
      </c>
      <c r="D365" t="s">
        <v>3880</v>
      </c>
      <c r="E365">
        <v>226166</v>
      </c>
      <c r="G365" t="s">
        <v>3881</v>
      </c>
      <c r="H365" t="s">
        <v>3618</v>
      </c>
      <c r="I365" t="s">
        <v>3881</v>
      </c>
      <c r="L365" t="b">
        <v>0</v>
      </c>
      <c r="M365" t="s">
        <v>50</v>
      </c>
      <c r="N365" t="s">
        <v>26</v>
      </c>
      <c r="P365" t="s">
        <v>33</v>
      </c>
      <c r="Q365">
        <v>1</v>
      </c>
      <c r="R365">
        <v>5</v>
      </c>
      <c r="S365">
        <v>100.3018782048</v>
      </c>
      <c r="T365">
        <v>10198141</v>
      </c>
      <c r="U365">
        <v>10198141</v>
      </c>
      <c r="V365">
        <v>1</v>
      </c>
      <c r="W365">
        <v>0</v>
      </c>
      <c r="X365">
        <v>10228926.960000001</v>
      </c>
      <c r="Y365">
        <v>10228926.960000001</v>
      </c>
    </row>
    <row r="366" spans="1:25" x14ac:dyDescent="0.25">
      <c r="A366">
        <v>20</v>
      </c>
      <c r="B366" t="s">
        <v>25</v>
      </c>
      <c r="C366" t="s">
        <v>26</v>
      </c>
      <c r="D366" t="s">
        <v>3882</v>
      </c>
      <c r="E366">
        <v>226167</v>
      </c>
      <c r="G366" t="s">
        <v>3883</v>
      </c>
      <c r="H366" t="s">
        <v>3618</v>
      </c>
      <c r="I366" t="s">
        <v>3883</v>
      </c>
      <c r="L366" t="b">
        <v>0</v>
      </c>
      <c r="M366" t="s">
        <v>50</v>
      </c>
      <c r="N366" t="s">
        <v>26</v>
      </c>
      <c r="P366" t="s">
        <v>33</v>
      </c>
      <c r="Q366">
        <v>1</v>
      </c>
      <c r="R366">
        <v>5</v>
      </c>
      <c r="S366">
        <v>100.3019368896</v>
      </c>
      <c r="T366">
        <v>10907783</v>
      </c>
      <c r="U366">
        <v>10907783</v>
      </c>
      <c r="V366">
        <v>1</v>
      </c>
      <c r="W366">
        <v>0</v>
      </c>
      <c r="X366">
        <v>10940717.619999999</v>
      </c>
      <c r="Y366">
        <v>10940717.619999999</v>
      </c>
    </row>
    <row r="367" spans="1:25" x14ac:dyDescent="0.25">
      <c r="A367">
        <v>20</v>
      </c>
      <c r="B367" t="s">
        <v>25</v>
      </c>
      <c r="C367" t="s">
        <v>26</v>
      </c>
      <c r="D367" t="s">
        <v>3884</v>
      </c>
      <c r="E367">
        <v>226168</v>
      </c>
      <c r="G367" t="s">
        <v>3885</v>
      </c>
      <c r="H367" t="s">
        <v>3618</v>
      </c>
      <c r="I367" t="s">
        <v>3885</v>
      </c>
      <c r="L367" t="b">
        <v>0</v>
      </c>
      <c r="M367" t="s">
        <v>50</v>
      </c>
      <c r="N367" t="s">
        <v>26</v>
      </c>
      <c r="P367" t="s">
        <v>33</v>
      </c>
      <c r="Q367">
        <v>1</v>
      </c>
      <c r="R367">
        <v>5</v>
      </c>
      <c r="S367">
        <v>100.3019356864</v>
      </c>
      <c r="T367">
        <v>141558897</v>
      </c>
      <c r="U367">
        <v>141558897</v>
      </c>
      <c r="V367">
        <v>1</v>
      </c>
      <c r="W367">
        <v>0</v>
      </c>
      <c r="X367">
        <v>141986313.83000001</v>
      </c>
      <c r="Y367">
        <v>141986313.83000001</v>
      </c>
    </row>
    <row r="368" spans="1:25" x14ac:dyDescent="0.25">
      <c r="A368">
        <v>20</v>
      </c>
      <c r="B368" t="s">
        <v>25</v>
      </c>
      <c r="C368" t="s">
        <v>26</v>
      </c>
      <c r="D368" t="s">
        <v>3886</v>
      </c>
      <c r="E368">
        <v>226169</v>
      </c>
      <c r="G368" t="s">
        <v>3887</v>
      </c>
      <c r="H368" t="s">
        <v>3618</v>
      </c>
      <c r="I368" t="s">
        <v>3887</v>
      </c>
      <c r="L368" t="b">
        <v>0</v>
      </c>
      <c r="M368" t="s">
        <v>50</v>
      </c>
      <c r="N368" t="s">
        <v>26</v>
      </c>
      <c r="P368" t="s">
        <v>33</v>
      </c>
      <c r="Q368">
        <v>1</v>
      </c>
      <c r="R368">
        <v>5</v>
      </c>
      <c r="S368">
        <v>100.3019357072</v>
      </c>
      <c r="T368">
        <v>129927820</v>
      </c>
      <c r="U368">
        <v>129927820</v>
      </c>
      <c r="V368">
        <v>1</v>
      </c>
      <c r="W368">
        <v>0</v>
      </c>
      <c r="X368">
        <v>130320118.48</v>
      </c>
      <c r="Y368">
        <v>130320118.48</v>
      </c>
    </row>
    <row r="369" spans="1:25" x14ac:dyDescent="0.25">
      <c r="A369">
        <v>20</v>
      </c>
      <c r="B369" t="s">
        <v>25</v>
      </c>
      <c r="C369" t="s">
        <v>26</v>
      </c>
      <c r="D369" t="s">
        <v>3888</v>
      </c>
      <c r="E369">
        <v>226989</v>
      </c>
      <c r="G369" t="s">
        <v>3889</v>
      </c>
      <c r="H369" t="s">
        <v>3618</v>
      </c>
      <c r="I369" t="s">
        <v>3889</v>
      </c>
      <c r="L369" t="b">
        <v>0</v>
      </c>
      <c r="M369" t="s">
        <v>50</v>
      </c>
      <c r="N369" t="s">
        <v>26</v>
      </c>
      <c r="P369" t="s">
        <v>33</v>
      </c>
      <c r="Q369">
        <v>1</v>
      </c>
      <c r="R369">
        <v>5</v>
      </c>
      <c r="S369">
        <v>100.1693593828</v>
      </c>
      <c r="T369">
        <v>75011231</v>
      </c>
      <c r="U369">
        <v>75011231</v>
      </c>
      <c r="V369">
        <v>1</v>
      </c>
      <c r="W369">
        <v>0</v>
      </c>
      <c r="X369">
        <v>75138269.560000002</v>
      </c>
      <c r="Y369">
        <v>75138269.560000002</v>
      </c>
    </row>
    <row r="370" spans="1:25" x14ac:dyDescent="0.25">
      <c r="A370">
        <v>20</v>
      </c>
      <c r="B370" t="s">
        <v>25</v>
      </c>
      <c r="C370" t="s">
        <v>26</v>
      </c>
      <c r="D370" t="s">
        <v>3890</v>
      </c>
      <c r="E370">
        <v>226990</v>
      </c>
      <c r="G370" t="s">
        <v>3891</v>
      </c>
      <c r="H370" t="s">
        <v>3618</v>
      </c>
      <c r="I370" t="s">
        <v>3891</v>
      </c>
      <c r="L370" t="b">
        <v>0</v>
      </c>
      <c r="M370" t="s">
        <v>50</v>
      </c>
      <c r="N370" t="s">
        <v>26</v>
      </c>
      <c r="P370" t="s">
        <v>33</v>
      </c>
      <c r="Q370">
        <v>1</v>
      </c>
      <c r="R370">
        <v>5</v>
      </c>
      <c r="S370">
        <v>100.16935940889999</v>
      </c>
      <c r="T370">
        <v>68913921</v>
      </c>
      <c r="U370">
        <v>68913921</v>
      </c>
      <c r="V370">
        <v>1</v>
      </c>
      <c r="W370">
        <v>0</v>
      </c>
      <c r="X370">
        <v>69030633.209999993</v>
      </c>
      <c r="Y370">
        <v>69030633.209999993</v>
      </c>
    </row>
    <row r="371" spans="1:25" x14ac:dyDescent="0.25">
      <c r="A371">
        <v>20</v>
      </c>
      <c r="B371" t="s">
        <v>25</v>
      </c>
      <c r="C371" t="s">
        <v>26</v>
      </c>
      <c r="D371" t="s">
        <v>3892</v>
      </c>
      <c r="E371">
        <v>226991</v>
      </c>
      <c r="G371" t="s">
        <v>3893</v>
      </c>
      <c r="H371" t="s">
        <v>3736</v>
      </c>
      <c r="I371" t="s">
        <v>3893</v>
      </c>
      <c r="L371" t="b">
        <v>0</v>
      </c>
      <c r="M371" t="s">
        <v>50</v>
      </c>
      <c r="N371" t="s">
        <v>26</v>
      </c>
      <c r="P371" t="s">
        <v>33</v>
      </c>
      <c r="Q371">
        <v>1</v>
      </c>
      <c r="R371">
        <v>5</v>
      </c>
      <c r="S371">
        <v>100.169582671</v>
      </c>
      <c r="T371">
        <v>69541445</v>
      </c>
      <c r="U371">
        <v>69541445</v>
      </c>
      <c r="V371">
        <v>1</v>
      </c>
      <c r="W371">
        <v>0</v>
      </c>
      <c r="X371">
        <v>69659375.239999995</v>
      </c>
      <c r="Y371">
        <v>69659375.239999995</v>
      </c>
    </row>
    <row r="372" spans="1:25" x14ac:dyDescent="0.25">
      <c r="A372">
        <v>20</v>
      </c>
      <c r="B372" t="s">
        <v>25</v>
      </c>
      <c r="C372" t="s">
        <v>26</v>
      </c>
      <c r="D372" t="s">
        <v>3894</v>
      </c>
      <c r="E372">
        <v>226992</v>
      </c>
      <c r="G372" t="s">
        <v>3895</v>
      </c>
      <c r="H372" t="s">
        <v>3736</v>
      </c>
      <c r="I372" t="s">
        <v>3895</v>
      </c>
      <c r="L372" t="b">
        <v>0</v>
      </c>
      <c r="M372" t="s">
        <v>50</v>
      </c>
      <c r="N372" t="s">
        <v>26</v>
      </c>
      <c r="P372" t="s">
        <v>33</v>
      </c>
      <c r="Q372">
        <v>1</v>
      </c>
      <c r="R372">
        <v>5</v>
      </c>
      <c r="S372">
        <v>100.16958274930001</v>
      </c>
      <c r="T372">
        <v>43456696</v>
      </c>
      <c r="U372">
        <v>43456696</v>
      </c>
      <c r="V372">
        <v>1</v>
      </c>
      <c r="W372">
        <v>0</v>
      </c>
      <c r="X372">
        <v>43530391.060000002</v>
      </c>
      <c r="Y372">
        <v>43530391.060000002</v>
      </c>
    </row>
    <row r="373" spans="1:25" x14ac:dyDescent="0.25">
      <c r="A373">
        <v>20</v>
      </c>
      <c r="B373" t="s">
        <v>25</v>
      </c>
      <c r="C373" t="s">
        <v>26</v>
      </c>
      <c r="D373" t="s">
        <v>3896</v>
      </c>
      <c r="E373">
        <v>226993</v>
      </c>
      <c r="G373" t="s">
        <v>3897</v>
      </c>
      <c r="H373" t="s">
        <v>3736</v>
      </c>
      <c r="I373" t="s">
        <v>3897</v>
      </c>
      <c r="L373" t="b">
        <v>0</v>
      </c>
      <c r="M373" t="s">
        <v>50</v>
      </c>
      <c r="N373" t="s">
        <v>26</v>
      </c>
      <c r="P373" t="s">
        <v>33</v>
      </c>
      <c r="Q373">
        <v>1</v>
      </c>
      <c r="R373">
        <v>5</v>
      </c>
      <c r="S373">
        <v>100.1694868363</v>
      </c>
      <c r="T373">
        <v>35897610</v>
      </c>
      <c r="U373">
        <v>35897610</v>
      </c>
      <c r="V373">
        <v>1</v>
      </c>
      <c r="W373">
        <v>0</v>
      </c>
      <c r="X373">
        <v>35958451.719999999</v>
      </c>
      <c r="Y373">
        <v>35958451.719999999</v>
      </c>
    </row>
    <row r="374" spans="1:25" x14ac:dyDescent="0.25">
      <c r="A374">
        <v>20</v>
      </c>
      <c r="B374" t="s">
        <v>25</v>
      </c>
      <c r="C374" t="s">
        <v>26</v>
      </c>
      <c r="D374" t="s">
        <v>3898</v>
      </c>
      <c r="E374">
        <v>227916</v>
      </c>
      <c r="G374" t="s">
        <v>3899</v>
      </c>
      <c r="H374" t="s">
        <v>3618</v>
      </c>
      <c r="I374" t="s">
        <v>3899</v>
      </c>
      <c r="L374" t="b">
        <v>0</v>
      </c>
      <c r="M374" t="s">
        <v>50</v>
      </c>
      <c r="N374" t="s">
        <v>26</v>
      </c>
      <c r="P374" t="s">
        <v>33</v>
      </c>
      <c r="Q374">
        <v>1</v>
      </c>
      <c r="R374">
        <v>5</v>
      </c>
      <c r="S374">
        <v>100.01875417479999</v>
      </c>
      <c r="T374">
        <v>124298084</v>
      </c>
      <c r="U374">
        <v>124298084</v>
      </c>
      <c r="V374">
        <v>1</v>
      </c>
      <c r="W374">
        <v>0</v>
      </c>
      <c r="X374">
        <v>124321395.08</v>
      </c>
      <c r="Y374">
        <v>124321395.08</v>
      </c>
    </row>
    <row r="375" spans="1:25" x14ac:dyDescent="0.25">
      <c r="A375">
        <v>20</v>
      </c>
      <c r="B375" t="s">
        <v>25</v>
      </c>
      <c r="C375" t="s">
        <v>26</v>
      </c>
      <c r="D375" t="s">
        <v>3900</v>
      </c>
      <c r="E375">
        <v>227995</v>
      </c>
      <c r="G375" t="s">
        <v>3901</v>
      </c>
      <c r="H375" t="s">
        <v>3618</v>
      </c>
      <c r="I375" t="s">
        <v>3901</v>
      </c>
      <c r="L375" t="b">
        <v>0</v>
      </c>
      <c r="M375" t="s">
        <v>50</v>
      </c>
      <c r="N375" t="s">
        <v>26</v>
      </c>
      <c r="P375" t="s">
        <v>33</v>
      </c>
      <c r="Q375">
        <v>1</v>
      </c>
      <c r="R375">
        <v>5</v>
      </c>
      <c r="S375">
        <v>100.0187120425</v>
      </c>
      <c r="T375">
        <v>80610367</v>
      </c>
      <c r="U375">
        <v>80610367</v>
      </c>
      <c r="V375">
        <v>1</v>
      </c>
      <c r="W375">
        <v>0</v>
      </c>
      <c r="X375">
        <v>80625450.849999994</v>
      </c>
      <c r="Y375">
        <v>80625450.849999994</v>
      </c>
    </row>
    <row r="376" spans="1:25" x14ac:dyDescent="0.25">
      <c r="A376">
        <v>20</v>
      </c>
      <c r="B376" t="s">
        <v>25</v>
      </c>
      <c r="C376" t="s">
        <v>26</v>
      </c>
      <c r="D376" t="s">
        <v>3902</v>
      </c>
      <c r="E376">
        <v>227839</v>
      </c>
      <c r="G376" t="s">
        <v>3903</v>
      </c>
      <c r="H376" t="s">
        <v>3904</v>
      </c>
      <c r="I376" t="s">
        <v>3903</v>
      </c>
      <c r="L376" t="b">
        <v>0</v>
      </c>
      <c r="M376" t="s">
        <v>50</v>
      </c>
      <c r="N376" t="s">
        <v>26</v>
      </c>
      <c r="P376" t="s">
        <v>33</v>
      </c>
      <c r="Q376">
        <v>1</v>
      </c>
      <c r="R376">
        <v>5</v>
      </c>
      <c r="S376">
        <v>100.0187295587</v>
      </c>
      <c r="T376">
        <v>51717716</v>
      </c>
      <c r="U376">
        <v>51717716</v>
      </c>
      <c r="V376">
        <v>1</v>
      </c>
      <c r="W376">
        <v>0</v>
      </c>
      <c r="X376">
        <v>51727402.5</v>
      </c>
      <c r="Y376">
        <v>51727402.5</v>
      </c>
    </row>
    <row r="377" spans="1:25" x14ac:dyDescent="0.25">
      <c r="A377">
        <v>20</v>
      </c>
      <c r="B377" t="s">
        <v>25</v>
      </c>
      <c r="C377" t="s">
        <v>26</v>
      </c>
      <c r="D377" t="s">
        <v>3905</v>
      </c>
      <c r="E377">
        <v>227990</v>
      </c>
      <c r="G377" t="s">
        <v>3906</v>
      </c>
      <c r="H377" t="s">
        <v>3618</v>
      </c>
      <c r="I377" t="s">
        <v>3906</v>
      </c>
      <c r="L377" t="b">
        <v>0</v>
      </c>
      <c r="M377" t="s">
        <v>50</v>
      </c>
      <c r="N377" t="s">
        <v>26</v>
      </c>
      <c r="P377" t="s">
        <v>33</v>
      </c>
      <c r="Q377">
        <v>1</v>
      </c>
      <c r="R377">
        <v>5</v>
      </c>
      <c r="S377">
        <v>100.0188035562</v>
      </c>
      <c r="T377">
        <v>43715817</v>
      </c>
      <c r="U377">
        <v>43715817</v>
      </c>
      <c r="V377">
        <v>1</v>
      </c>
      <c r="W377">
        <v>0</v>
      </c>
      <c r="X377">
        <v>43724037.130000003</v>
      </c>
      <c r="Y377">
        <v>43724037.130000003</v>
      </c>
    </row>
    <row r="378" spans="1:25" x14ac:dyDescent="0.25">
      <c r="A378">
        <v>20</v>
      </c>
      <c r="B378" t="s">
        <v>25</v>
      </c>
      <c r="C378" t="s">
        <v>26</v>
      </c>
      <c r="D378" t="s">
        <v>3907</v>
      </c>
      <c r="E378">
        <v>227908</v>
      </c>
      <c r="G378" t="s">
        <v>3908</v>
      </c>
      <c r="H378" t="s">
        <v>3618</v>
      </c>
      <c r="I378" t="s">
        <v>3908</v>
      </c>
      <c r="L378" t="b">
        <v>0</v>
      </c>
      <c r="M378" t="s">
        <v>50</v>
      </c>
      <c r="N378" t="s">
        <v>26</v>
      </c>
      <c r="P378" t="s">
        <v>33</v>
      </c>
      <c r="Q378">
        <v>1</v>
      </c>
      <c r="R378">
        <v>5</v>
      </c>
      <c r="S378">
        <v>100.0187330623</v>
      </c>
      <c r="T378">
        <v>33211756</v>
      </c>
      <c r="U378">
        <v>33211756</v>
      </c>
      <c r="V378">
        <v>1</v>
      </c>
      <c r="W378">
        <v>0</v>
      </c>
      <c r="X378">
        <v>33217977.579999998</v>
      </c>
      <c r="Y378">
        <v>33217977.579999998</v>
      </c>
    </row>
    <row r="379" spans="1:25" x14ac:dyDescent="0.25">
      <c r="A379">
        <v>20</v>
      </c>
      <c r="B379" t="s">
        <v>25</v>
      </c>
      <c r="C379" t="s">
        <v>26</v>
      </c>
      <c r="D379" t="s">
        <v>3909</v>
      </c>
      <c r="E379">
        <v>228045</v>
      </c>
      <c r="G379" t="s">
        <v>3910</v>
      </c>
      <c r="H379" t="s">
        <v>3911</v>
      </c>
      <c r="I379" t="s">
        <v>3910</v>
      </c>
      <c r="L379" t="b">
        <v>0</v>
      </c>
      <c r="M379" t="s">
        <v>50</v>
      </c>
      <c r="N379" t="s">
        <v>26</v>
      </c>
      <c r="P379" t="s">
        <v>33</v>
      </c>
      <c r="Q379">
        <v>1</v>
      </c>
      <c r="R379">
        <v>5</v>
      </c>
      <c r="S379">
        <v>100.01872956779999</v>
      </c>
      <c r="T379">
        <v>33203590</v>
      </c>
      <c r="U379">
        <v>33203590</v>
      </c>
      <c r="V379">
        <v>1</v>
      </c>
      <c r="W379">
        <v>0</v>
      </c>
      <c r="X379">
        <v>33209808.890000001</v>
      </c>
      <c r="Y379">
        <v>33209808.890000001</v>
      </c>
    </row>
    <row r="380" spans="1:25" x14ac:dyDescent="0.25">
      <c r="A380">
        <v>20</v>
      </c>
      <c r="B380" t="s">
        <v>25</v>
      </c>
      <c r="C380" t="s">
        <v>26</v>
      </c>
      <c r="D380" t="s">
        <v>3912</v>
      </c>
      <c r="E380">
        <v>227760</v>
      </c>
      <c r="G380" t="s">
        <v>3913</v>
      </c>
      <c r="H380" t="s">
        <v>3618</v>
      </c>
      <c r="I380" t="s">
        <v>3913</v>
      </c>
      <c r="L380" t="b">
        <v>0</v>
      </c>
      <c r="M380" t="s">
        <v>50</v>
      </c>
      <c r="N380" t="s">
        <v>26</v>
      </c>
      <c r="P380" t="s">
        <v>33</v>
      </c>
      <c r="Q380">
        <v>1</v>
      </c>
      <c r="R380">
        <v>5</v>
      </c>
      <c r="S380">
        <v>100.01886387730001</v>
      </c>
      <c r="T380">
        <v>29439013</v>
      </c>
      <c r="U380">
        <v>29439013</v>
      </c>
      <c r="V380">
        <v>1</v>
      </c>
      <c r="W380">
        <v>0</v>
      </c>
      <c r="X380">
        <v>29444566.34</v>
      </c>
      <c r="Y380">
        <v>29444566.34</v>
      </c>
    </row>
    <row r="381" spans="1:25" x14ac:dyDescent="0.25">
      <c r="A381">
        <v>20</v>
      </c>
      <c r="B381" t="s">
        <v>25</v>
      </c>
      <c r="C381" t="s">
        <v>26</v>
      </c>
      <c r="D381" t="s">
        <v>3914</v>
      </c>
      <c r="E381">
        <v>227761</v>
      </c>
      <c r="G381" t="s">
        <v>3915</v>
      </c>
      <c r="H381" t="s">
        <v>3618</v>
      </c>
      <c r="I381" t="s">
        <v>3915</v>
      </c>
      <c r="L381" t="b">
        <v>0</v>
      </c>
      <c r="M381" t="s">
        <v>50</v>
      </c>
      <c r="N381" t="s">
        <v>26</v>
      </c>
      <c r="P381" t="s">
        <v>33</v>
      </c>
      <c r="Q381">
        <v>1</v>
      </c>
      <c r="R381">
        <v>5</v>
      </c>
      <c r="S381">
        <v>100.0188638545</v>
      </c>
      <c r="T381">
        <v>25266954</v>
      </c>
      <c r="U381">
        <v>25266954</v>
      </c>
      <c r="V381">
        <v>1</v>
      </c>
      <c r="W381">
        <v>0</v>
      </c>
      <c r="X381">
        <v>25271720.32</v>
      </c>
      <c r="Y381">
        <v>25271720.32</v>
      </c>
    </row>
    <row r="382" spans="1:25" x14ac:dyDescent="0.25">
      <c r="A382">
        <v>20</v>
      </c>
      <c r="B382" t="s">
        <v>25</v>
      </c>
      <c r="C382" t="s">
        <v>26</v>
      </c>
      <c r="D382" t="s">
        <v>3916</v>
      </c>
      <c r="E382">
        <v>227833</v>
      </c>
      <c r="G382" t="s">
        <v>3917</v>
      </c>
      <c r="H382" t="s">
        <v>3588</v>
      </c>
      <c r="I382" t="s">
        <v>3917</v>
      </c>
      <c r="L382" t="b">
        <v>0</v>
      </c>
      <c r="M382" t="s">
        <v>50</v>
      </c>
      <c r="N382" t="s">
        <v>26</v>
      </c>
      <c r="P382" t="s">
        <v>33</v>
      </c>
      <c r="Q382">
        <v>1</v>
      </c>
      <c r="R382">
        <v>5</v>
      </c>
      <c r="S382">
        <v>100.0188035748</v>
      </c>
      <c r="T382">
        <v>27901814</v>
      </c>
      <c r="U382">
        <v>27901814</v>
      </c>
      <c r="V382">
        <v>1</v>
      </c>
      <c r="W382">
        <v>0</v>
      </c>
      <c r="X382">
        <v>27907060.539999999</v>
      </c>
      <c r="Y382">
        <v>27907060.539999999</v>
      </c>
    </row>
    <row r="383" spans="1:25" x14ac:dyDescent="0.25">
      <c r="A383">
        <v>20</v>
      </c>
      <c r="B383" t="s">
        <v>25</v>
      </c>
      <c r="C383" t="s">
        <v>26</v>
      </c>
      <c r="D383" t="s">
        <v>3918</v>
      </c>
      <c r="E383">
        <v>227925</v>
      </c>
      <c r="G383" t="s">
        <v>3919</v>
      </c>
      <c r="H383" t="s">
        <v>3618</v>
      </c>
      <c r="I383" t="s">
        <v>3919</v>
      </c>
      <c r="L383" t="b">
        <v>0</v>
      </c>
      <c r="M383" t="s">
        <v>50</v>
      </c>
      <c r="N383" t="s">
        <v>26</v>
      </c>
      <c r="P383" t="s">
        <v>33</v>
      </c>
      <c r="Q383">
        <v>1</v>
      </c>
      <c r="R383">
        <v>5</v>
      </c>
      <c r="S383">
        <v>100.0187542427</v>
      </c>
      <c r="T383">
        <v>27559204</v>
      </c>
      <c r="U383">
        <v>27559204</v>
      </c>
      <c r="V383">
        <v>1</v>
      </c>
      <c r="W383">
        <v>0</v>
      </c>
      <c r="X383">
        <v>27564372.52</v>
      </c>
      <c r="Y383">
        <v>27564372.52</v>
      </c>
    </row>
    <row r="384" spans="1:25" x14ac:dyDescent="0.25">
      <c r="A384">
        <v>20</v>
      </c>
      <c r="B384" t="s">
        <v>25</v>
      </c>
      <c r="C384" t="s">
        <v>26</v>
      </c>
      <c r="D384" t="s">
        <v>3920</v>
      </c>
      <c r="E384">
        <v>228123</v>
      </c>
      <c r="G384" t="s">
        <v>3921</v>
      </c>
      <c r="H384" t="s">
        <v>3618</v>
      </c>
      <c r="I384" t="s">
        <v>3921</v>
      </c>
      <c r="L384" t="b">
        <v>0</v>
      </c>
      <c r="M384" t="s">
        <v>50</v>
      </c>
      <c r="N384" t="s">
        <v>26</v>
      </c>
      <c r="P384" t="s">
        <v>33</v>
      </c>
      <c r="Q384">
        <v>1</v>
      </c>
      <c r="R384">
        <v>5</v>
      </c>
      <c r="S384">
        <v>100.018708702</v>
      </c>
      <c r="T384">
        <v>26521081</v>
      </c>
      <c r="U384">
        <v>26521081</v>
      </c>
      <c r="V384">
        <v>1</v>
      </c>
      <c r="W384">
        <v>0</v>
      </c>
      <c r="X384">
        <v>26526042.75</v>
      </c>
      <c r="Y384">
        <v>26526042.75</v>
      </c>
    </row>
    <row r="385" spans="1:25" x14ac:dyDescent="0.25">
      <c r="A385">
        <v>20</v>
      </c>
      <c r="B385" t="s">
        <v>25</v>
      </c>
      <c r="C385" t="s">
        <v>26</v>
      </c>
      <c r="D385" t="s">
        <v>3922</v>
      </c>
      <c r="E385">
        <v>227988</v>
      </c>
      <c r="G385" t="s">
        <v>3923</v>
      </c>
      <c r="H385" t="s">
        <v>3618</v>
      </c>
      <c r="I385" t="s">
        <v>3923</v>
      </c>
      <c r="L385" t="b">
        <v>0</v>
      </c>
      <c r="M385" t="s">
        <v>50</v>
      </c>
      <c r="N385" t="s">
        <v>26</v>
      </c>
      <c r="P385" t="s">
        <v>33</v>
      </c>
      <c r="Q385">
        <v>1</v>
      </c>
      <c r="R385">
        <v>5</v>
      </c>
      <c r="S385">
        <v>100.0188035828</v>
      </c>
      <c r="T385">
        <v>25350188</v>
      </c>
      <c r="U385">
        <v>25350188</v>
      </c>
      <c r="V385">
        <v>1</v>
      </c>
      <c r="W385">
        <v>0</v>
      </c>
      <c r="X385">
        <v>25354954.739999998</v>
      </c>
      <c r="Y385">
        <v>25354954.739999998</v>
      </c>
    </row>
    <row r="386" spans="1:25" x14ac:dyDescent="0.25">
      <c r="A386">
        <v>20</v>
      </c>
      <c r="B386" t="s">
        <v>25</v>
      </c>
      <c r="C386" t="s">
        <v>26</v>
      </c>
      <c r="D386" t="s">
        <v>3924</v>
      </c>
      <c r="E386">
        <v>227989</v>
      </c>
      <c r="G386" t="s">
        <v>3925</v>
      </c>
      <c r="H386" t="s">
        <v>3618</v>
      </c>
      <c r="I386" t="s">
        <v>3925</v>
      </c>
      <c r="L386" t="b">
        <v>0</v>
      </c>
      <c r="M386" t="s">
        <v>50</v>
      </c>
      <c r="N386" t="s">
        <v>26</v>
      </c>
      <c r="P386" t="s">
        <v>33</v>
      </c>
      <c r="Q386">
        <v>1</v>
      </c>
      <c r="R386">
        <v>5</v>
      </c>
      <c r="S386">
        <v>100.0187824253</v>
      </c>
      <c r="T386">
        <v>24482429</v>
      </c>
      <c r="U386">
        <v>24482429</v>
      </c>
      <c r="V386">
        <v>1</v>
      </c>
      <c r="W386">
        <v>0</v>
      </c>
      <c r="X386">
        <v>24487027.390000001</v>
      </c>
      <c r="Y386">
        <v>24487027.390000001</v>
      </c>
    </row>
    <row r="387" spans="1:25" x14ac:dyDescent="0.25">
      <c r="A387">
        <v>20</v>
      </c>
      <c r="B387" t="s">
        <v>25</v>
      </c>
      <c r="C387" t="s">
        <v>26</v>
      </c>
      <c r="D387" t="s">
        <v>3926</v>
      </c>
      <c r="E387">
        <v>227987</v>
      </c>
      <c r="G387" t="s">
        <v>3927</v>
      </c>
      <c r="H387" t="s">
        <v>3618</v>
      </c>
      <c r="I387" t="s">
        <v>3927</v>
      </c>
      <c r="L387" t="b">
        <v>0</v>
      </c>
      <c r="M387" t="s">
        <v>50</v>
      </c>
      <c r="N387" t="s">
        <v>26</v>
      </c>
      <c r="P387" t="s">
        <v>33</v>
      </c>
      <c r="Q387">
        <v>1</v>
      </c>
      <c r="R387">
        <v>5</v>
      </c>
      <c r="S387">
        <v>100.01880357749999</v>
      </c>
      <c r="T387">
        <v>24454839</v>
      </c>
      <c r="U387">
        <v>24454839</v>
      </c>
      <c r="V387">
        <v>1</v>
      </c>
      <c r="W387">
        <v>0</v>
      </c>
      <c r="X387">
        <v>24459437.379999999</v>
      </c>
      <c r="Y387">
        <v>24459437.379999999</v>
      </c>
    </row>
    <row r="388" spans="1:25" x14ac:dyDescent="0.25">
      <c r="A388">
        <v>20</v>
      </c>
      <c r="B388" t="s">
        <v>25</v>
      </c>
      <c r="C388" t="s">
        <v>26</v>
      </c>
      <c r="D388" t="s">
        <v>3928</v>
      </c>
      <c r="E388">
        <v>227840</v>
      </c>
      <c r="G388" t="s">
        <v>3929</v>
      </c>
      <c r="H388" t="s">
        <v>3618</v>
      </c>
      <c r="I388" t="s">
        <v>3929</v>
      </c>
      <c r="L388" t="b">
        <v>0</v>
      </c>
      <c r="M388" t="s">
        <v>50</v>
      </c>
      <c r="N388" t="s">
        <v>26</v>
      </c>
      <c r="P388" t="s">
        <v>33</v>
      </c>
      <c r="Q388">
        <v>1</v>
      </c>
      <c r="R388">
        <v>5</v>
      </c>
      <c r="S388">
        <v>100.0188035977</v>
      </c>
      <c r="T388">
        <v>24144043</v>
      </c>
      <c r="U388">
        <v>24144043</v>
      </c>
      <c r="V388">
        <v>1</v>
      </c>
      <c r="W388">
        <v>0</v>
      </c>
      <c r="X388">
        <v>24148582.949999999</v>
      </c>
      <c r="Y388">
        <v>24148582.949999999</v>
      </c>
    </row>
    <row r="389" spans="1:25" x14ac:dyDescent="0.25">
      <c r="A389">
        <v>20</v>
      </c>
      <c r="B389" t="s">
        <v>25</v>
      </c>
      <c r="C389" t="s">
        <v>26</v>
      </c>
      <c r="D389" t="s">
        <v>3930</v>
      </c>
      <c r="E389">
        <v>227944</v>
      </c>
      <c r="G389" t="s">
        <v>3931</v>
      </c>
      <c r="H389" t="s">
        <v>3618</v>
      </c>
      <c r="I389" t="s">
        <v>3931</v>
      </c>
      <c r="L389" t="b">
        <v>0</v>
      </c>
      <c r="M389" t="s">
        <v>50</v>
      </c>
      <c r="N389" t="s">
        <v>26</v>
      </c>
      <c r="P389" t="s">
        <v>33</v>
      </c>
      <c r="Q389">
        <v>1</v>
      </c>
      <c r="R389">
        <v>5</v>
      </c>
      <c r="S389">
        <v>100.018704963</v>
      </c>
      <c r="T389">
        <v>24480134</v>
      </c>
      <c r="U389">
        <v>24480134</v>
      </c>
      <c r="V389">
        <v>1</v>
      </c>
      <c r="W389">
        <v>0</v>
      </c>
      <c r="X389">
        <v>24484713</v>
      </c>
      <c r="Y389">
        <v>24484713</v>
      </c>
    </row>
    <row r="390" spans="1:25" x14ac:dyDescent="0.25">
      <c r="A390">
        <v>20</v>
      </c>
      <c r="B390" t="s">
        <v>25</v>
      </c>
      <c r="C390" t="s">
        <v>26</v>
      </c>
      <c r="D390" t="s">
        <v>3932</v>
      </c>
      <c r="E390">
        <v>227991</v>
      </c>
      <c r="G390" t="s">
        <v>3933</v>
      </c>
      <c r="H390" t="s">
        <v>3618</v>
      </c>
      <c r="I390" t="s">
        <v>3933</v>
      </c>
      <c r="L390" t="b">
        <v>0</v>
      </c>
      <c r="M390" t="s">
        <v>50</v>
      </c>
      <c r="N390" t="s">
        <v>26</v>
      </c>
      <c r="P390" t="s">
        <v>33</v>
      </c>
      <c r="Q390">
        <v>1</v>
      </c>
      <c r="R390">
        <v>5</v>
      </c>
      <c r="S390">
        <v>100.0187611724</v>
      </c>
      <c r="T390">
        <v>24011569</v>
      </c>
      <c r="U390">
        <v>24011569</v>
      </c>
      <c r="V390">
        <v>1</v>
      </c>
      <c r="W390">
        <v>0</v>
      </c>
      <c r="X390">
        <v>24016073.850000001</v>
      </c>
      <c r="Y390">
        <v>24016073.850000001</v>
      </c>
    </row>
    <row r="391" spans="1:25" x14ac:dyDescent="0.25">
      <c r="A391">
        <v>20</v>
      </c>
      <c r="B391" t="s">
        <v>25</v>
      </c>
      <c r="C391" t="s">
        <v>26</v>
      </c>
      <c r="D391" t="s">
        <v>3934</v>
      </c>
      <c r="E391">
        <v>228126</v>
      </c>
      <c r="G391" t="s">
        <v>3935</v>
      </c>
      <c r="H391" t="s">
        <v>3618</v>
      </c>
      <c r="I391" t="s">
        <v>3935</v>
      </c>
      <c r="L391" t="b">
        <v>0</v>
      </c>
      <c r="M391" t="s">
        <v>50</v>
      </c>
      <c r="N391" t="s">
        <v>26</v>
      </c>
      <c r="P391" t="s">
        <v>33</v>
      </c>
      <c r="Q391">
        <v>1</v>
      </c>
      <c r="R391">
        <v>5</v>
      </c>
      <c r="S391">
        <v>100.018782417</v>
      </c>
      <c r="T391">
        <v>23949059</v>
      </c>
      <c r="U391">
        <v>23949059</v>
      </c>
      <c r="V391">
        <v>1</v>
      </c>
      <c r="W391">
        <v>0</v>
      </c>
      <c r="X391">
        <v>23953557.210000001</v>
      </c>
      <c r="Y391">
        <v>23953557.210000001</v>
      </c>
    </row>
    <row r="392" spans="1:25" x14ac:dyDescent="0.25">
      <c r="A392">
        <v>20</v>
      </c>
      <c r="B392" t="s">
        <v>25</v>
      </c>
      <c r="C392" t="s">
        <v>26</v>
      </c>
      <c r="D392" t="s">
        <v>3936</v>
      </c>
      <c r="E392">
        <v>228068</v>
      </c>
      <c r="G392" t="s">
        <v>3937</v>
      </c>
      <c r="H392" t="s">
        <v>3618</v>
      </c>
      <c r="I392" t="s">
        <v>3937</v>
      </c>
      <c r="L392" t="b">
        <v>0</v>
      </c>
      <c r="M392" t="s">
        <v>50</v>
      </c>
      <c r="N392" t="s">
        <v>26</v>
      </c>
      <c r="P392" t="s">
        <v>33</v>
      </c>
      <c r="Q392">
        <v>1</v>
      </c>
      <c r="R392">
        <v>5</v>
      </c>
      <c r="S392">
        <v>100.018708606</v>
      </c>
      <c r="T392">
        <v>23979606</v>
      </c>
      <c r="U392">
        <v>23979606</v>
      </c>
      <c r="V392">
        <v>1</v>
      </c>
      <c r="W392">
        <v>0</v>
      </c>
      <c r="X392">
        <v>23984092.25</v>
      </c>
      <c r="Y392">
        <v>23984092.25</v>
      </c>
    </row>
    <row r="393" spans="1:25" x14ac:dyDescent="0.25">
      <c r="A393">
        <v>20</v>
      </c>
      <c r="B393" t="s">
        <v>25</v>
      </c>
      <c r="C393" t="s">
        <v>26</v>
      </c>
      <c r="D393" t="s">
        <v>3938</v>
      </c>
      <c r="E393">
        <v>227780</v>
      </c>
      <c r="G393" t="s">
        <v>3939</v>
      </c>
      <c r="H393" t="s">
        <v>3618</v>
      </c>
      <c r="I393" t="s">
        <v>3939</v>
      </c>
      <c r="L393" t="b">
        <v>0</v>
      </c>
      <c r="M393" t="s">
        <v>50</v>
      </c>
      <c r="N393" t="s">
        <v>26</v>
      </c>
      <c r="P393" t="s">
        <v>33</v>
      </c>
      <c r="Q393">
        <v>1</v>
      </c>
      <c r="R393">
        <v>5</v>
      </c>
      <c r="S393">
        <v>100.0187295078</v>
      </c>
      <c r="T393">
        <v>23887737</v>
      </c>
      <c r="U393">
        <v>23887737</v>
      </c>
      <c r="V393">
        <v>1</v>
      </c>
      <c r="W393">
        <v>0</v>
      </c>
      <c r="X393">
        <v>23892211.059999999</v>
      </c>
      <c r="Y393">
        <v>23892211.059999999</v>
      </c>
    </row>
    <row r="394" spans="1:25" x14ac:dyDescent="0.25">
      <c r="A394">
        <v>20</v>
      </c>
      <c r="B394" t="s">
        <v>25</v>
      </c>
      <c r="C394" t="s">
        <v>26</v>
      </c>
      <c r="D394" t="s">
        <v>3940</v>
      </c>
      <c r="E394">
        <v>227962</v>
      </c>
      <c r="G394" t="s">
        <v>3941</v>
      </c>
      <c r="H394" t="s">
        <v>3618</v>
      </c>
      <c r="I394" t="s">
        <v>3941</v>
      </c>
      <c r="L394" t="b">
        <v>0</v>
      </c>
      <c r="M394" t="s">
        <v>50</v>
      </c>
      <c r="N394" t="s">
        <v>26</v>
      </c>
      <c r="P394" t="s">
        <v>33</v>
      </c>
      <c r="Q394">
        <v>1</v>
      </c>
      <c r="R394">
        <v>5</v>
      </c>
      <c r="S394">
        <v>100.0188283242</v>
      </c>
      <c r="T394">
        <v>22482894</v>
      </c>
      <c r="U394">
        <v>22482894</v>
      </c>
      <c r="V394">
        <v>1</v>
      </c>
      <c r="W394">
        <v>0</v>
      </c>
      <c r="X394">
        <v>22487127.149999999</v>
      </c>
      <c r="Y394">
        <v>22487127.149999999</v>
      </c>
    </row>
    <row r="395" spans="1:25" x14ac:dyDescent="0.25">
      <c r="A395">
        <v>20</v>
      </c>
      <c r="B395" t="s">
        <v>25</v>
      </c>
      <c r="C395" t="s">
        <v>26</v>
      </c>
      <c r="D395" t="s">
        <v>3942</v>
      </c>
      <c r="E395">
        <v>228044</v>
      </c>
      <c r="G395" t="s">
        <v>3943</v>
      </c>
      <c r="H395" t="s">
        <v>3618</v>
      </c>
      <c r="I395" t="s">
        <v>3943</v>
      </c>
      <c r="L395" t="b">
        <v>0</v>
      </c>
      <c r="M395" t="s">
        <v>50</v>
      </c>
      <c r="N395" t="s">
        <v>26</v>
      </c>
      <c r="P395" t="s">
        <v>33</v>
      </c>
      <c r="Q395">
        <v>1</v>
      </c>
      <c r="R395">
        <v>5</v>
      </c>
      <c r="S395">
        <v>100.01885322539999</v>
      </c>
      <c r="T395">
        <v>22161565</v>
      </c>
      <c r="U395">
        <v>22161565</v>
      </c>
      <c r="V395">
        <v>1</v>
      </c>
      <c r="W395">
        <v>0</v>
      </c>
      <c r="X395">
        <v>22165743.170000002</v>
      </c>
      <c r="Y395">
        <v>22165743.170000002</v>
      </c>
    </row>
    <row r="396" spans="1:25" x14ac:dyDescent="0.25">
      <c r="A396">
        <v>20</v>
      </c>
      <c r="B396" t="s">
        <v>25</v>
      </c>
      <c r="C396" t="s">
        <v>26</v>
      </c>
      <c r="D396" t="s">
        <v>3944</v>
      </c>
      <c r="E396">
        <v>228067</v>
      </c>
      <c r="G396" t="s">
        <v>3945</v>
      </c>
      <c r="H396" t="s">
        <v>3618</v>
      </c>
      <c r="I396" t="s">
        <v>3945</v>
      </c>
      <c r="L396" t="b">
        <v>0</v>
      </c>
      <c r="M396" t="s">
        <v>50</v>
      </c>
      <c r="N396" t="s">
        <v>26</v>
      </c>
      <c r="P396" t="s">
        <v>33</v>
      </c>
      <c r="Q396">
        <v>1</v>
      </c>
      <c r="R396">
        <v>5</v>
      </c>
      <c r="S396">
        <v>100.018910244</v>
      </c>
      <c r="T396">
        <v>18994459</v>
      </c>
      <c r="U396">
        <v>18994459</v>
      </c>
      <c r="V396">
        <v>1</v>
      </c>
      <c r="W396">
        <v>0</v>
      </c>
      <c r="X396">
        <v>18998050.899999999</v>
      </c>
      <c r="Y396">
        <v>18998050.899999999</v>
      </c>
    </row>
    <row r="397" spans="1:25" x14ac:dyDescent="0.25">
      <c r="A397">
        <v>20</v>
      </c>
      <c r="B397" t="s">
        <v>25</v>
      </c>
      <c r="C397" t="s">
        <v>26</v>
      </c>
      <c r="D397" t="s">
        <v>3946</v>
      </c>
      <c r="E397">
        <v>228128</v>
      </c>
      <c r="G397" t="s">
        <v>3947</v>
      </c>
      <c r="H397" t="s">
        <v>3618</v>
      </c>
      <c r="I397" t="s">
        <v>3947</v>
      </c>
      <c r="L397" t="b">
        <v>0</v>
      </c>
      <c r="M397" t="s">
        <v>50</v>
      </c>
      <c r="N397" t="s">
        <v>26</v>
      </c>
      <c r="P397" t="s">
        <v>33</v>
      </c>
      <c r="Q397">
        <v>1</v>
      </c>
      <c r="R397">
        <v>5</v>
      </c>
      <c r="S397">
        <v>100.01871199</v>
      </c>
      <c r="T397">
        <v>19045378</v>
      </c>
      <c r="U397">
        <v>19045378</v>
      </c>
      <c r="V397">
        <v>1</v>
      </c>
      <c r="W397">
        <v>0</v>
      </c>
      <c r="X397">
        <v>19048941.77</v>
      </c>
      <c r="Y397">
        <v>19048941.77</v>
      </c>
    </row>
    <row r="398" spans="1:25" x14ac:dyDescent="0.25">
      <c r="A398">
        <v>20</v>
      </c>
      <c r="B398" t="s">
        <v>25</v>
      </c>
      <c r="C398" t="s">
        <v>26</v>
      </c>
      <c r="D398" t="s">
        <v>3948</v>
      </c>
      <c r="E398">
        <v>227986</v>
      </c>
      <c r="G398" t="s">
        <v>3949</v>
      </c>
      <c r="H398" t="s">
        <v>3618</v>
      </c>
      <c r="I398" t="s">
        <v>3949</v>
      </c>
      <c r="L398" t="b">
        <v>0</v>
      </c>
      <c r="M398" t="s">
        <v>50</v>
      </c>
      <c r="N398" t="s">
        <v>26</v>
      </c>
      <c r="P398" t="s">
        <v>33</v>
      </c>
      <c r="Q398">
        <v>1</v>
      </c>
      <c r="R398">
        <v>5</v>
      </c>
      <c r="S398">
        <v>100.0187295787</v>
      </c>
      <c r="T398">
        <v>18938256</v>
      </c>
      <c r="U398">
        <v>18938256</v>
      </c>
      <c r="V398">
        <v>1</v>
      </c>
      <c r="W398">
        <v>0</v>
      </c>
      <c r="X398">
        <v>18941803.059999999</v>
      </c>
      <c r="Y398">
        <v>18941803.059999999</v>
      </c>
    </row>
    <row r="399" spans="1:25" x14ac:dyDescent="0.25">
      <c r="A399">
        <v>20</v>
      </c>
      <c r="B399" t="s">
        <v>25</v>
      </c>
      <c r="C399" t="s">
        <v>26</v>
      </c>
      <c r="D399" t="s">
        <v>3950</v>
      </c>
      <c r="E399">
        <v>228113</v>
      </c>
      <c r="G399" t="s">
        <v>3951</v>
      </c>
      <c r="H399" t="s">
        <v>1625</v>
      </c>
      <c r="I399" t="s">
        <v>3951</v>
      </c>
      <c r="L399" t="b">
        <v>0</v>
      </c>
      <c r="M399" t="s">
        <v>50</v>
      </c>
      <c r="N399" t="s">
        <v>26</v>
      </c>
      <c r="P399" t="s">
        <v>33</v>
      </c>
      <c r="Q399">
        <v>1</v>
      </c>
      <c r="R399">
        <v>5</v>
      </c>
      <c r="S399">
        <v>100.0187156611</v>
      </c>
      <c r="T399">
        <v>18162024</v>
      </c>
      <c r="U399">
        <v>18162024</v>
      </c>
      <c r="V399">
        <v>1</v>
      </c>
      <c r="W399">
        <v>0</v>
      </c>
      <c r="X399">
        <v>18165423.140000001</v>
      </c>
      <c r="Y399">
        <v>18165423.140000001</v>
      </c>
    </row>
    <row r="400" spans="1:25" x14ac:dyDescent="0.25">
      <c r="A400">
        <v>20</v>
      </c>
      <c r="B400" t="s">
        <v>25</v>
      </c>
      <c r="C400" t="s">
        <v>26</v>
      </c>
      <c r="D400" t="s">
        <v>3952</v>
      </c>
      <c r="E400">
        <v>220405</v>
      </c>
      <c r="G400" t="s">
        <v>3953</v>
      </c>
      <c r="H400" t="s">
        <v>93</v>
      </c>
      <c r="I400" t="s">
        <v>3953</v>
      </c>
      <c r="L400" t="b">
        <v>0</v>
      </c>
      <c r="M400" t="s">
        <v>50</v>
      </c>
      <c r="N400" t="s">
        <v>26</v>
      </c>
      <c r="P400" t="s">
        <v>33</v>
      </c>
      <c r="Q400">
        <v>1</v>
      </c>
      <c r="R400">
        <v>5</v>
      </c>
      <c r="S400">
        <v>101.9333336852</v>
      </c>
      <c r="T400">
        <v>41447058</v>
      </c>
      <c r="U400">
        <v>41447058</v>
      </c>
      <c r="V400">
        <v>1</v>
      </c>
      <c r="W400">
        <v>0</v>
      </c>
      <c r="X400">
        <v>42248367.93</v>
      </c>
      <c r="Y400">
        <v>42248367.93</v>
      </c>
    </row>
    <row r="401" spans="1:25" x14ac:dyDescent="0.25">
      <c r="A401">
        <v>20</v>
      </c>
      <c r="B401" t="s">
        <v>25</v>
      </c>
      <c r="C401" t="s">
        <v>26</v>
      </c>
      <c r="D401" t="s">
        <v>3954</v>
      </c>
      <c r="E401">
        <v>220406</v>
      </c>
      <c r="G401" t="s">
        <v>3955</v>
      </c>
      <c r="H401" t="s">
        <v>93</v>
      </c>
      <c r="I401" t="s">
        <v>3955</v>
      </c>
      <c r="L401" t="b">
        <v>0</v>
      </c>
      <c r="M401" t="s">
        <v>50</v>
      </c>
      <c r="N401" t="s">
        <v>26</v>
      </c>
      <c r="P401" t="s">
        <v>33</v>
      </c>
      <c r="Q401">
        <v>1</v>
      </c>
      <c r="R401">
        <v>5</v>
      </c>
      <c r="S401">
        <v>101.93333300659999</v>
      </c>
      <c r="T401">
        <v>19717282</v>
      </c>
      <c r="U401">
        <v>19717282</v>
      </c>
      <c r="V401">
        <v>1</v>
      </c>
      <c r="W401">
        <v>0</v>
      </c>
      <c r="X401">
        <v>20098482.719999999</v>
      </c>
      <c r="Y401">
        <v>20098482.719999999</v>
      </c>
    </row>
    <row r="402" spans="1:25" x14ac:dyDescent="0.25">
      <c r="A402">
        <v>20</v>
      </c>
      <c r="B402" t="s">
        <v>25</v>
      </c>
      <c r="C402" t="s">
        <v>26</v>
      </c>
      <c r="D402" t="s">
        <v>3956</v>
      </c>
      <c r="E402">
        <v>220407</v>
      </c>
      <c r="G402" t="s">
        <v>3957</v>
      </c>
      <c r="H402" t="s">
        <v>93</v>
      </c>
      <c r="I402" t="s">
        <v>3957</v>
      </c>
      <c r="L402" t="b">
        <v>0</v>
      </c>
      <c r="M402" t="s">
        <v>50</v>
      </c>
      <c r="N402" t="s">
        <v>26</v>
      </c>
      <c r="P402" t="s">
        <v>33</v>
      </c>
      <c r="Q402">
        <v>1</v>
      </c>
      <c r="R402">
        <v>5</v>
      </c>
      <c r="S402">
        <v>101.9333334416</v>
      </c>
      <c r="T402">
        <v>66818947</v>
      </c>
      <c r="U402">
        <v>66818947</v>
      </c>
      <c r="V402">
        <v>1</v>
      </c>
      <c r="W402">
        <v>0</v>
      </c>
      <c r="X402">
        <v>68110780.049999997</v>
      </c>
      <c r="Y402">
        <v>68110780.049999997</v>
      </c>
    </row>
    <row r="403" spans="1:25" x14ac:dyDescent="0.25">
      <c r="A403">
        <v>20</v>
      </c>
      <c r="B403" t="s">
        <v>25</v>
      </c>
      <c r="C403" t="s">
        <v>26</v>
      </c>
      <c r="D403" t="s">
        <v>3958</v>
      </c>
      <c r="E403">
        <v>220408</v>
      </c>
      <c r="G403" t="s">
        <v>3959</v>
      </c>
      <c r="H403" t="s">
        <v>93</v>
      </c>
      <c r="I403" t="s">
        <v>3959</v>
      </c>
      <c r="L403" t="b">
        <v>0</v>
      </c>
      <c r="M403" t="s">
        <v>50</v>
      </c>
      <c r="N403" t="s">
        <v>26</v>
      </c>
      <c r="P403" t="s">
        <v>33</v>
      </c>
      <c r="Q403">
        <v>1</v>
      </c>
      <c r="R403">
        <v>5</v>
      </c>
      <c r="S403">
        <v>101.93331119859999</v>
      </c>
      <c r="T403">
        <v>1258539</v>
      </c>
      <c r="U403">
        <v>1258539</v>
      </c>
      <c r="V403">
        <v>1</v>
      </c>
      <c r="W403">
        <v>0</v>
      </c>
      <c r="X403">
        <v>1282870.48</v>
      </c>
      <c r="Y403">
        <v>1282870.48</v>
      </c>
    </row>
    <row r="404" spans="1:25" x14ac:dyDescent="0.25">
      <c r="A404">
        <v>20</v>
      </c>
      <c r="B404" t="s">
        <v>25</v>
      </c>
      <c r="C404" t="s">
        <v>26</v>
      </c>
      <c r="D404" t="s">
        <v>3960</v>
      </c>
      <c r="E404">
        <v>223305</v>
      </c>
      <c r="G404" t="s">
        <v>3961</v>
      </c>
      <c r="H404" t="s">
        <v>93</v>
      </c>
      <c r="I404" t="s">
        <v>3961</v>
      </c>
      <c r="L404" t="b">
        <v>0</v>
      </c>
      <c r="M404" t="s">
        <v>50</v>
      </c>
      <c r="N404" t="s">
        <v>26</v>
      </c>
      <c r="P404" t="s">
        <v>33</v>
      </c>
      <c r="Q404">
        <v>1</v>
      </c>
      <c r="R404">
        <v>5</v>
      </c>
      <c r="S404">
        <v>101.23333335060001</v>
      </c>
      <c r="T404">
        <v>434067594</v>
      </c>
      <c r="U404">
        <v>434067594</v>
      </c>
      <c r="V404">
        <v>1</v>
      </c>
      <c r="W404">
        <v>0</v>
      </c>
      <c r="X404">
        <v>439421094.39999998</v>
      </c>
      <c r="Y404">
        <v>439421094.39999998</v>
      </c>
    </row>
    <row r="405" spans="1:25" x14ac:dyDescent="0.25">
      <c r="A405">
        <v>20</v>
      </c>
      <c r="B405" t="s">
        <v>25</v>
      </c>
      <c r="C405" t="s">
        <v>26</v>
      </c>
      <c r="D405" t="s">
        <v>3962</v>
      </c>
      <c r="E405">
        <v>227271</v>
      </c>
      <c r="G405" t="s">
        <v>3963</v>
      </c>
      <c r="H405" t="s">
        <v>93</v>
      </c>
      <c r="I405" t="s">
        <v>3963</v>
      </c>
      <c r="L405" t="b">
        <v>0</v>
      </c>
      <c r="M405" t="s">
        <v>50</v>
      </c>
      <c r="N405" t="s">
        <v>26</v>
      </c>
      <c r="P405" t="s">
        <v>33</v>
      </c>
      <c r="Q405">
        <v>1</v>
      </c>
      <c r="R405">
        <v>5</v>
      </c>
      <c r="S405">
        <v>100.233333324</v>
      </c>
      <c r="T405">
        <v>368463303</v>
      </c>
      <c r="U405">
        <v>368463303</v>
      </c>
      <c r="V405">
        <v>1</v>
      </c>
      <c r="W405">
        <v>0</v>
      </c>
      <c r="X405">
        <v>369323050.67000002</v>
      </c>
      <c r="Y405">
        <v>369323050.67000002</v>
      </c>
    </row>
    <row r="406" spans="1:25" x14ac:dyDescent="0.25">
      <c r="A406">
        <v>20</v>
      </c>
      <c r="B406" t="s">
        <v>25</v>
      </c>
      <c r="C406" t="s">
        <v>26</v>
      </c>
      <c r="D406" t="s">
        <v>3964</v>
      </c>
      <c r="E406">
        <v>221723</v>
      </c>
      <c r="G406" t="s">
        <v>3965</v>
      </c>
      <c r="H406" t="s">
        <v>3147</v>
      </c>
      <c r="I406" t="s">
        <v>3965</v>
      </c>
      <c r="L406" t="b">
        <v>0</v>
      </c>
      <c r="M406" t="s">
        <v>50</v>
      </c>
      <c r="N406" t="s">
        <v>26</v>
      </c>
      <c r="P406" t="s">
        <v>33</v>
      </c>
      <c r="Q406">
        <v>1</v>
      </c>
      <c r="R406">
        <v>5</v>
      </c>
      <c r="S406">
        <v>101.54878687999999</v>
      </c>
      <c r="T406">
        <v>2288427</v>
      </c>
      <c r="U406">
        <v>2288427</v>
      </c>
      <c r="V406">
        <v>1</v>
      </c>
      <c r="W406">
        <v>0</v>
      </c>
      <c r="X406">
        <v>2323869.86</v>
      </c>
      <c r="Y406">
        <v>2323869.86</v>
      </c>
    </row>
    <row r="407" spans="1:25" x14ac:dyDescent="0.25">
      <c r="A407">
        <v>20</v>
      </c>
      <c r="B407" t="s">
        <v>25</v>
      </c>
      <c r="C407" t="s">
        <v>26</v>
      </c>
      <c r="D407" t="s">
        <v>3966</v>
      </c>
      <c r="E407">
        <v>221724</v>
      </c>
      <c r="G407" t="s">
        <v>3967</v>
      </c>
      <c r="H407" t="s">
        <v>3147</v>
      </c>
      <c r="I407" t="s">
        <v>3967</v>
      </c>
      <c r="L407" t="b">
        <v>0</v>
      </c>
      <c r="M407" t="s">
        <v>50</v>
      </c>
      <c r="N407" t="s">
        <v>26</v>
      </c>
      <c r="P407" t="s">
        <v>33</v>
      </c>
      <c r="Q407">
        <v>1</v>
      </c>
      <c r="R407">
        <v>5</v>
      </c>
      <c r="S407">
        <v>101.54878904</v>
      </c>
      <c r="T407">
        <v>8117371</v>
      </c>
      <c r="U407">
        <v>8117371</v>
      </c>
      <c r="V407">
        <v>1</v>
      </c>
      <c r="W407">
        <v>0</v>
      </c>
      <c r="X407">
        <v>8243091.9500000002</v>
      </c>
      <c r="Y407">
        <v>8243091.9500000002</v>
      </c>
    </row>
    <row r="408" spans="1:25" x14ac:dyDescent="0.25">
      <c r="A408">
        <v>20</v>
      </c>
      <c r="B408" t="s">
        <v>25</v>
      </c>
      <c r="C408" t="s">
        <v>26</v>
      </c>
      <c r="D408" t="s">
        <v>3968</v>
      </c>
      <c r="E408">
        <v>221725</v>
      </c>
      <c r="G408" t="s">
        <v>3969</v>
      </c>
      <c r="H408" t="s">
        <v>3147</v>
      </c>
      <c r="I408" t="s">
        <v>3969</v>
      </c>
      <c r="L408" t="b">
        <v>0</v>
      </c>
      <c r="M408" t="s">
        <v>50</v>
      </c>
      <c r="N408" t="s">
        <v>26</v>
      </c>
      <c r="P408" t="s">
        <v>33</v>
      </c>
      <c r="Q408">
        <v>1</v>
      </c>
      <c r="R408">
        <v>5</v>
      </c>
      <c r="S408">
        <v>101.54878625000001</v>
      </c>
      <c r="T408">
        <v>2759857</v>
      </c>
      <c r="U408">
        <v>2759857</v>
      </c>
      <c r="V408">
        <v>1</v>
      </c>
      <c r="W408">
        <v>0</v>
      </c>
      <c r="X408">
        <v>2802601.29</v>
      </c>
      <c r="Y408">
        <v>2802601.29</v>
      </c>
    </row>
    <row r="409" spans="1:25" x14ac:dyDescent="0.25">
      <c r="A409">
        <v>20</v>
      </c>
      <c r="B409" t="s">
        <v>25</v>
      </c>
      <c r="C409" t="s">
        <v>26</v>
      </c>
      <c r="D409" t="s">
        <v>3970</v>
      </c>
      <c r="E409">
        <v>221726</v>
      </c>
      <c r="G409" t="s">
        <v>3971</v>
      </c>
      <c r="H409" t="s">
        <v>3147</v>
      </c>
      <c r="I409" t="s">
        <v>3971</v>
      </c>
      <c r="L409" t="b">
        <v>0</v>
      </c>
      <c r="M409" t="s">
        <v>50</v>
      </c>
      <c r="N409" t="s">
        <v>26</v>
      </c>
      <c r="P409" t="s">
        <v>33</v>
      </c>
      <c r="Q409">
        <v>1</v>
      </c>
      <c r="R409">
        <v>5</v>
      </c>
      <c r="S409">
        <v>101.54879945499999</v>
      </c>
      <c r="T409">
        <v>1821503</v>
      </c>
      <c r="U409">
        <v>1821503</v>
      </c>
      <c r="V409">
        <v>1</v>
      </c>
      <c r="W409">
        <v>0</v>
      </c>
      <c r="X409">
        <v>1849714.43</v>
      </c>
      <c r="Y409">
        <v>1849714.43</v>
      </c>
    </row>
    <row r="410" spans="1:25" x14ac:dyDescent="0.25">
      <c r="A410">
        <v>20</v>
      </c>
      <c r="B410" t="s">
        <v>25</v>
      </c>
      <c r="C410" t="s">
        <v>26</v>
      </c>
      <c r="D410" t="s">
        <v>3972</v>
      </c>
      <c r="E410">
        <v>221727</v>
      </c>
      <c r="G410" t="s">
        <v>3973</v>
      </c>
      <c r="H410" t="s">
        <v>3147</v>
      </c>
      <c r="I410" t="s">
        <v>3973</v>
      </c>
      <c r="L410" t="b">
        <v>0</v>
      </c>
      <c r="M410" t="s">
        <v>50</v>
      </c>
      <c r="N410" t="s">
        <v>26</v>
      </c>
      <c r="P410" t="s">
        <v>33</v>
      </c>
      <c r="Q410">
        <v>1</v>
      </c>
      <c r="R410">
        <v>5</v>
      </c>
      <c r="S410">
        <v>101.548791795</v>
      </c>
      <c r="T410">
        <v>2422472</v>
      </c>
      <c r="U410">
        <v>2422472</v>
      </c>
      <c r="V410">
        <v>1</v>
      </c>
      <c r="W410">
        <v>0</v>
      </c>
      <c r="X410">
        <v>2459991.0499999998</v>
      </c>
      <c r="Y410">
        <v>2459991.0499999998</v>
      </c>
    </row>
    <row r="411" spans="1:25" x14ac:dyDescent="0.25">
      <c r="A411">
        <v>20</v>
      </c>
      <c r="B411" t="s">
        <v>25</v>
      </c>
      <c r="C411" t="s">
        <v>26</v>
      </c>
      <c r="D411" t="s">
        <v>3974</v>
      </c>
      <c r="E411">
        <v>221728</v>
      </c>
      <c r="G411" t="s">
        <v>3975</v>
      </c>
      <c r="H411" t="s">
        <v>3147</v>
      </c>
      <c r="I411" t="s">
        <v>3975</v>
      </c>
      <c r="L411" t="b">
        <v>0</v>
      </c>
      <c r="M411" t="s">
        <v>50</v>
      </c>
      <c r="N411" t="s">
        <v>26</v>
      </c>
      <c r="P411" t="s">
        <v>33</v>
      </c>
      <c r="Q411">
        <v>1</v>
      </c>
      <c r="R411">
        <v>5</v>
      </c>
      <c r="S411">
        <v>101.548797255</v>
      </c>
      <c r="T411">
        <v>979193</v>
      </c>
      <c r="U411">
        <v>979193</v>
      </c>
      <c r="V411">
        <v>1</v>
      </c>
      <c r="W411">
        <v>0</v>
      </c>
      <c r="X411">
        <v>994358.71</v>
      </c>
      <c r="Y411">
        <v>994358.71</v>
      </c>
    </row>
    <row r="412" spans="1:25" x14ac:dyDescent="0.25">
      <c r="A412">
        <v>20</v>
      </c>
      <c r="B412" t="s">
        <v>25</v>
      </c>
      <c r="C412" t="s">
        <v>26</v>
      </c>
      <c r="D412" t="s">
        <v>3976</v>
      </c>
      <c r="E412">
        <v>221729</v>
      </c>
      <c r="G412" t="s">
        <v>3977</v>
      </c>
      <c r="H412" t="s">
        <v>3147</v>
      </c>
      <c r="I412" t="s">
        <v>3977</v>
      </c>
      <c r="L412" t="b">
        <v>0</v>
      </c>
      <c r="M412" t="s">
        <v>50</v>
      </c>
      <c r="N412" t="s">
        <v>26</v>
      </c>
      <c r="P412" t="s">
        <v>33</v>
      </c>
      <c r="Q412">
        <v>1</v>
      </c>
      <c r="R412">
        <v>5</v>
      </c>
      <c r="S412">
        <v>101.54878784500001</v>
      </c>
      <c r="T412">
        <v>14699268</v>
      </c>
      <c r="U412">
        <v>14699268</v>
      </c>
      <c r="V412">
        <v>1</v>
      </c>
      <c r="W412">
        <v>0</v>
      </c>
      <c r="X412">
        <v>14926928.48</v>
      </c>
      <c r="Y412">
        <v>14926928.48</v>
      </c>
    </row>
    <row r="413" spans="1:25" x14ac:dyDescent="0.25">
      <c r="A413">
        <v>20</v>
      </c>
      <c r="B413" t="s">
        <v>25</v>
      </c>
      <c r="C413" t="s">
        <v>26</v>
      </c>
      <c r="D413" t="s">
        <v>3978</v>
      </c>
      <c r="E413">
        <v>221730</v>
      </c>
      <c r="G413" t="s">
        <v>3979</v>
      </c>
      <c r="H413" t="s">
        <v>3147</v>
      </c>
      <c r="I413" t="s">
        <v>3979</v>
      </c>
      <c r="L413" t="b">
        <v>0</v>
      </c>
      <c r="M413" t="s">
        <v>50</v>
      </c>
      <c r="N413" t="s">
        <v>26</v>
      </c>
      <c r="P413" t="s">
        <v>33</v>
      </c>
      <c r="Q413">
        <v>1</v>
      </c>
      <c r="R413">
        <v>5</v>
      </c>
      <c r="S413">
        <v>101.548785155</v>
      </c>
      <c r="T413">
        <v>6602748</v>
      </c>
      <c r="U413">
        <v>6602748</v>
      </c>
      <c r="V413">
        <v>1</v>
      </c>
      <c r="W413">
        <v>0</v>
      </c>
      <c r="X413">
        <v>6705010.3799999999</v>
      </c>
      <c r="Y413">
        <v>6705010.3799999999</v>
      </c>
    </row>
    <row r="414" spans="1:25" x14ac:dyDescent="0.25">
      <c r="A414">
        <v>20</v>
      </c>
      <c r="B414" t="s">
        <v>25</v>
      </c>
      <c r="C414" t="s">
        <v>26</v>
      </c>
      <c r="D414" t="s">
        <v>3980</v>
      </c>
      <c r="E414">
        <v>221731</v>
      </c>
      <c r="G414" t="s">
        <v>3981</v>
      </c>
      <c r="H414" t="s">
        <v>3147</v>
      </c>
      <c r="I414" t="s">
        <v>3981</v>
      </c>
      <c r="L414" t="b">
        <v>0</v>
      </c>
      <c r="M414" t="s">
        <v>50</v>
      </c>
      <c r="N414" t="s">
        <v>26</v>
      </c>
      <c r="P414" t="s">
        <v>33</v>
      </c>
      <c r="Q414">
        <v>1</v>
      </c>
      <c r="R414">
        <v>5</v>
      </c>
      <c r="S414">
        <v>101.548785545</v>
      </c>
      <c r="T414">
        <v>5328722</v>
      </c>
      <c r="U414">
        <v>5328722</v>
      </c>
      <c r="V414">
        <v>1</v>
      </c>
      <c r="W414">
        <v>0</v>
      </c>
      <c r="X414">
        <v>5411252.4800000004</v>
      </c>
      <c r="Y414">
        <v>5411252.4800000004</v>
      </c>
    </row>
    <row r="415" spans="1:25" x14ac:dyDescent="0.25">
      <c r="A415">
        <v>20</v>
      </c>
      <c r="B415" t="s">
        <v>25</v>
      </c>
      <c r="C415" t="s">
        <v>26</v>
      </c>
      <c r="D415" t="s">
        <v>3982</v>
      </c>
      <c r="E415">
        <v>221732</v>
      </c>
      <c r="G415" t="s">
        <v>3983</v>
      </c>
      <c r="H415" t="s">
        <v>3147</v>
      </c>
      <c r="I415" t="s">
        <v>3983</v>
      </c>
      <c r="L415" t="b">
        <v>0</v>
      </c>
      <c r="M415" t="s">
        <v>50</v>
      </c>
      <c r="N415" t="s">
        <v>26</v>
      </c>
      <c r="P415" t="s">
        <v>33</v>
      </c>
      <c r="Q415">
        <v>1</v>
      </c>
      <c r="R415">
        <v>5</v>
      </c>
      <c r="S415">
        <v>101.54878752</v>
      </c>
      <c r="T415">
        <v>17127653</v>
      </c>
      <c r="U415">
        <v>17127653</v>
      </c>
      <c r="V415">
        <v>1</v>
      </c>
      <c r="W415">
        <v>0</v>
      </c>
      <c r="X415">
        <v>17392923.949999999</v>
      </c>
      <c r="Y415">
        <v>17392923.949999999</v>
      </c>
    </row>
    <row r="416" spans="1:25" x14ac:dyDescent="0.25">
      <c r="A416">
        <v>20</v>
      </c>
      <c r="B416" t="s">
        <v>25</v>
      </c>
      <c r="C416" t="s">
        <v>26</v>
      </c>
      <c r="D416" t="s">
        <v>3984</v>
      </c>
      <c r="E416">
        <v>221733</v>
      </c>
      <c r="G416" t="s">
        <v>3985</v>
      </c>
      <c r="H416" t="s">
        <v>3147</v>
      </c>
      <c r="I416" t="s">
        <v>3985</v>
      </c>
      <c r="L416" t="b">
        <v>0</v>
      </c>
      <c r="M416" t="s">
        <v>50</v>
      </c>
      <c r="N416" t="s">
        <v>26</v>
      </c>
      <c r="P416" t="s">
        <v>33</v>
      </c>
      <c r="Q416">
        <v>1</v>
      </c>
      <c r="R416">
        <v>5</v>
      </c>
      <c r="S416">
        <v>101.54878854</v>
      </c>
      <c r="T416">
        <v>10879348</v>
      </c>
      <c r="U416">
        <v>10879348</v>
      </c>
      <c r="V416">
        <v>1</v>
      </c>
      <c r="W416">
        <v>0</v>
      </c>
      <c r="X416">
        <v>11047846.1</v>
      </c>
      <c r="Y416">
        <v>11047846.1</v>
      </c>
    </row>
    <row r="417" spans="1:25" x14ac:dyDescent="0.25">
      <c r="A417">
        <v>20</v>
      </c>
      <c r="B417" t="s">
        <v>25</v>
      </c>
      <c r="C417" t="s">
        <v>26</v>
      </c>
      <c r="D417" t="s">
        <v>3986</v>
      </c>
      <c r="E417">
        <v>221734</v>
      </c>
      <c r="G417" t="s">
        <v>3987</v>
      </c>
      <c r="H417" t="s">
        <v>3147</v>
      </c>
      <c r="I417" t="s">
        <v>3987</v>
      </c>
      <c r="L417" t="b">
        <v>0</v>
      </c>
      <c r="M417" t="s">
        <v>50</v>
      </c>
      <c r="N417" t="s">
        <v>26</v>
      </c>
      <c r="P417" t="s">
        <v>33</v>
      </c>
      <c r="Q417">
        <v>1</v>
      </c>
      <c r="R417">
        <v>5</v>
      </c>
      <c r="S417">
        <v>101.54878768499999</v>
      </c>
      <c r="T417">
        <v>9761060</v>
      </c>
      <c r="U417">
        <v>9761060</v>
      </c>
      <c r="V417">
        <v>1</v>
      </c>
      <c r="W417">
        <v>0</v>
      </c>
      <c r="X417">
        <v>9912238.0999999996</v>
      </c>
      <c r="Y417">
        <v>9912238.0999999996</v>
      </c>
    </row>
    <row r="418" spans="1:25" x14ac:dyDescent="0.25">
      <c r="A418">
        <v>20</v>
      </c>
      <c r="B418" t="s">
        <v>25</v>
      </c>
      <c r="C418" t="s">
        <v>26</v>
      </c>
      <c r="D418" t="s">
        <v>3988</v>
      </c>
      <c r="E418">
        <v>222312</v>
      </c>
      <c r="G418" t="s">
        <v>3989</v>
      </c>
      <c r="H418" t="s">
        <v>3147</v>
      </c>
      <c r="I418" t="s">
        <v>3989</v>
      </c>
      <c r="L418" t="b">
        <v>0</v>
      </c>
      <c r="M418" t="s">
        <v>50</v>
      </c>
      <c r="N418" t="s">
        <v>26</v>
      </c>
      <c r="P418" t="s">
        <v>33</v>
      </c>
      <c r="Q418">
        <v>1</v>
      </c>
      <c r="R418">
        <v>5</v>
      </c>
      <c r="S418">
        <v>101.373905251</v>
      </c>
      <c r="T418">
        <v>25657224</v>
      </c>
      <c r="U418">
        <v>25657224</v>
      </c>
      <c r="V418">
        <v>1</v>
      </c>
      <c r="W418">
        <v>0</v>
      </c>
      <c r="X418">
        <v>26009729.949999999</v>
      </c>
      <c r="Y418">
        <v>26009729.949999999</v>
      </c>
    </row>
    <row r="419" spans="1:25" x14ac:dyDescent="0.25">
      <c r="A419">
        <v>20</v>
      </c>
      <c r="B419" t="s">
        <v>25</v>
      </c>
      <c r="C419" t="s">
        <v>26</v>
      </c>
      <c r="D419" t="s">
        <v>3990</v>
      </c>
      <c r="E419">
        <v>223018</v>
      </c>
      <c r="G419" t="s">
        <v>3991</v>
      </c>
      <c r="H419" t="s">
        <v>3147</v>
      </c>
      <c r="I419" t="s">
        <v>3991</v>
      </c>
      <c r="L419" t="b">
        <v>0</v>
      </c>
      <c r="M419" t="s">
        <v>50</v>
      </c>
      <c r="N419" t="s">
        <v>26</v>
      </c>
      <c r="P419" t="s">
        <v>33</v>
      </c>
      <c r="Q419">
        <v>1</v>
      </c>
      <c r="R419">
        <v>5</v>
      </c>
      <c r="S419">
        <v>101.1910819375</v>
      </c>
      <c r="T419">
        <v>98180681</v>
      </c>
      <c r="U419">
        <v>98180681</v>
      </c>
      <c r="V419">
        <v>1</v>
      </c>
      <c r="W419">
        <v>0</v>
      </c>
      <c r="X419">
        <v>99350093.359999999</v>
      </c>
      <c r="Y419">
        <v>99350093.359999999</v>
      </c>
    </row>
    <row r="420" spans="1:25" x14ac:dyDescent="0.25">
      <c r="A420">
        <v>20</v>
      </c>
      <c r="B420" t="s">
        <v>25</v>
      </c>
      <c r="C420" t="s">
        <v>26</v>
      </c>
      <c r="D420" t="s">
        <v>3992</v>
      </c>
      <c r="E420">
        <v>223102</v>
      </c>
      <c r="G420" t="s">
        <v>3993</v>
      </c>
      <c r="H420" t="s">
        <v>3147</v>
      </c>
      <c r="I420" t="s">
        <v>3993</v>
      </c>
      <c r="L420" t="b">
        <v>0</v>
      </c>
      <c r="M420" t="s">
        <v>50</v>
      </c>
      <c r="N420" t="s">
        <v>26</v>
      </c>
      <c r="P420" t="s">
        <v>33</v>
      </c>
      <c r="Q420">
        <v>1</v>
      </c>
      <c r="R420">
        <v>5</v>
      </c>
      <c r="S420">
        <v>101.16018496540001</v>
      </c>
      <c r="T420">
        <v>12274223</v>
      </c>
      <c r="U420">
        <v>12274223</v>
      </c>
      <c r="V420">
        <v>1</v>
      </c>
      <c r="W420">
        <v>0</v>
      </c>
      <c r="X420">
        <v>12416626.689999999</v>
      </c>
      <c r="Y420">
        <v>12416626.689999999</v>
      </c>
    </row>
    <row r="421" spans="1:25" x14ac:dyDescent="0.25">
      <c r="A421">
        <v>20</v>
      </c>
      <c r="B421" t="s">
        <v>25</v>
      </c>
      <c r="C421" t="s">
        <v>26</v>
      </c>
      <c r="D421" t="s">
        <v>3994</v>
      </c>
      <c r="E421">
        <v>223306</v>
      </c>
      <c r="G421" t="s">
        <v>3995</v>
      </c>
      <c r="H421" t="s">
        <v>3147</v>
      </c>
      <c r="I421" t="s">
        <v>3995</v>
      </c>
      <c r="L421" t="b">
        <v>0</v>
      </c>
      <c r="M421" t="s">
        <v>50</v>
      </c>
      <c r="N421" t="s">
        <v>26</v>
      </c>
      <c r="P421" t="s">
        <v>33</v>
      </c>
      <c r="Q421">
        <v>1</v>
      </c>
      <c r="R421">
        <v>5</v>
      </c>
      <c r="S421">
        <v>101.096113762</v>
      </c>
      <c r="T421">
        <v>11669964</v>
      </c>
      <c r="U421">
        <v>11669964</v>
      </c>
      <c r="V421">
        <v>1</v>
      </c>
      <c r="W421">
        <v>0</v>
      </c>
      <c r="X421">
        <v>11797880.08</v>
      </c>
      <c r="Y421">
        <v>11797880.08</v>
      </c>
    </row>
    <row r="422" spans="1:25" x14ac:dyDescent="0.25">
      <c r="A422">
        <v>20</v>
      </c>
      <c r="B422" t="s">
        <v>25</v>
      </c>
      <c r="C422" t="s">
        <v>26</v>
      </c>
      <c r="D422" t="s">
        <v>3996</v>
      </c>
      <c r="E422">
        <v>223307</v>
      </c>
      <c r="G422" t="s">
        <v>3997</v>
      </c>
      <c r="H422" t="s">
        <v>3147</v>
      </c>
      <c r="I422" t="s">
        <v>3997</v>
      </c>
      <c r="L422" t="b">
        <v>0</v>
      </c>
      <c r="M422" t="s">
        <v>50</v>
      </c>
      <c r="N422" t="s">
        <v>26</v>
      </c>
      <c r="P422" t="s">
        <v>33</v>
      </c>
      <c r="Q422">
        <v>1</v>
      </c>
      <c r="R422">
        <v>5</v>
      </c>
      <c r="S422">
        <v>101.09611089640001</v>
      </c>
      <c r="T422">
        <v>9145142</v>
      </c>
      <c r="U422">
        <v>9145142</v>
      </c>
      <c r="V422">
        <v>1</v>
      </c>
      <c r="W422">
        <v>0</v>
      </c>
      <c r="X422">
        <v>9245382.9000000004</v>
      </c>
      <c r="Y422">
        <v>9245382.9000000004</v>
      </c>
    </row>
    <row r="423" spans="1:25" x14ac:dyDescent="0.25">
      <c r="A423">
        <v>20</v>
      </c>
      <c r="B423" t="s">
        <v>25</v>
      </c>
      <c r="C423" t="s">
        <v>26</v>
      </c>
      <c r="D423" t="s">
        <v>3998</v>
      </c>
      <c r="E423">
        <v>223308</v>
      </c>
      <c r="G423" t="s">
        <v>3999</v>
      </c>
      <c r="H423" t="s">
        <v>3147</v>
      </c>
      <c r="I423" t="s">
        <v>3999</v>
      </c>
      <c r="L423" t="b">
        <v>0</v>
      </c>
      <c r="M423" t="s">
        <v>50</v>
      </c>
      <c r="N423" t="s">
        <v>26</v>
      </c>
      <c r="P423" t="s">
        <v>33</v>
      </c>
      <c r="Q423">
        <v>1</v>
      </c>
      <c r="R423">
        <v>5</v>
      </c>
      <c r="S423">
        <v>101.096113366</v>
      </c>
      <c r="T423">
        <v>17531160</v>
      </c>
      <c r="U423">
        <v>17531160</v>
      </c>
      <c r="V423">
        <v>1</v>
      </c>
      <c r="W423">
        <v>0</v>
      </c>
      <c r="X423">
        <v>17723321.390000001</v>
      </c>
      <c r="Y423">
        <v>17723321.390000001</v>
      </c>
    </row>
    <row r="424" spans="1:25" x14ac:dyDescent="0.25">
      <c r="A424">
        <v>20</v>
      </c>
      <c r="B424" t="s">
        <v>25</v>
      </c>
      <c r="C424" t="s">
        <v>26</v>
      </c>
      <c r="D424" t="s">
        <v>4000</v>
      </c>
      <c r="E424">
        <v>223309</v>
      </c>
      <c r="G424" t="s">
        <v>4001</v>
      </c>
      <c r="H424" t="s">
        <v>3147</v>
      </c>
      <c r="I424" t="s">
        <v>4001</v>
      </c>
      <c r="L424" t="b">
        <v>0</v>
      </c>
      <c r="M424" t="s">
        <v>50</v>
      </c>
      <c r="N424" t="s">
        <v>26</v>
      </c>
      <c r="P424" t="s">
        <v>33</v>
      </c>
      <c r="Q424">
        <v>1</v>
      </c>
      <c r="R424">
        <v>5</v>
      </c>
      <c r="S424">
        <v>101.0961121312</v>
      </c>
      <c r="T424">
        <v>45869499</v>
      </c>
      <c r="U424">
        <v>45869499</v>
      </c>
      <c r="V424">
        <v>1</v>
      </c>
      <c r="W424">
        <v>0</v>
      </c>
      <c r="X424">
        <v>46372280.140000001</v>
      </c>
      <c r="Y424">
        <v>46372280.140000001</v>
      </c>
    </row>
    <row r="425" spans="1:25" x14ac:dyDescent="0.25">
      <c r="A425">
        <v>20</v>
      </c>
      <c r="B425" t="s">
        <v>25</v>
      </c>
      <c r="C425" t="s">
        <v>26</v>
      </c>
      <c r="D425" t="s">
        <v>4002</v>
      </c>
      <c r="E425">
        <v>223320</v>
      </c>
      <c r="G425" t="s">
        <v>4003</v>
      </c>
      <c r="H425" t="s">
        <v>3147</v>
      </c>
      <c r="I425" t="s">
        <v>4003</v>
      </c>
      <c r="L425" t="b">
        <v>0</v>
      </c>
      <c r="M425" t="s">
        <v>50</v>
      </c>
      <c r="N425" t="s">
        <v>26</v>
      </c>
      <c r="P425" t="s">
        <v>33</v>
      </c>
      <c r="Q425">
        <v>1</v>
      </c>
      <c r="R425">
        <v>5</v>
      </c>
      <c r="S425">
        <v>101.09845396359999</v>
      </c>
      <c r="T425">
        <v>498607260</v>
      </c>
      <c r="U425">
        <v>498607260</v>
      </c>
      <c r="V425">
        <v>1</v>
      </c>
      <c r="W425">
        <v>0</v>
      </c>
      <c r="X425">
        <v>504084231.20999998</v>
      </c>
      <c r="Y425">
        <v>504084231.20999998</v>
      </c>
    </row>
    <row r="426" spans="1:25" x14ac:dyDescent="0.25">
      <c r="A426">
        <v>20</v>
      </c>
      <c r="B426" t="s">
        <v>25</v>
      </c>
      <c r="C426" t="s">
        <v>26</v>
      </c>
      <c r="D426" t="s">
        <v>4004</v>
      </c>
      <c r="E426">
        <v>223321</v>
      </c>
      <c r="G426" t="s">
        <v>4005</v>
      </c>
      <c r="H426" t="s">
        <v>3147</v>
      </c>
      <c r="I426" t="s">
        <v>4005</v>
      </c>
      <c r="L426" t="b">
        <v>0</v>
      </c>
      <c r="M426" t="s">
        <v>50</v>
      </c>
      <c r="N426" t="s">
        <v>26</v>
      </c>
      <c r="P426" t="s">
        <v>33</v>
      </c>
      <c r="Q426">
        <v>1</v>
      </c>
      <c r="R426">
        <v>5</v>
      </c>
      <c r="S426">
        <v>101.09845396359999</v>
      </c>
      <c r="T426">
        <v>498607260</v>
      </c>
      <c r="U426">
        <v>498607260</v>
      </c>
      <c r="V426">
        <v>1</v>
      </c>
      <c r="W426">
        <v>0</v>
      </c>
      <c r="X426">
        <v>504084231.20999998</v>
      </c>
      <c r="Y426">
        <v>504084231.20999998</v>
      </c>
    </row>
    <row r="427" spans="1:25" x14ac:dyDescent="0.25">
      <c r="A427">
        <v>20</v>
      </c>
      <c r="B427" t="s">
        <v>25</v>
      </c>
      <c r="C427" t="s">
        <v>26</v>
      </c>
      <c r="D427" t="s">
        <v>4006</v>
      </c>
      <c r="E427">
        <v>223322</v>
      </c>
      <c r="G427" t="s">
        <v>4007</v>
      </c>
      <c r="H427" t="s">
        <v>3147</v>
      </c>
      <c r="I427" t="s">
        <v>4007</v>
      </c>
      <c r="L427" t="b">
        <v>0</v>
      </c>
      <c r="M427" t="s">
        <v>50</v>
      </c>
      <c r="N427" t="s">
        <v>26</v>
      </c>
      <c r="P427" t="s">
        <v>33</v>
      </c>
      <c r="Q427">
        <v>1</v>
      </c>
      <c r="R427">
        <v>5</v>
      </c>
      <c r="S427">
        <v>101.0984540068</v>
      </c>
      <c r="T427">
        <v>373955445</v>
      </c>
      <c r="U427">
        <v>373955445</v>
      </c>
      <c r="V427">
        <v>1</v>
      </c>
      <c r="W427">
        <v>0</v>
      </c>
      <c r="X427">
        <v>378063173.56999999</v>
      </c>
      <c r="Y427">
        <v>378063173.56999999</v>
      </c>
    </row>
    <row r="428" spans="1:25" x14ac:dyDescent="0.25">
      <c r="A428">
        <v>20</v>
      </c>
      <c r="B428" t="s">
        <v>25</v>
      </c>
      <c r="C428" t="s">
        <v>26</v>
      </c>
      <c r="D428" t="s">
        <v>4008</v>
      </c>
      <c r="E428">
        <v>223323</v>
      </c>
      <c r="G428" t="s">
        <v>4009</v>
      </c>
      <c r="H428" t="s">
        <v>3147</v>
      </c>
      <c r="I428" t="s">
        <v>4009</v>
      </c>
      <c r="L428" t="b">
        <v>0</v>
      </c>
      <c r="M428" t="s">
        <v>50</v>
      </c>
      <c r="N428" t="s">
        <v>26</v>
      </c>
      <c r="P428" t="s">
        <v>33</v>
      </c>
      <c r="Q428">
        <v>1</v>
      </c>
      <c r="R428">
        <v>5</v>
      </c>
      <c r="S428">
        <v>101.0984541652</v>
      </c>
      <c r="T428">
        <v>35977800</v>
      </c>
      <c r="U428">
        <v>35977800</v>
      </c>
      <c r="V428">
        <v>1</v>
      </c>
      <c r="W428">
        <v>0</v>
      </c>
      <c r="X428">
        <v>36372999.640000001</v>
      </c>
      <c r="Y428">
        <v>36372999.640000001</v>
      </c>
    </row>
    <row r="429" spans="1:25" x14ac:dyDescent="0.25">
      <c r="A429">
        <v>20</v>
      </c>
      <c r="B429" t="s">
        <v>25</v>
      </c>
      <c r="C429" t="s">
        <v>26</v>
      </c>
      <c r="D429" t="s">
        <v>4010</v>
      </c>
      <c r="E429">
        <v>224956</v>
      </c>
      <c r="G429" t="s">
        <v>4011</v>
      </c>
      <c r="H429" t="s">
        <v>3147</v>
      </c>
      <c r="I429" t="s">
        <v>4011</v>
      </c>
      <c r="L429" t="b">
        <v>0</v>
      </c>
      <c r="M429" t="s">
        <v>50</v>
      </c>
      <c r="N429" t="s">
        <v>26</v>
      </c>
      <c r="P429" t="s">
        <v>33</v>
      </c>
      <c r="Q429">
        <v>1</v>
      </c>
      <c r="R429">
        <v>5</v>
      </c>
      <c r="S429">
        <v>100.8963546287</v>
      </c>
      <c r="T429">
        <v>7628405</v>
      </c>
      <c r="U429">
        <v>7628405</v>
      </c>
      <c r="V429">
        <v>1</v>
      </c>
      <c r="W429">
        <v>0</v>
      </c>
      <c r="X429">
        <v>7696782.5599999996</v>
      </c>
      <c r="Y429">
        <v>7696782.5599999996</v>
      </c>
    </row>
    <row r="430" spans="1:25" x14ac:dyDescent="0.25">
      <c r="A430">
        <v>20</v>
      </c>
      <c r="B430" t="s">
        <v>25</v>
      </c>
      <c r="C430" t="s">
        <v>26</v>
      </c>
      <c r="D430" t="s">
        <v>4012</v>
      </c>
      <c r="E430">
        <v>224957</v>
      </c>
      <c r="G430" t="s">
        <v>4013</v>
      </c>
      <c r="H430" t="s">
        <v>3147</v>
      </c>
      <c r="I430" t="s">
        <v>4013</v>
      </c>
      <c r="L430" t="b">
        <v>0</v>
      </c>
      <c r="M430" t="s">
        <v>50</v>
      </c>
      <c r="N430" t="s">
        <v>26</v>
      </c>
      <c r="P430" t="s">
        <v>33</v>
      </c>
      <c r="Q430">
        <v>1</v>
      </c>
      <c r="R430">
        <v>5</v>
      </c>
      <c r="S430">
        <v>100.89635079200001</v>
      </c>
      <c r="T430">
        <v>4496496</v>
      </c>
      <c r="U430">
        <v>4496496</v>
      </c>
      <c r="V430">
        <v>1</v>
      </c>
      <c r="W430">
        <v>0</v>
      </c>
      <c r="X430">
        <v>4536800.38</v>
      </c>
      <c r="Y430">
        <v>4536800.38</v>
      </c>
    </row>
    <row r="431" spans="1:25" x14ac:dyDescent="0.25">
      <c r="A431">
        <v>20</v>
      </c>
      <c r="B431" t="s">
        <v>25</v>
      </c>
      <c r="C431" t="s">
        <v>26</v>
      </c>
      <c r="D431" t="s">
        <v>4014</v>
      </c>
      <c r="E431">
        <v>224958</v>
      </c>
      <c r="G431" t="s">
        <v>4015</v>
      </c>
      <c r="H431" t="s">
        <v>3147</v>
      </c>
      <c r="I431" t="s">
        <v>4015</v>
      </c>
      <c r="L431" t="b">
        <v>0</v>
      </c>
      <c r="M431" t="s">
        <v>50</v>
      </c>
      <c r="N431" t="s">
        <v>26</v>
      </c>
      <c r="P431" t="s">
        <v>33</v>
      </c>
      <c r="Q431">
        <v>1</v>
      </c>
      <c r="R431">
        <v>5</v>
      </c>
      <c r="S431">
        <v>100.8963396212</v>
      </c>
      <c r="T431">
        <v>965365</v>
      </c>
      <c r="U431">
        <v>965365</v>
      </c>
      <c r="V431">
        <v>1</v>
      </c>
      <c r="W431">
        <v>0</v>
      </c>
      <c r="X431">
        <v>974017.95</v>
      </c>
      <c r="Y431">
        <v>974017.95</v>
      </c>
    </row>
    <row r="432" spans="1:25" x14ac:dyDescent="0.25">
      <c r="A432">
        <v>20</v>
      </c>
      <c r="B432" t="s">
        <v>25</v>
      </c>
      <c r="C432" t="s">
        <v>26</v>
      </c>
      <c r="D432" t="s">
        <v>4016</v>
      </c>
      <c r="E432">
        <v>224959</v>
      </c>
      <c r="G432" t="s">
        <v>4017</v>
      </c>
      <c r="H432" t="s">
        <v>3147</v>
      </c>
      <c r="I432" t="s">
        <v>4017</v>
      </c>
      <c r="L432" t="b">
        <v>0</v>
      </c>
      <c r="M432" t="s">
        <v>50</v>
      </c>
      <c r="N432" t="s">
        <v>26</v>
      </c>
      <c r="P432" t="s">
        <v>33</v>
      </c>
      <c r="Q432">
        <v>1</v>
      </c>
      <c r="R432">
        <v>5</v>
      </c>
      <c r="S432">
        <v>100.8963545446</v>
      </c>
      <c r="T432">
        <v>2833189</v>
      </c>
      <c r="U432">
        <v>2833189</v>
      </c>
      <c r="V432">
        <v>1</v>
      </c>
      <c r="W432">
        <v>0</v>
      </c>
      <c r="X432">
        <v>2858584.42</v>
      </c>
      <c r="Y432">
        <v>2858584.42</v>
      </c>
    </row>
    <row r="433" spans="1:25" x14ac:dyDescent="0.25">
      <c r="A433">
        <v>20</v>
      </c>
      <c r="B433" t="s">
        <v>25</v>
      </c>
      <c r="C433" t="s">
        <v>26</v>
      </c>
      <c r="D433" t="s">
        <v>4018</v>
      </c>
      <c r="E433">
        <v>224960</v>
      </c>
      <c r="G433" t="s">
        <v>4019</v>
      </c>
      <c r="H433" t="s">
        <v>3147</v>
      </c>
      <c r="I433" t="s">
        <v>4019</v>
      </c>
      <c r="L433" t="b">
        <v>0</v>
      </c>
      <c r="M433" t="s">
        <v>50</v>
      </c>
      <c r="N433" t="s">
        <v>26</v>
      </c>
      <c r="P433" t="s">
        <v>33</v>
      </c>
      <c r="Q433">
        <v>1</v>
      </c>
      <c r="R433">
        <v>5</v>
      </c>
      <c r="S433">
        <v>100.8963607506</v>
      </c>
      <c r="T433">
        <v>1478105</v>
      </c>
      <c r="U433">
        <v>1478105</v>
      </c>
      <c r="V433">
        <v>1</v>
      </c>
      <c r="W433">
        <v>0</v>
      </c>
      <c r="X433">
        <v>1491354.15</v>
      </c>
      <c r="Y433">
        <v>1491354.15</v>
      </c>
    </row>
    <row r="434" spans="1:25" x14ac:dyDescent="0.25">
      <c r="A434">
        <v>20</v>
      </c>
      <c r="B434" t="s">
        <v>25</v>
      </c>
      <c r="C434" t="s">
        <v>26</v>
      </c>
      <c r="D434" t="s">
        <v>4020</v>
      </c>
      <c r="E434">
        <v>224961</v>
      </c>
      <c r="G434" t="s">
        <v>4021</v>
      </c>
      <c r="H434" t="s">
        <v>3147</v>
      </c>
      <c r="I434" t="s">
        <v>4021</v>
      </c>
      <c r="L434" t="b">
        <v>0</v>
      </c>
      <c r="M434" t="s">
        <v>50</v>
      </c>
      <c r="N434" t="s">
        <v>26</v>
      </c>
      <c r="P434" t="s">
        <v>33</v>
      </c>
      <c r="Q434">
        <v>1</v>
      </c>
      <c r="R434">
        <v>5</v>
      </c>
      <c r="S434">
        <v>100.8963546925</v>
      </c>
      <c r="T434">
        <v>3048965</v>
      </c>
      <c r="U434">
        <v>3048965</v>
      </c>
      <c r="V434">
        <v>1</v>
      </c>
      <c r="W434">
        <v>0</v>
      </c>
      <c r="X434">
        <v>3076294.54</v>
      </c>
      <c r="Y434">
        <v>3076294.54</v>
      </c>
    </row>
    <row r="435" spans="1:25" x14ac:dyDescent="0.25">
      <c r="A435">
        <v>20</v>
      </c>
      <c r="B435" t="s">
        <v>25</v>
      </c>
      <c r="C435" t="s">
        <v>26</v>
      </c>
      <c r="D435" t="s">
        <v>4022</v>
      </c>
      <c r="E435">
        <v>224962</v>
      </c>
      <c r="G435" t="s">
        <v>4023</v>
      </c>
      <c r="H435" t="s">
        <v>3147</v>
      </c>
      <c r="I435" t="s">
        <v>4023</v>
      </c>
      <c r="L435" t="b">
        <v>0</v>
      </c>
      <c r="M435" t="s">
        <v>50</v>
      </c>
      <c r="N435" t="s">
        <v>26</v>
      </c>
      <c r="P435" t="s">
        <v>33</v>
      </c>
      <c r="Q435">
        <v>1</v>
      </c>
      <c r="R435">
        <v>5</v>
      </c>
      <c r="S435">
        <v>100.8963519462</v>
      </c>
      <c r="T435">
        <v>5902607</v>
      </c>
      <c r="U435">
        <v>5902607</v>
      </c>
      <c r="V435">
        <v>1</v>
      </c>
      <c r="W435">
        <v>0</v>
      </c>
      <c r="X435">
        <v>5955515.1299999999</v>
      </c>
      <c r="Y435">
        <v>5955515.1299999999</v>
      </c>
    </row>
    <row r="436" spans="1:25" x14ac:dyDescent="0.25">
      <c r="A436">
        <v>20</v>
      </c>
      <c r="B436" t="s">
        <v>25</v>
      </c>
      <c r="C436" t="s">
        <v>26</v>
      </c>
      <c r="D436" t="s">
        <v>4024</v>
      </c>
      <c r="E436">
        <v>224963</v>
      </c>
      <c r="G436" t="s">
        <v>4025</v>
      </c>
      <c r="H436" t="s">
        <v>3147</v>
      </c>
      <c r="I436" t="s">
        <v>4025</v>
      </c>
      <c r="L436" t="b">
        <v>0</v>
      </c>
      <c r="M436" t="s">
        <v>50</v>
      </c>
      <c r="N436" t="s">
        <v>26</v>
      </c>
      <c r="P436" t="s">
        <v>33</v>
      </c>
      <c r="Q436">
        <v>1</v>
      </c>
      <c r="R436">
        <v>5</v>
      </c>
      <c r="S436">
        <v>100.8963617511</v>
      </c>
      <c r="T436">
        <v>1375267</v>
      </c>
      <c r="U436">
        <v>1375267</v>
      </c>
      <c r="V436">
        <v>1</v>
      </c>
      <c r="W436">
        <v>0</v>
      </c>
      <c r="X436">
        <v>1387594.37</v>
      </c>
      <c r="Y436">
        <v>1387594.37</v>
      </c>
    </row>
    <row r="437" spans="1:25" x14ac:dyDescent="0.25">
      <c r="A437">
        <v>20</v>
      </c>
      <c r="B437" t="s">
        <v>25</v>
      </c>
      <c r="C437" t="s">
        <v>26</v>
      </c>
      <c r="D437" t="s">
        <v>4026</v>
      </c>
      <c r="E437">
        <v>225088</v>
      </c>
      <c r="G437" t="s">
        <v>4027</v>
      </c>
      <c r="H437" t="s">
        <v>3147</v>
      </c>
      <c r="I437" t="s">
        <v>4027</v>
      </c>
      <c r="L437" t="b">
        <v>0</v>
      </c>
      <c r="M437" t="s">
        <v>50</v>
      </c>
      <c r="N437" t="s">
        <v>26</v>
      </c>
      <c r="P437" t="s">
        <v>33</v>
      </c>
      <c r="Q437">
        <v>1</v>
      </c>
      <c r="R437">
        <v>5</v>
      </c>
      <c r="S437">
        <v>100.7265386464</v>
      </c>
      <c r="T437">
        <v>15939799</v>
      </c>
      <c r="U437">
        <v>15939799</v>
      </c>
      <c r="V437">
        <v>1</v>
      </c>
      <c r="W437">
        <v>0</v>
      </c>
      <c r="X437">
        <v>16055607.800000001</v>
      </c>
      <c r="Y437">
        <v>16055607.800000001</v>
      </c>
    </row>
    <row r="438" spans="1:25" x14ac:dyDescent="0.25">
      <c r="A438">
        <v>20</v>
      </c>
      <c r="B438" t="s">
        <v>25</v>
      </c>
      <c r="C438" t="s">
        <v>26</v>
      </c>
      <c r="D438" t="s">
        <v>4028</v>
      </c>
      <c r="E438">
        <v>225314</v>
      </c>
      <c r="G438" t="s">
        <v>4029</v>
      </c>
      <c r="H438" t="s">
        <v>3147</v>
      </c>
      <c r="I438" t="s">
        <v>4029</v>
      </c>
      <c r="L438" t="b">
        <v>0</v>
      </c>
      <c r="M438" t="s">
        <v>50</v>
      </c>
      <c r="N438" t="s">
        <v>26</v>
      </c>
      <c r="P438" t="s">
        <v>33</v>
      </c>
      <c r="Q438">
        <v>1</v>
      </c>
      <c r="R438">
        <v>5</v>
      </c>
      <c r="S438">
        <v>100.6714822796</v>
      </c>
      <c r="T438">
        <v>4220665</v>
      </c>
      <c r="U438">
        <v>4220665</v>
      </c>
      <c r="V438">
        <v>1</v>
      </c>
      <c r="W438">
        <v>0</v>
      </c>
      <c r="X438">
        <v>4249006.0199999996</v>
      </c>
      <c r="Y438">
        <v>4249006.0199999996</v>
      </c>
    </row>
    <row r="439" spans="1:25" x14ac:dyDescent="0.25">
      <c r="A439">
        <v>20</v>
      </c>
      <c r="B439" t="s">
        <v>25</v>
      </c>
      <c r="C439" t="s">
        <v>26</v>
      </c>
      <c r="D439" t="s">
        <v>4030</v>
      </c>
      <c r="E439">
        <v>225315</v>
      </c>
      <c r="G439" t="s">
        <v>4031</v>
      </c>
      <c r="H439" t="s">
        <v>3147</v>
      </c>
      <c r="I439" t="s">
        <v>4031</v>
      </c>
      <c r="L439" t="b">
        <v>0</v>
      </c>
      <c r="M439" t="s">
        <v>50</v>
      </c>
      <c r="N439" t="s">
        <v>26</v>
      </c>
      <c r="P439" t="s">
        <v>33</v>
      </c>
      <c r="Q439">
        <v>1</v>
      </c>
      <c r="R439">
        <v>5</v>
      </c>
      <c r="S439">
        <v>100.67148296160001</v>
      </c>
      <c r="T439">
        <v>24047460</v>
      </c>
      <c r="U439">
        <v>24047460</v>
      </c>
      <c r="V439">
        <v>1</v>
      </c>
      <c r="W439">
        <v>0</v>
      </c>
      <c r="X439">
        <v>24208934.600000001</v>
      </c>
      <c r="Y439">
        <v>24208934.600000001</v>
      </c>
    </row>
    <row r="440" spans="1:25" x14ac:dyDescent="0.25">
      <c r="A440">
        <v>20</v>
      </c>
      <c r="B440" t="s">
        <v>25</v>
      </c>
      <c r="C440" t="s">
        <v>26</v>
      </c>
      <c r="D440" t="s">
        <v>4032</v>
      </c>
      <c r="E440">
        <v>225556</v>
      </c>
      <c r="G440" t="s">
        <v>4033</v>
      </c>
      <c r="H440" t="s">
        <v>3147</v>
      </c>
      <c r="I440" t="s">
        <v>4033</v>
      </c>
      <c r="L440" t="b">
        <v>0</v>
      </c>
      <c r="M440" t="s">
        <v>50</v>
      </c>
      <c r="N440" t="s">
        <v>26</v>
      </c>
      <c r="P440" t="s">
        <v>33</v>
      </c>
      <c r="Q440">
        <v>1</v>
      </c>
      <c r="R440">
        <v>5</v>
      </c>
      <c r="S440">
        <v>100.6531201474</v>
      </c>
      <c r="T440">
        <v>14508354</v>
      </c>
      <c r="U440">
        <v>14508354</v>
      </c>
      <c r="V440">
        <v>1</v>
      </c>
      <c r="W440">
        <v>0</v>
      </c>
      <c r="X440">
        <v>14603110.98</v>
      </c>
      <c r="Y440">
        <v>14603110.98</v>
      </c>
    </row>
    <row r="441" spans="1:25" x14ac:dyDescent="0.25">
      <c r="A441">
        <v>20</v>
      </c>
      <c r="B441" t="s">
        <v>25</v>
      </c>
      <c r="C441" t="s">
        <v>26</v>
      </c>
      <c r="D441" t="s">
        <v>4034</v>
      </c>
      <c r="E441">
        <v>225557</v>
      </c>
      <c r="G441" t="s">
        <v>4035</v>
      </c>
      <c r="H441" t="s">
        <v>3147</v>
      </c>
      <c r="I441" t="s">
        <v>4035</v>
      </c>
      <c r="L441" t="b">
        <v>0</v>
      </c>
      <c r="M441" t="s">
        <v>50</v>
      </c>
      <c r="N441" t="s">
        <v>26</v>
      </c>
      <c r="P441" t="s">
        <v>33</v>
      </c>
      <c r="Q441">
        <v>1</v>
      </c>
      <c r="R441">
        <v>5</v>
      </c>
      <c r="S441">
        <v>100.6531201495</v>
      </c>
      <c r="T441">
        <v>23874243</v>
      </c>
      <c r="U441">
        <v>23874243</v>
      </c>
      <c r="V441">
        <v>1</v>
      </c>
      <c r="W441">
        <v>0</v>
      </c>
      <c r="X441">
        <v>24030170.489999998</v>
      </c>
      <c r="Y441">
        <v>24030170.489999998</v>
      </c>
    </row>
    <row r="442" spans="1:25" x14ac:dyDescent="0.25">
      <c r="A442">
        <v>20</v>
      </c>
      <c r="B442" t="s">
        <v>25</v>
      </c>
      <c r="C442" t="s">
        <v>26</v>
      </c>
      <c r="D442" t="s">
        <v>4036</v>
      </c>
      <c r="E442">
        <v>225668</v>
      </c>
      <c r="G442" t="s">
        <v>4037</v>
      </c>
      <c r="H442" t="s">
        <v>3147</v>
      </c>
      <c r="I442" t="s">
        <v>4037</v>
      </c>
      <c r="L442" t="b">
        <v>0</v>
      </c>
      <c r="M442" t="s">
        <v>50</v>
      </c>
      <c r="N442" t="s">
        <v>26</v>
      </c>
      <c r="P442" t="s">
        <v>33</v>
      </c>
      <c r="Q442">
        <v>1</v>
      </c>
      <c r="R442">
        <v>5</v>
      </c>
      <c r="S442">
        <v>100.5450632938</v>
      </c>
      <c r="T442">
        <v>1604099</v>
      </c>
      <c r="U442">
        <v>1604099</v>
      </c>
      <c r="V442">
        <v>1</v>
      </c>
      <c r="W442">
        <v>0</v>
      </c>
      <c r="X442">
        <v>1612842.35</v>
      </c>
      <c r="Y442">
        <v>1612842.35</v>
      </c>
    </row>
    <row r="443" spans="1:25" x14ac:dyDescent="0.25">
      <c r="A443">
        <v>20</v>
      </c>
      <c r="B443" t="s">
        <v>25</v>
      </c>
      <c r="C443" t="s">
        <v>26</v>
      </c>
      <c r="D443" t="s">
        <v>4038</v>
      </c>
      <c r="E443">
        <v>225669</v>
      </c>
      <c r="G443" t="s">
        <v>4039</v>
      </c>
      <c r="H443" t="s">
        <v>3147</v>
      </c>
      <c r="I443" t="s">
        <v>4039</v>
      </c>
      <c r="L443" t="b">
        <v>0</v>
      </c>
      <c r="M443" t="s">
        <v>50</v>
      </c>
      <c r="N443" t="s">
        <v>26</v>
      </c>
      <c r="P443" t="s">
        <v>33</v>
      </c>
      <c r="Q443">
        <v>1</v>
      </c>
      <c r="R443">
        <v>5</v>
      </c>
      <c r="S443">
        <v>100.5450692878</v>
      </c>
      <c r="T443">
        <v>3169600</v>
      </c>
      <c r="U443">
        <v>3169600</v>
      </c>
      <c r="V443">
        <v>1</v>
      </c>
      <c r="W443">
        <v>0</v>
      </c>
      <c r="X443">
        <v>3186876.52</v>
      </c>
      <c r="Y443">
        <v>3186876.52</v>
      </c>
    </row>
    <row r="444" spans="1:25" x14ac:dyDescent="0.25">
      <c r="A444">
        <v>20</v>
      </c>
      <c r="B444" t="s">
        <v>25</v>
      </c>
      <c r="C444" t="s">
        <v>26</v>
      </c>
      <c r="D444" t="s">
        <v>4040</v>
      </c>
      <c r="E444">
        <v>225670</v>
      </c>
      <c r="G444" t="s">
        <v>4041</v>
      </c>
      <c r="H444" t="s">
        <v>3147</v>
      </c>
      <c r="I444" t="s">
        <v>4041</v>
      </c>
      <c r="L444" t="b">
        <v>0</v>
      </c>
      <c r="M444" t="s">
        <v>50</v>
      </c>
      <c r="N444" t="s">
        <v>26</v>
      </c>
      <c r="P444" t="s">
        <v>33</v>
      </c>
      <c r="Q444">
        <v>1</v>
      </c>
      <c r="R444">
        <v>5</v>
      </c>
      <c r="S444">
        <v>100.5450812254</v>
      </c>
      <c r="T444">
        <v>1398880</v>
      </c>
      <c r="U444">
        <v>1398880</v>
      </c>
      <c r="V444">
        <v>1</v>
      </c>
      <c r="W444">
        <v>0</v>
      </c>
      <c r="X444">
        <v>1406505.03</v>
      </c>
      <c r="Y444">
        <v>1406505.03</v>
      </c>
    </row>
    <row r="445" spans="1:25" x14ac:dyDescent="0.25">
      <c r="A445">
        <v>20</v>
      </c>
      <c r="B445" t="s">
        <v>25</v>
      </c>
      <c r="C445" t="s">
        <v>26</v>
      </c>
      <c r="D445" t="s">
        <v>4042</v>
      </c>
      <c r="E445">
        <v>225671</v>
      </c>
      <c r="G445" t="s">
        <v>4043</v>
      </c>
      <c r="H445" t="s">
        <v>3147</v>
      </c>
      <c r="I445" t="s">
        <v>4043</v>
      </c>
      <c r="L445" t="b">
        <v>0</v>
      </c>
      <c r="M445" t="s">
        <v>50</v>
      </c>
      <c r="N445" t="s">
        <v>26</v>
      </c>
      <c r="P445" t="s">
        <v>33</v>
      </c>
      <c r="Q445">
        <v>1</v>
      </c>
      <c r="R445">
        <v>5</v>
      </c>
      <c r="S445">
        <v>100.5450632938</v>
      </c>
      <c r="T445">
        <v>1604099</v>
      </c>
      <c r="U445">
        <v>1604099</v>
      </c>
      <c r="V445">
        <v>1</v>
      </c>
      <c r="W445">
        <v>0</v>
      </c>
      <c r="X445">
        <v>1612842.35</v>
      </c>
      <c r="Y445">
        <v>1612842.35</v>
      </c>
    </row>
    <row r="446" spans="1:25" x14ac:dyDescent="0.25">
      <c r="A446">
        <v>20</v>
      </c>
      <c r="B446" t="s">
        <v>25</v>
      </c>
      <c r="C446" t="s">
        <v>26</v>
      </c>
      <c r="D446" t="s">
        <v>4044</v>
      </c>
      <c r="E446">
        <v>225672</v>
      </c>
      <c r="G446" t="s">
        <v>4045</v>
      </c>
      <c r="H446" t="s">
        <v>3147</v>
      </c>
      <c r="I446" t="s">
        <v>4045</v>
      </c>
      <c r="L446" t="b">
        <v>0</v>
      </c>
      <c r="M446" t="s">
        <v>50</v>
      </c>
      <c r="N446" t="s">
        <v>26</v>
      </c>
      <c r="P446" t="s">
        <v>33</v>
      </c>
      <c r="Q446">
        <v>1</v>
      </c>
      <c r="R446">
        <v>5</v>
      </c>
      <c r="S446">
        <v>100.5450790726</v>
      </c>
      <c r="T446">
        <v>2120592</v>
      </c>
      <c r="U446">
        <v>2120592</v>
      </c>
      <c r="V446">
        <v>1</v>
      </c>
      <c r="W446">
        <v>0</v>
      </c>
      <c r="X446">
        <v>2132150.9</v>
      </c>
      <c r="Y446">
        <v>2132150.9</v>
      </c>
    </row>
    <row r="447" spans="1:25" x14ac:dyDescent="0.25">
      <c r="A447">
        <v>20</v>
      </c>
      <c r="B447" t="s">
        <v>25</v>
      </c>
      <c r="C447" t="s">
        <v>26</v>
      </c>
      <c r="D447" t="s">
        <v>4046</v>
      </c>
      <c r="E447">
        <v>225673</v>
      </c>
      <c r="G447" t="s">
        <v>4047</v>
      </c>
      <c r="H447" t="s">
        <v>3147</v>
      </c>
      <c r="I447" t="s">
        <v>4047</v>
      </c>
      <c r="L447" t="b">
        <v>0</v>
      </c>
      <c r="M447" t="s">
        <v>50</v>
      </c>
      <c r="N447" t="s">
        <v>26</v>
      </c>
      <c r="P447" t="s">
        <v>33</v>
      </c>
      <c r="Q447">
        <v>1</v>
      </c>
      <c r="R447">
        <v>5</v>
      </c>
      <c r="S447">
        <v>100.5450760288</v>
      </c>
      <c r="T447">
        <v>1610240</v>
      </c>
      <c r="U447">
        <v>1610240</v>
      </c>
      <c r="V447">
        <v>1</v>
      </c>
      <c r="W447">
        <v>0</v>
      </c>
      <c r="X447">
        <v>1619017.03</v>
      </c>
      <c r="Y447">
        <v>1619017.03</v>
      </c>
    </row>
    <row r="448" spans="1:25" x14ac:dyDescent="0.25">
      <c r="A448">
        <v>20</v>
      </c>
      <c r="B448" t="s">
        <v>25</v>
      </c>
      <c r="C448" t="s">
        <v>26</v>
      </c>
      <c r="D448" t="s">
        <v>4048</v>
      </c>
      <c r="E448">
        <v>225674</v>
      </c>
      <c r="G448" t="s">
        <v>4049</v>
      </c>
      <c r="H448" t="s">
        <v>3147</v>
      </c>
      <c r="I448" t="s">
        <v>4049</v>
      </c>
      <c r="L448" t="b">
        <v>0</v>
      </c>
      <c r="M448" t="s">
        <v>50</v>
      </c>
      <c r="N448" t="s">
        <v>26</v>
      </c>
      <c r="P448" t="s">
        <v>33</v>
      </c>
      <c r="Q448">
        <v>1</v>
      </c>
      <c r="R448">
        <v>5</v>
      </c>
      <c r="S448">
        <v>100.5450722344</v>
      </c>
      <c r="T448">
        <v>2930964</v>
      </c>
      <c r="U448">
        <v>2930964</v>
      </c>
      <c r="V448">
        <v>1</v>
      </c>
      <c r="W448">
        <v>0</v>
      </c>
      <c r="X448">
        <v>2946939.87</v>
      </c>
      <c r="Y448">
        <v>2946939.87</v>
      </c>
    </row>
    <row r="449" spans="1:25" x14ac:dyDescent="0.25">
      <c r="A449">
        <v>20</v>
      </c>
      <c r="B449" t="s">
        <v>25</v>
      </c>
      <c r="C449" t="s">
        <v>26</v>
      </c>
      <c r="D449" t="s">
        <v>4050</v>
      </c>
      <c r="E449">
        <v>225675</v>
      </c>
      <c r="G449" t="s">
        <v>4051</v>
      </c>
      <c r="H449" t="s">
        <v>3147</v>
      </c>
      <c r="I449" t="s">
        <v>4051</v>
      </c>
      <c r="L449" t="b">
        <v>0</v>
      </c>
      <c r="M449" t="s">
        <v>50</v>
      </c>
      <c r="N449" t="s">
        <v>26</v>
      </c>
      <c r="P449" t="s">
        <v>33</v>
      </c>
      <c r="Q449">
        <v>1</v>
      </c>
      <c r="R449">
        <v>5</v>
      </c>
      <c r="S449">
        <v>100.5450574816</v>
      </c>
      <c r="T449">
        <v>1399154</v>
      </c>
      <c r="U449">
        <v>1399154</v>
      </c>
      <c r="V449">
        <v>1</v>
      </c>
      <c r="W449">
        <v>0</v>
      </c>
      <c r="X449">
        <v>1406780.19</v>
      </c>
      <c r="Y449">
        <v>1406780.19</v>
      </c>
    </row>
    <row r="450" spans="1:25" x14ac:dyDescent="0.25">
      <c r="A450">
        <v>20</v>
      </c>
      <c r="B450" t="s">
        <v>25</v>
      </c>
      <c r="C450" t="s">
        <v>26</v>
      </c>
      <c r="D450" t="s">
        <v>4052</v>
      </c>
      <c r="E450">
        <v>225676</v>
      </c>
      <c r="G450" t="s">
        <v>4053</v>
      </c>
      <c r="H450" t="s">
        <v>3147</v>
      </c>
      <c r="I450" t="s">
        <v>4053</v>
      </c>
      <c r="L450" t="b">
        <v>0</v>
      </c>
      <c r="M450" t="s">
        <v>50</v>
      </c>
      <c r="N450" t="s">
        <v>26</v>
      </c>
      <c r="P450" t="s">
        <v>33</v>
      </c>
      <c r="Q450">
        <v>1</v>
      </c>
      <c r="R450">
        <v>5</v>
      </c>
      <c r="S450">
        <v>100.5450596794</v>
      </c>
      <c r="T450">
        <v>1915067</v>
      </c>
      <c r="U450">
        <v>1915067</v>
      </c>
      <c r="V450">
        <v>1</v>
      </c>
      <c r="W450">
        <v>0</v>
      </c>
      <c r="X450">
        <v>1925505.26</v>
      </c>
      <c r="Y450">
        <v>1925505.26</v>
      </c>
    </row>
    <row r="451" spans="1:25" x14ac:dyDescent="0.25">
      <c r="A451">
        <v>20</v>
      </c>
      <c r="B451" t="s">
        <v>25</v>
      </c>
      <c r="C451" t="s">
        <v>26</v>
      </c>
      <c r="D451" t="s">
        <v>4054</v>
      </c>
      <c r="E451">
        <v>225677</v>
      </c>
      <c r="G451" t="s">
        <v>4055</v>
      </c>
      <c r="H451" t="s">
        <v>3147</v>
      </c>
      <c r="I451" t="s">
        <v>4055</v>
      </c>
      <c r="L451" t="b">
        <v>0</v>
      </c>
      <c r="M451" t="s">
        <v>50</v>
      </c>
      <c r="N451" t="s">
        <v>26</v>
      </c>
      <c r="P451" t="s">
        <v>33</v>
      </c>
      <c r="Q451">
        <v>1</v>
      </c>
      <c r="R451">
        <v>5</v>
      </c>
      <c r="S451">
        <v>100.545060988</v>
      </c>
      <c r="T451">
        <v>2429808</v>
      </c>
      <c r="U451">
        <v>2429808</v>
      </c>
      <c r="V451">
        <v>1</v>
      </c>
      <c r="W451">
        <v>0</v>
      </c>
      <c r="X451">
        <v>2443051.94</v>
      </c>
      <c r="Y451">
        <v>2443051.94</v>
      </c>
    </row>
    <row r="452" spans="1:25" x14ac:dyDescent="0.25">
      <c r="A452">
        <v>20</v>
      </c>
      <c r="B452" t="s">
        <v>25</v>
      </c>
      <c r="C452" t="s">
        <v>26</v>
      </c>
      <c r="D452" t="s">
        <v>4056</v>
      </c>
      <c r="E452">
        <v>225678</v>
      </c>
      <c r="G452" t="s">
        <v>4057</v>
      </c>
      <c r="H452" t="s">
        <v>3147</v>
      </c>
      <c r="I452" t="s">
        <v>4057</v>
      </c>
      <c r="L452" t="b">
        <v>0</v>
      </c>
      <c r="M452" t="s">
        <v>50</v>
      </c>
      <c r="N452" t="s">
        <v>26</v>
      </c>
      <c r="P452" t="s">
        <v>33</v>
      </c>
      <c r="Q452">
        <v>1</v>
      </c>
      <c r="R452">
        <v>5</v>
      </c>
      <c r="S452">
        <v>100.545060988</v>
      </c>
      <c r="T452">
        <v>2429808</v>
      </c>
      <c r="U452">
        <v>2429808</v>
      </c>
      <c r="V452">
        <v>1</v>
      </c>
      <c r="W452">
        <v>0</v>
      </c>
      <c r="X452">
        <v>2443051.94</v>
      </c>
      <c r="Y452">
        <v>2443051.94</v>
      </c>
    </row>
    <row r="453" spans="1:25" x14ac:dyDescent="0.25">
      <c r="A453">
        <v>20</v>
      </c>
      <c r="B453" t="s">
        <v>25</v>
      </c>
      <c r="C453" t="s">
        <v>26</v>
      </c>
      <c r="D453" t="s">
        <v>4058</v>
      </c>
      <c r="E453">
        <v>226359</v>
      </c>
      <c r="G453" t="s">
        <v>4059</v>
      </c>
      <c r="H453" t="s">
        <v>3147</v>
      </c>
      <c r="I453" t="s">
        <v>4059</v>
      </c>
      <c r="L453" t="b">
        <v>0</v>
      </c>
      <c r="M453" t="s">
        <v>50</v>
      </c>
      <c r="N453" t="s">
        <v>26</v>
      </c>
      <c r="P453" t="s">
        <v>33</v>
      </c>
      <c r="Q453">
        <v>1</v>
      </c>
      <c r="R453">
        <v>5</v>
      </c>
      <c r="S453">
        <v>100.434467838</v>
      </c>
      <c r="T453">
        <v>61874307</v>
      </c>
      <c r="U453">
        <v>61874307</v>
      </c>
      <c r="V453">
        <v>1</v>
      </c>
      <c r="W453">
        <v>0</v>
      </c>
      <c r="X453">
        <v>62143130.960000001</v>
      </c>
      <c r="Y453">
        <v>62143130.960000001</v>
      </c>
    </row>
    <row r="454" spans="1:25" x14ac:dyDescent="0.25">
      <c r="A454">
        <v>20</v>
      </c>
      <c r="B454" t="s">
        <v>25</v>
      </c>
      <c r="C454" t="s">
        <v>26</v>
      </c>
      <c r="D454" t="s">
        <v>4060</v>
      </c>
      <c r="E454">
        <v>226360</v>
      </c>
      <c r="G454" t="s">
        <v>4061</v>
      </c>
      <c r="H454" t="s">
        <v>3147</v>
      </c>
      <c r="I454" t="s">
        <v>4061</v>
      </c>
      <c r="L454" t="b">
        <v>0</v>
      </c>
      <c r="M454" t="s">
        <v>50</v>
      </c>
      <c r="N454" t="s">
        <v>26</v>
      </c>
      <c r="P454" t="s">
        <v>33</v>
      </c>
      <c r="Q454">
        <v>1</v>
      </c>
      <c r="R454">
        <v>5</v>
      </c>
      <c r="S454">
        <v>100.42796045039999</v>
      </c>
      <c r="T454">
        <v>20797377</v>
      </c>
      <c r="U454">
        <v>20797377</v>
      </c>
      <c r="V454">
        <v>1</v>
      </c>
      <c r="W454">
        <v>0</v>
      </c>
      <c r="X454">
        <v>20886381.550000001</v>
      </c>
      <c r="Y454">
        <v>20886381.550000001</v>
      </c>
    </row>
    <row r="455" spans="1:25" x14ac:dyDescent="0.25">
      <c r="A455">
        <v>20</v>
      </c>
      <c r="B455" t="s">
        <v>25</v>
      </c>
      <c r="C455" t="s">
        <v>26</v>
      </c>
      <c r="D455" t="s">
        <v>4062</v>
      </c>
      <c r="E455">
        <v>226361</v>
      </c>
      <c r="G455" t="s">
        <v>4063</v>
      </c>
      <c r="H455" t="s">
        <v>3147</v>
      </c>
      <c r="I455" t="s">
        <v>4063</v>
      </c>
      <c r="L455" t="b">
        <v>0</v>
      </c>
      <c r="M455" t="s">
        <v>50</v>
      </c>
      <c r="N455" t="s">
        <v>26</v>
      </c>
      <c r="P455" t="s">
        <v>33</v>
      </c>
      <c r="Q455">
        <v>1</v>
      </c>
      <c r="R455">
        <v>5</v>
      </c>
      <c r="S455">
        <v>100.4279564072</v>
      </c>
      <c r="T455">
        <v>1492796</v>
      </c>
      <c r="U455">
        <v>1492796</v>
      </c>
      <c r="V455">
        <v>1</v>
      </c>
      <c r="W455">
        <v>0</v>
      </c>
      <c r="X455">
        <v>1499184.52</v>
      </c>
      <c r="Y455">
        <v>1499184.52</v>
      </c>
    </row>
    <row r="456" spans="1:25" x14ac:dyDescent="0.25">
      <c r="A456">
        <v>20</v>
      </c>
      <c r="B456" t="s">
        <v>25</v>
      </c>
      <c r="C456" t="s">
        <v>26</v>
      </c>
      <c r="D456" t="s">
        <v>4064</v>
      </c>
      <c r="E456">
        <v>226368</v>
      </c>
      <c r="G456" t="s">
        <v>4065</v>
      </c>
      <c r="H456" t="s">
        <v>3147</v>
      </c>
      <c r="I456" t="s">
        <v>4065</v>
      </c>
      <c r="L456" t="b">
        <v>0</v>
      </c>
      <c r="M456" t="s">
        <v>50</v>
      </c>
      <c r="N456" t="s">
        <v>26</v>
      </c>
      <c r="P456" t="s">
        <v>33</v>
      </c>
      <c r="Q456">
        <v>1</v>
      </c>
      <c r="R456">
        <v>5</v>
      </c>
      <c r="S456">
        <v>100.42340942280001</v>
      </c>
      <c r="T456">
        <v>867893</v>
      </c>
      <c r="U456">
        <v>867893</v>
      </c>
      <c r="V456">
        <v>1</v>
      </c>
      <c r="W456">
        <v>0</v>
      </c>
      <c r="X456">
        <v>871567.74</v>
      </c>
      <c r="Y456">
        <v>871567.74</v>
      </c>
    </row>
    <row r="457" spans="1:25" x14ac:dyDescent="0.25">
      <c r="A457">
        <v>20</v>
      </c>
      <c r="B457" t="s">
        <v>25</v>
      </c>
      <c r="C457" t="s">
        <v>26</v>
      </c>
      <c r="D457" t="s">
        <v>4066</v>
      </c>
      <c r="E457">
        <v>226367</v>
      </c>
      <c r="G457" t="s">
        <v>4067</v>
      </c>
      <c r="H457" t="s">
        <v>3147</v>
      </c>
      <c r="I457" t="s">
        <v>4067</v>
      </c>
      <c r="L457" t="b">
        <v>0</v>
      </c>
      <c r="M457" t="s">
        <v>50</v>
      </c>
      <c r="N457" t="s">
        <v>26</v>
      </c>
      <c r="P457" t="s">
        <v>33</v>
      </c>
      <c r="Q457">
        <v>1</v>
      </c>
      <c r="R457">
        <v>5</v>
      </c>
      <c r="S457">
        <v>100.4234223168</v>
      </c>
      <c r="T457">
        <v>2677320</v>
      </c>
      <c r="U457">
        <v>2677320</v>
      </c>
      <c r="V457">
        <v>1</v>
      </c>
      <c r="W457">
        <v>0</v>
      </c>
      <c r="X457">
        <v>2688656.37</v>
      </c>
      <c r="Y457">
        <v>2688656.37</v>
      </c>
    </row>
    <row r="458" spans="1:25" x14ac:dyDescent="0.25">
      <c r="A458">
        <v>20</v>
      </c>
      <c r="B458" t="s">
        <v>25</v>
      </c>
      <c r="C458" t="s">
        <v>26</v>
      </c>
      <c r="D458" t="s">
        <v>4068</v>
      </c>
      <c r="E458">
        <v>226370</v>
      </c>
      <c r="G458" t="s">
        <v>4069</v>
      </c>
      <c r="H458" t="s">
        <v>3147</v>
      </c>
      <c r="I458" t="s">
        <v>4069</v>
      </c>
      <c r="L458" t="b">
        <v>0</v>
      </c>
      <c r="M458" t="s">
        <v>50</v>
      </c>
      <c r="N458" t="s">
        <v>26</v>
      </c>
      <c r="P458" t="s">
        <v>33</v>
      </c>
      <c r="Q458">
        <v>1</v>
      </c>
      <c r="R458">
        <v>5</v>
      </c>
      <c r="S458">
        <v>100.423442467</v>
      </c>
      <c r="T458">
        <v>1594707</v>
      </c>
      <c r="U458">
        <v>1594707</v>
      </c>
      <c r="V458">
        <v>1</v>
      </c>
      <c r="W458">
        <v>0</v>
      </c>
      <c r="X458">
        <v>1601459.67</v>
      </c>
      <c r="Y458">
        <v>1601459.67</v>
      </c>
    </row>
    <row r="459" spans="1:25" x14ac:dyDescent="0.25">
      <c r="A459">
        <v>20</v>
      </c>
      <c r="B459" t="s">
        <v>25</v>
      </c>
      <c r="C459" t="s">
        <v>26</v>
      </c>
      <c r="D459" t="s">
        <v>4070</v>
      </c>
      <c r="E459">
        <v>226372</v>
      </c>
      <c r="G459" t="s">
        <v>4071</v>
      </c>
      <c r="H459" t="s">
        <v>3147</v>
      </c>
      <c r="I459" t="s">
        <v>4071</v>
      </c>
      <c r="L459" t="b">
        <v>0</v>
      </c>
      <c r="M459" t="s">
        <v>50</v>
      </c>
      <c r="N459" t="s">
        <v>26</v>
      </c>
      <c r="P459" t="s">
        <v>33</v>
      </c>
      <c r="Q459">
        <v>1</v>
      </c>
      <c r="R459">
        <v>5</v>
      </c>
      <c r="S459">
        <v>100.4234308792</v>
      </c>
      <c r="T459">
        <v>5585852</v>
      </c>
      <c r="U459">
        <v>5585852</v>
      </c>
      <c r="V459">
        <v>1</v>
      </c>
      <c r="W459">
        <v>0</v>
      </c>
      <c r="X459">
        <v>5609504.2199999997</v>
      </c>
      <c r="Y459">
        <v>5609504.2199999997</v>
      </c>
    </row>
    <row r="460" spans="1:25" x14ac:dyDescent="0.25">
      <c r="A460">
        <v>20</v>
      </c>
      <c r="B460" t="s">
        <v>25</v>
      </c>
      <c r="C460" t="s">
        <v>26</v>
      </c>
      <c r="D460" t="s">
        <v>4072</v>
      </c>
      <c r="E460">
        <v>226364</v>
      </c>
      <c r="G460" t="s">
        <v>4073</v>
      </c>
      <c r="H460" t="s">
        <v>3147</v>
      </c>
      <c r="I460" t="s">
        <v>4073</v>
      </c>
      <c r="L460" t="b">
        <v>0</v>
      </c>
      <c r="M460" t="s">
        <v>50</v>
      </c>
      <c r="N460" t="s">
        <v>26</v>
      </c>
      <c r="P460" t="s">
        <v>33</v>
      </c>
      <c r="Q460">
        <v>1</v>
      </c>
      <c r="R460">
        <v>5</v>
      </c>
      <c r="S460">
        <v>100.4234248816</v>
      </c>
      <c r="T460">
        <v>3398950</v>
      </c>
      <c r="U460">
        <v>3398950</v>
      </c>
      <c r="V460">
        <v>1</v>
      </c>
      <c r="W460">
        <v>0</v>
      </c>
      <c r="X460">
        <v>3413342</v>
      </c>
      <c r="Y460">
        <v>3413342</v>
      </c>
    </row>
    <row r="461" spans="1:25" x14ac:dyDescent="0.25">
      <c r="A461">
        <v>20</v>
      </c>
      <c r="B461" t="s">
        <v>25</v>
      </c>
      <c r="C461" t="s">
        <v>26</v>
      </c>
      <c r="D461" t="s">
        <v>4074</v>
      </c>
      <c r="E461">
        <v>226371</v>
      </c>
      <c r="G461" t="s">
        <v>4075</v>
      </c>
      <c r="H461" t="s">
        <v>3147</v>
      </c>
      <c r="I461" t="s">
        <v>4075</v>
      </c>
      <c r="L461" t="b">
        <v>0</v>
      </c>
      <c r="M461" t="s">
        <v>50</v>
      </c>
      <c r="N461" t="s">
        <v>26</v>
      </c>
      <c r="P461" t="s">
        <v>33</v>
      </c>
      <c r="Q461">
        <v>1</v>
      </c>
      <c r="R461">
        <v>5</v>
      </c>
      <c r="S461">
        <v>100.42340942280001</v>
      </c>
      <c r="T461">
        <v>867893</v>
      </c>
      <c r="U461">
        <v>867893</v>
      </c>
      <c r="V461">
        <v>1</v>
      </c>
      <c r="W461">
        <v>0</v>
      </c>
      <c r="X461">
        <v>871567.74</v>
      </c>
      <c r="Y461">
        <v>871567.74</v>
      </c>
    </row>
    <row r="462" spans="1:25" x14ac:dyDescent="0.25">
      <c r="A462">
        <v>20</v>
      </c>
      <c r="B462" t="s">
        <v>25</v>
      </c>
      <c r="C462" t="s">
        <v>26</v>
      </c>
      <c r="D462" t="s">
        <v>4076</v>
      </c>
      <c r="E462">
        <v>226362</v>
      </c>
      <c r="G462" t="s">
        <v>4077</v>
      </c>
      <c r="H462" t="s">
        <v>3147</v>
      </c>
      <c r="I462" t="s">
        <v>4077</v>
      </c>
      <c r="L462" t="b">
        <v>0</v>
      </c>
      <c r="M462" t="s">
        <v>50</v>
      </c>
      <c r="N462" t="s">
        <v>26</v>
      </c>
      <c r="P462" t="s">
        <v>33</v>
      </c>
      <c r="Q462">
        <v>1</v>
      </c>
      <c r="R462">
        <v>5</v>
      </c>
      <c r="S462">
        <v>100.423447948</v>
      </c>
      <c r="T462">
        <v>1087737</v>
      </c>
      <c r="U462">
        <v>1087737</v>
      </c>
      <c r="V462">
        <v>1</v>
      </c>
      <c r="W462">
        <v>0</v>
      </c>
      <c r="X462">
        <v>1092343</v>
      </c>
      <c r="Y462">
        <v>1092343</v>
      </c>
    </row>
    <row r="463" spans="1:25" x14ac:dyDescent="0.25">
      <c r="A463">
        <v>20</v>
      </c>
      <c r="B463" t="s">
        <v>25</v>
      </c>
      <c r="C463" t="s">
        <v>26</v>
      </c>
      <c r="D463" t="s">
        <v>4078</v>
      </c>
      <c r="E463">
        <v>226363</v>
      </c>
      <c r="G463" t="s">
        <v>4079</v>
      </c>
      <c r="H463" t="s">
        <v>3147</v>
      </c>
      <c r="I463" t="s">
        <v>4079</v>
      </c>
      <c r="L463" t="b">
        <v>0</v>
      </c>
      <c r="M463" t="s">
        <v>50</v>
      </c>
      <c r="N463" t="s">
        <v>26</v>
      </c>
      <c r="P463" t="s">
        <v>33</v>
      </c>
      <c r="Q463">
        <v>1</v>
      </c>
      <c r="R463">
        <v>5</v>
      </c>
      <c r="S463">
        <v>100.4234819106</v>
      </c>
      <c r="T463">
        <v>433811</v>
      </c>
      <c r="U463">
        <v>433811</v>
      </c>
      <c r="V463">
        <v>1</v>
      </c>
      <c r="W463">
        <v>0</v>
      </c>
      <c r="X463">
        <v>435648.11</v>
      </c>
      <c r="Y463">
        <v>435648.11</v>
      </c>
    </row>
    <row r="464" spans="1:25" x14ac:dyDescent="0.25">
      <c r="A464">
        <v>20</v>
      </c>
      <c r="B464" t="s">
        <v>25</v>
      </c>
      <c r="C464" t="s">
        <v>26</v>
      </c>
      <c r="D464" t="s">
        <v>4080</v>
      </c>
      <c r="E464">
        <v>226365</v>
      </c>
      <c r="G464" t="s">
        <v>4081</v>
      </c>
      <c r="H464" t="s">
        <v>3147</v>
      </c>
      <c r="I464" t="s">
        <v>4081</v>
      </c>
      <c r="L464" t="b">
        <v>0</v>
      </c>
      <c r="M464" t="s">
        <v>50</v>
      </c>
      <c r="N464" t="s">
        <v>26</v>
      </c>
      <c r="P464" t="s">
        <v>33</v>
      </c>
      <c r="Q464">
        <v>1</v>
      </c>
      <c r="R464">
        <v>5</v>
      </c>
      <c r="S464">
        <v>100.4234318396</v>
      </c>
      <c r="T464">
        <v>1417308</v>
      </c>
      <c r="U464">
        <v>1417308</v>
      </c>
      <c r="V464">
        <v>1</v>
      </c>
      <c r="W464">
        <v>0</v>
      </c>
      <c r="X464">
        <v>1423309.33</v>
      </c>
      <c r="Y464">
        <v>1423309.33</v>
      </c>
    </row>
    <row r="465" spans="1:25" x14ac:dyDescent="0.25">
      <c r="A465">
        <v>20</v>
      </c>
      <c r="B465" t="s">
        <v>25</v>
      </c>
      <c r="C465" t="s">
        <v>26</v>
      </c>
      <c r="D465" t="s">
        <v>4082</v>
      </c>
      <c r="E465">
        <v>226369</v>
      </c>
      <c r="G465" t="s">
        <v>4083</v>
      </c>
      <c r="H465" t="s">
        <v>3147</v>
      </c>
      <c r="I465" t="s">
        <v>4083</v>
      </c>
      <c r="L465" t="b">
        <v>0</v>
      </c>
      <c r="M465" t="s">
        <v>50</v>
      </c>
      <c r="N465" t="s">
        <v>26</v>
      </c>
      <c r="P465" t="s">
        <v>33</v>
      </c>
      <c r="Q465">
        <v>1</v>
      </c>
      <c r="R465">
        <v>5</v>
      </c>
      <c r="S465">
        <v>100.42340942280001</v>
      </c>
      <c r="T465">
        <v>867893</v>
      </c>
      <c r="U465">
        <v>867893</v>
      </c>
      <c r="V465">
        <v>1</v>
      </c>
      <c r="W465">
        <v>0</v>
      </c>
      <c r="X465">
        <v>871567.74</v>
      </c>
      <c r="Y465">
        <v>871567.74</v>
      </c>
    </row>
    <row r="466" spans="1:25" x14ac:dyDescent="0.25">
      <c r="A466">
        <v>20</v>
      </c>
      <c r="B466" t="s">
        <v>25</v>
      </c>
      <c r="C466" t="s">
        <v>26</v>
      </c>
      <c r="D466" t="s">
        <v>4084</v>
      </c>
      <c r="E466">
        <v>226366</v>
      </c>
      <c r="G466" t="s">
        <v>4085</v>
      </c>
      <c r="H466" t="s">
        <v>3147</v>
      </c>
      <c r="I466" t="s">
        <v>4085</v>
      </c>
      <c r="L466" t="b">
        <v>0</v>
      </c>
      <c r="M466" t="s">
        <v>50</v>
      </c>
      <c r="N466" t="s">
        <v>26</v>
      </c>
      <c r="P466" t="s">
        <v>33</v>
      </c>
      <c r="Q466">
        <v>1</v>
      </c>
      <c r="R466">
        <v>5</v>
      </c>
      <c r="S466">
        <v>100.42340942280001</v>
      </c>
      <c r="T466">
        <v>867893</v>
      </c>
      <c r="U466">
        <v>867893</v>
      </c>
      <c r="V466">
        <v>1</v>
      </c>
      <c r="W466">
        <v>0</v>
      </c>
      <c r="X466">
        <v>871567.74</v>
      </c>
      <c r="Y466">
        <v>871567.74</v>
      </c>
    </row>
    <row r="467" spans="1:25" x14ac:dyDescent="0.25">
      <c r="A467">
        <v>20</v>
      </c>
      <c r="B467" t="s">
        <v>25</v>
      </c>
      <c r="C467" t="s">
        <v>26</v>
      </c>
      <c r="D467" t="s">
        <v>4086</v>
      </c>
      <c r="E467">
        <v>227158</v>
      </c>
      <c r="G467" t="s">
        <v>4087</v>
      </c>
      <c r="H467" t="s">
        <v>3147</v>
      </c>
      <c r="I467" t="s">
        <v>4087</v>
      </c>
      <c r="L467" t="b">
        <v>0</v>
      </c>
      <c r="M467" t="s">
        <v>50</v>
      </c>
      <c r="N467" t="s">
        <v>26</v>
      </c>
      <c r="P467" t="s">
        <v>33</v>
      </c>
      <c r="Q467">
        <v>1</v>
      </c>
      <c r="R467">
        <v>5</v>
      </c>
      <c r="S467">
        <v>100.2446236632</v>
      </c>
      <c r="T467">
        <v>21887641</v>
      </c>
      <c r="U467">
        <v>21887641</v>
      </c>
      <c r="V467">
        <v>1</v>
      </c>
      <c r="W467">
        <v>0</v>
      </c>
      <c r="X467">
        <v>21941183.350000001</v>
      </c>
      <c r="Y467">
        <v>21941183.350000001</v>
      </c>
    </row>
    <row r="468" spans="1:25" x14ac:dyDescent="0.25">
      <c r="A468">
        <v>20</v>
      </c>
      <c r="B468" t="s">
        <v>25</v>
      </c>
      <c r="C468" t="s">
        <v>26</v>
      </c>
      <c r="D468" t="s">
        <v>4088</v>
      </c>
      <c r="E468">
        <v>227427</v>
      </c>
      <c r="G468" t="s">
        <v>4089</v>
      </c>
      <c r="H468" t="s">
        <v>3147</v>
      </c>
      <c r="I468" t="s">
        <v>4089</v>
      </c>
      <c r="L468" t="b">
        <v>0</v>
      </c>
      <c r="M468" t="s">
        <v>50</v>
      </c>
      <c r="N468" t="s">
        <v>26</v>
      </c>
      <c r="P468" t="s">
        <v>33</v>
      </c>
      <c r="Q468">
        <v>1</v>
      </c>
      <c r="R468">
        <v>5</v>
      </c>
      <c r="S468">
        <v>100.1040554616</v>
      </c>
      <c r="T468">
        <v>525636180</v>
      </c>
      <c r="U468">
        <v>525636180</v>
      </c>
      <c r="V468">
        <v>1</v>
      </c>
      <c r="W468">
        <v>0</v>
      </c>
      <c r="X468">
        <v>526183133.14999998</v>
      </c>
      <c r="Y468">
        <v>526183133.14999998</v>
      </c>
    </row>
    <row r="469" spans="1:25" x14ac:dyDescent="0.25">
      <c r="A469">
        <v>20</v>
      </c>
      <c r="B469" t="s">
        <v>25</v>
      </c>
      <c r="C469" t="s">
        <v>26</v>
      </c>
      <c r="D469" t="s">
        <v>4090</v>
      </c>
      <c r="E469">
        <v>227425</v>
      </c>
      <c r="G469" t="s">
        <v>4091</v>
      </c>
      <c r="H469" t="s">
        <v>3147</v>
      </c>
      <c r="I469" t="s">
        <v>4091</v>
      </c>
      <c r="L469" t="b">
        <v>0</v>
      </c>
      <c r="M469" t="s">
        <v>50</v>
      </c>
      <c r="N469" t="s">
        <v>26</v>
      </c>
      <c r="P469" t="s">
        <v>33</v>
      </c>
      <c r="Q469">
        <v>1</v>
      </c>
      <c r="R469">
        <v>5</v>
      </c>
      <c r="S469">
        <v>100.1040554492</v>
      </c>
      <c r="T469">
        <v>331207583</v>
      </c>
      <c r="U469">
        <v>331207583</v>
      </c>
      <c r="V469">
        <v>1</v>
      </c>
      <c r="W469">
        <v>0</v>
      </c>
      <c r="X469">
        <v>331552222.54000002</v>
      </c>
      <c r="Y469">
        <v>331552222.54000002</v>
      </c>
    </row>
    <row r="470" spans="1:25" x14ac:dyDescent="0.25">
      <c r="A470">
        <v>20</v>
      </c>
      <c r="B470" t="s">
        <v>25</v>
      </c>
      <c r="C470" t="s">
        <v>26</v>
      </c>
      <c r="D470" t="s">
        <v>4092</v>
      </c>
      <c r="E470">
        <v>227426</v>
      </c>
      <c r="G470" t="s">
        <v>4093</v>
      </c>
      <c r="H470" t="s">
        <v>3147</v>
      </c>
      <c r="I470" t="s">
        <v>4093</v>
      </c>
      <c r="L470" t="b">
        <v>0</v>
      </c>
      <c r="M470" t="s">
        <v>50</v>
      </c>
      <c r="N470" t="s">
        <v>26</v>
      </c>
      <c r="P470" t="s">
        <v>33</v>
      </c>
      <c r="Q470">
        <v>1</v>
      </c>
      <c r="R470">
        <v>5</v>
      </c>
      <c r="S470">
        <v>100.104055266</v>
      </c>
      <c r="T470">
        <v>13832738</v>
      </c>
      <c r="U470">
        <v>13832738</v>
      </c>
      <c r="V470">
        <v>1</v>
      </c>
      <c r="W470">
        <v>0</v>
      </c>
      <c r="X470">
        <v>13847131.689999999</v>
      </c>
      <c r="Y470">
        <v>13847131.689999999</v>
      </c>
    </row>
    <row r="471" spans="1:25" x14ac:dyDescent="0.25">
      <c r="A471">
        <v>20</v>
      </c>
      <c r="B471" t="s">
        <v>25</v>
      </c>
      <c r="C471" t="s">
        <v>26</v>
      </c>
      <c r="D471" t="s">
        <v>4094</v>
      </c>
      <c r="E471">
        <v>227730</v>
      </c>
      <c r="G471" t="s">
        <v>4095</v>
      </c>
      <c r="H471" t="s">
        <v>3147</v>
      </c>
      <c r="I471" t="s">
        <v>4095</v>
      </c>
      <c r="L471" t="b">
        <v>0</v>
      </c>
      <c r="M471" t="s">
        <v>50</v>
      </c>
      <c r="N471" t="s">
        <v>26</v>
      </c>
      <c r="P471" t="s">
        <v>33</v>
      </c>
      <c r="Q471">
        <v>1</v>
      </c>
      <c r="R471">
        <v>5</v>
      </c>
      <c r="S471">
        <v>100.051718299</v>
      </c>
      <c r="T471">
        <v>127836831</v>
      </c>
      <c r="U471">
        <v>127836831</v>
      </c>
      <c r="V471">
        <v>1</v>
      </c>
      <c r="W471">
        <v>0</v>
      </c>
      <c r="X471">
        <v>127902946.03</v>
      </c>
      <c r="Y471">
        <v>127902946.03</v>
      </c>
    </row>
    <row r="472" spans="1:25" x14ac:dyDescent="0.25">
      <c r="A472">
        <v>20</v>
      </c>
      <c r="B472" t="s">
        <v>25</v>
      </c>
      <c r="C472" t="s">
        <v>26</v>
      </c>
      <c r="D472" t="s">
        <v>4096</v>
      </c>
      <c r="E472">
        <v>227720</v>
      </c>
      <c r="G472" t="s">
        <v>4097</v>
      </c>
      <c r="H472" t="s">
        <v>3147</v>
      </c>
      <c r="I472" t="s">
        <v>4097</v>
      </c>
      <c r="L472" t="b">
        <v>0</v>
      </c>
      <c r="M472" t="s">
        <v>50</v>
      </c>
      <c r="N472" t="s">
        <v>26</v>
      </c>
      <c r="P472" t="s">
        <v>33</v>
      </c>
      <c r="Q472">
        <v>1</v>
      </c>
      <c r="R472">
        <v>5</v>
      </c>
      <c r="S472">
        <v>100.0517191484</v>
      </c>
      <c r="T472">
        <v>2902680</v>
      </c>
      <c r="U472">
        <v>2902680</v>
      </c>
      <c r="V472">
        <v>1</v>
      </c>
      <c r="W472">
        <v>0</v>
      </c>
      <c r="X472">
        <v>2904181.24</v>
      </c>
      <c r="Y472">
        <v>2904181.24</v>
      </c>
    </row>
    <row r="473" spans="1:25" x14ac:dyDescent="0.25">
      <c r="A473">
        <v>20</v>
      </c>
      <c r="B473" t="s">
        <v>25</v>
      </c>
      <c r="C473" t="s">
        <v>26</v>
      </c>
      <c r="D473" t="s">
        <v>4098</v>
      </c>
      <c r="E473">
        <v>227732</v>
      </c>
      <c r="G473" t="s">
        <v>4099</v>
      </c>
      <c r="H473" t="s">
        <v>3147</v>
      </c>
      <c r="I473" t="s">
        <v>4099</v>
      </c>
      <c r="L473" t="b">
        <v>0</v>
      </c>
      <c r="M473" t="s">
        <v>50</v>
      </c>
      <c r="N473" t="s">
        <v>26</v>
      </c>
      <c r="P473" t="s">
        <v>33</v>
      </c>
      <c r="Q473">
        <v>1</v>
      </c>
      <c r="R473">
        <v>5</v>
      </c>
      <c r="S473">
        <v>100.0517191484</v>
      </c>
      <c r="T473">
        <v>2902680</v>
      </c>
      <c r="U473">
        <v>2902680</v>
      </c>
      <c r="V473">
        <v>1</v>
      </c>
      <c r="W473">
        <v>0</v>
      </c>
      <c r="X473">
        <v>2904181.24</v>
      </c>
      <c r="Y473">
        <v>2904181.24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97"/>
  <sheetViews>
    <sheetView workbookViewId="0">
      <pane xSplit="1" ySplit="1" topLeftCell="B2" activePane="bottomRight" state="frozen"/>
      <selection pane="topRight"/>
      <selection pane="bottomLeft"/>
      <selection pane="bottomRight" activeCell="D16" sqref="D16"/>
    </sheetView>
  </sheetViews>
  <sheetFormatPr baseColWidth="10" defaultColWidth="9.140625" defaultRowHeight="15" x14ac:dyDescent="0.25"/>
  <cols>
    <col min="1" max="1" width="16" customWidth="1"/>
    <col min="2" max="2" width="19" customWidth="1"/>
    <col min="3" max="3" width="22" customWidth="1"/>
    <col min="4" max="4" width="45" customWidth="1"/>
    <col min="5" max="5" width="43" customWidth="1"/>
    <col min="6" max="6" width="14" customWidth="1"/>
    <col min="7" max="7" width="15" customWidth="1"/>
    <col min="8" max="8" width="17" customWidth="1"/>
    <col min="9" max="9" width="12" customWidth="1"/>
    <col min="10" max="10" width="24" customWidth="1"/>
    <col min="11" max="11" width="8" customWidth="1"/>
    <col min="12" max="12" width="45" customWidth="1"/>
    <col min="13" max="13" width="10" customWidth="1"/>
    <col min="14" max="14" width="14" customWidth="1"/>
    <col min="15" max="15" width="20" customWidth="1"/>
    <col min="16" max="16" width="24" customWidth="1"/>
  </cols>
  <sheetData>
    <row r="1" spans="1:16" ht="27.95" customHeight="1" x14ac:dyDescent="0.25">
      <c r="A1" s="5" t="s">
        <v>4100</v>
      </c>
      <c r="B1" s="5" t="s">
        <v>4101</v>
      </c>
      <c r="C1" s="5" t="s">
        <v>5</v>
      </c>
      <c r="D1" s="5" t="s">
        <v>6</v>
      </c>
      <c r="E1" s="5" t="s">
        <v>7</v>
      </c>
      <c r="F1" s="5" t="s">
        <v>12</v>
      </c>
      <c r="G1" s="5" t="s">
        <v>13</v>
      </c>
      <c r="H1" s="5" t="s">
        <v>17</v>
      </c>
      <c r="I1" s="5" t="s">
        <v>4102</v>
      </c>
      <c r="J1" s="5" t="s">
        <v>4103</v>
      </c>
      <c r="K1" s="5" t="s">
        <v>4104</v>
      </c>
      <c r="L1" s="5" t="s">
        <v>4105</v>
      </c>
      <c r="M1" s="5" t="s">
        <v>4106</v>
      </c>
      <c r="N1" s="5" t="s">
        <v>4107</v>
      </c>
      <c r="O1" s="5" t="s">
        <v>24</v>
      </c>
      <c r="P1" s="5" t="s">
        <v>2433</v>
      </c>
    </row>
    <row r="2" spans="1:16" x14ac:dyDescent="0.25">
      <c r="A2" t="s">
        <v>106</v>
      </c>
      <c r="B2" t="s">
        <v>105</v>
      </c>
      <c r="C2" t="s">
        <v>106</v>
      </c>
      <c r="D2" t="s">
        <v>107</v>
      </c>
      <c r="E2" t="s">
        <v>104</v>
      </c>
      <c r="F2" t="s">
        <v>50</v>
      </c>
      <c r="G2" t="s">
        <v>26</v>
      </c>
      <c r="H2">
        <v>3</v>
      </c>
      <c r="I2" t="b">
        <v>1</v>
      </c>
      <c r="J2" t="s">
        <v>105</v>
      </c>
      <c r="K2">
        <v>1</v>
      </c>
      <c r="L2" t="s">
        <v>4108</v>
      </c>
      <c r="M2">
        <v>2</v>
      </c>
      <c r="N2">
        <v>2</v>
      </c>
      <c r="O2">
        <v>70495554188.77002</v>
      </c>
      <c r="P2" t="s">
        <v>4109</v>
      </c>
    </row>
    <row r="3" spans="1:16" x14ac:dyDescent="0.25">
      <c r="A3" t="s">
        <v>2086</v>
      </c>
      <c r="B3" t="s">
        <v>2085</v>
      </c>
      <c r="C3" t="s">
        <v>2086</v>
      </c>
      <c r="D3" t="s">
        <v>2087</v>
      </c>
      <c r="E3" t="s">
        <v>104</v>
      </c>
      <c r="F3" t="s">
        <v>50</v>
      </c>
      <c r="G3" t="s">
        <v>241</v>
      </c>
      <c r="H3">
        <v>3</v>
      </c>
      <c r="I3" t="b">
        <v>1</v>
      </c>
      <c r="J3" t="s">
        <v>2085</v>
      </c>
      <c r="K3">
        <v>1</v>
      </c>
      <c r="L3" t="s">
        <v>1781</v>
      </c>
      <c r="M3">
        <v>1</v>
      </c>
      <c r="N3">
        <v>1</v>
      </c>
      <c r="O3">
        <v>56907134438.970001</v>
      </c>
      <c r="P3" t="s">
        <v>4109</v>
      </c>
    </row>
    <row r="4" spans="1:16" x14ac:dyDescent="0.25">
      <c r="A4" t="s">
        <v>1444</v>
      </c>
      <c r="B4" t="s">
        <v>1443</v>
      </c>
      <c r="C4" t="s">
        <v>1444</v>
      </c>
      <c r="D4" t="s">
        <v>1445</v>
      </c>
      <c r="E4" t="s">
        <v>1442</v>
      </c>
      <c r="F4" t="s">
        <v>50</v>
      </c>
      <c r="G4" t="s">
        <v>241</v>
      </c>
      <c r="H4">
        <v>3</v>
      </c>
      <c r="I4" t="b">
        <v>1</v>
      </c>
      <c r="J4" t="s">
        <v>1443</v>
      </c>
      <c r="K4">
        <v>1</v>
      </c>
      <c r="L4" t="s">
        <v>4110</v>
      </c>
      <c r="M4">
        <v>3</v>
      </c>
      <c r="N4">
        <v>3</v>
      </c>
      <c r="O4">
        <v>28215235709.41</v>
      </c>
      <c r="P4" t="s">
        <v>4109</v>
      </c>
    </row>
    <row r="5" spans="1:16" x14ac:dyDescent="0.25">
      <c r="A5" t="s">
        <v>238</v>
      </c>
      <c r="B5" t="s">
        <v>237</v>
      </c>
      <c r="C5" t="s">
        <v>238</v>
      </c>
      <c r="D5" t="s">
        <v>239</v>
      </c>
      <c r="E5" t="s">
        <v>240</v>
      </c>
      <c r="F5" t="s">
        <v>50</v>
      </c>
      <c r="G5" t="s">
        <v>241</v>
      </c>
      <c r="H5">
        <v>2</v>
      </c>
      <c r="I5" t="b">
        <v>1</v>
      </c>
      <c r="J5" t="s">
        <v>237</v>
      </c>
      <c r="K5">
        <v>1</v>
      </c>
      <c r="L5" t="s">
        <v>4111</v>
      </c>
      <c r="M5">
        <v>2</v>
      </c>
      <c r="N5">
        <v>2</v>
      </c>
      <c r="O5">
        <v>21938765169.75</v>
      </c>
      <c r="P5" t="s">
        <v>4109</v>
      </c>
    </row>
    <row r="6" spans="1:16" x14ac:dyDescent="0.25">
      <c r="A6" t="s">
        <v>902</v>
      </c>
      <c r="B6" t="s">
        <v>901</v>
      </c>
      <c r="C6" t="s">
        <v>902</v>
      </c>
      <c r="D6" t="s">
        <v>903</v>
      </c>
      <c r="E6" t="s">
        <v>444</v>
      </c>
      <c r="F6" t="s">
        <v>50</v>
      </c>
      <c r="G6" t="s">
        <v>32</v>
      </c>
      <c r="H6">
        <v>3</v>
      </c>
      <c r="I6" t="b">
        <v>1</v>
      </c>
      <c r="J6" t="s">
        <v>4112</v>
      </c>
      <c r="K6">
        <v>2</v>
      </c>
      <c r="L6" t="s">
        <v>4113</v>
      </c>
      <c r="M6">
        <v>6</v>
      </c>
      <c r="N6">
        <v>7</v>
      </c>
      <c r="O6">
        <v>20781857111.77</v>
      </c>
      <c r="P6" t="s">
        <v>4109</v>
      </c>
    </row>
    <row r="7" spans="1:16" x14ac:dyDescent="0.25">
      <c r="A7" t="s">
        <v>35</v>
      </c>
      <c r="B7" t="s">
        <v>34</v>
      </c>
      <c r="C7" t="s">
        <v>35</v>
      </c>
      <c r="D7" t="s">
        <v>36</v>
      </c>
      <c r="E7" t="s">
        <v>37</v>
      </c>
      <c r="F7" t="s">
        <v>39</v>
      </c>
      <c r="G7" t="s">
        <v>32</v>
      </c>
      <c r="H7">
        <v>3</v>
      </c>
      <c r="I7" t="b">
        <v>1</v>
      </c>
      <c r="J7" t="s">
        <v>34</v>
      </c>
      <c r="K7">
        <v>1</v>
      </c>
      <c r="L7" t="s">
        <v>4114</v>
      </c>
      <c r="M7">
        <v>5</v>
      </c>
      <c r="N7">
        <v>5</v>
      </c>
      <c r="O7">
        <v>20772022166.68</v>
      </c>
      <c r="P7" t="s">
        <v>4109</v>
      </c>
    </row>
    <row r="8" spans="1:16" x14ac:dyDescent="0.25">
      <c r="A8" t="s">
        <v>555</v>
      </c>
      <c r="B8" t="s">
        <v>554</v>
      </c>
      <c r="C8" t="s">
        <v>555</v>
      </c>
      <c r="D8" t="s">
        <v>556</v>
      </c>
      <c r="E8" t="s">
        <v>557</v>
      </c>
      <c r="F8" t="s">
        <v>31</v>
      </c>
      <c r="G8" t="s">
        <v>32</v>
      </c>
      <c r="H8">
        <v>3</v>
      </c>
      <c r="I8" t="b">
        <v>1</v>
      </c>
      <c r="J8" t="s">
        <v>554</v>
      </c>
      <c r="K8">
        <v>1</v>
      </c>
      <c r="L8" t="s">
        <v>4115</v>
      </c>
      <c r="M8">
        <v>6</v>
      </c>
      <c r="N8">
        <v>6</v>
      </c>
      <c r="O8">
        <v>18776362305.84</v>
      </c>
      <c r="P8" t="s">
        <v>4109</v>
      </c>
    </row>
    <row r="9" spans="1:16" x14ac:dyDescent="0.25">
      <c r="A9" t="s">
        <v>52</v>
      </c>
      <c r="B9" t="s">
        <v>51</v>
      </c>
      <c r="C9" t="s">
        <v>52</v>
      </c>
      <c r="D9" t="s">
        <v>53</v>
      </c>
      <c r="E9" t="s">
        <v>48</v>
      </c>
      <c r="F9" t="s">
        <v>50</v>
      </c>
      <c r="G9" t="s">
        <v>32</v>
      </c>
      <c r="H9">
        <v>3</v>
      </c>
      <c r="I9" t="b">
        <v>1</v>
      </c>
      <c r="J9" t="s">
        <v>4116</v>
      </c>
      <c r="K9">
        <v>2</v>
      </c>
      <c r="L9" t="s">
        <v>4117</v>
      </c>
      <c r="M9">
        <v>7</v>
      </c>
      <c r="N9">
        <v>7</v>
      </c>
      <c r="O9">
        <v>18671607381.77</v>
      </c>
      <c r="P9" t="s">
        <v>4109</v>
      </c>
    </row>
    <row r="10" spans="1:16" x14ac:dyDescent="0.25">
      <c r="A10" t="s">
        <v>438</v>
      </c>
      <c r="B10" t="s">
        <v>437</v>
      </c>
      <c r="C10" t="s">
        <v>438</v>
      </c>
      <c r="D10" t="s">
        <v>439</v>
      </c>
      <c r="E10" t="s">
        <v>422</v>
      </c>
      <c r="F10" t="s">
        <v>44</v>
      </c>
      <c r="G10" t="s">
        <v>32</v>
      </c>
      <c r="H10">
        <v>3</v>
      </c>
      <c r="I10" t="b">
        <v>1</v>
      </c>
      <c r="J10" t="s">
        <v>437</v>
      </c>
      <c r="K10">
        <v>1</v>
      </c>
      <c r="L10" t="s">
        <v>4117</v>
      </c>
      <c r="M10">
        <v>7</v>
      </c>
      <c r="N10">
        <v>7</v>
      </c>
      <c r="O10">
        <v>16125123379.58</v>
      </c>
      <c r="P10" t="s">
        <v>4109</v>
      </c>
    </row>
    <row r="11" spans="1:16" x14ac:dyDescent="0.25">
      <c r="A11" t="s">
        <v>875</v>
      </c>
      <c r="B11" t="s">
        <v>874</v>
      </c>
      <c r="C11" t="s">
        <v>875</v>
      </c>
      <c r="D11" t="s">
        <v>876</v>
      </c>
      <c r="E11" t="s">
        <v>877</v>
      </c>
      <c r="F11" t="s">
        <v>39</v>
      </c>
      <c r="G11" t="s">
        <v>32</v>
      </c>
      <c r="H11">
        <v>3</v>
      </c>
      <c r="I11" t="b">
        <v>1</v>
      </c>
      <c r="J11" t="s">
        <v>874</v>
      </c>
      <c r="K11">
        <v>1</v>
      </c>
      <c r="L11" t="s">
        <v>4114</v>
      </c>
      <c r="M11">
        <v>5</v>
      </c>
      <c r="N11">
        <v>5</v>
      </c>
      <c r="O11">
        <v>15996479888.84</v>
      </c>
      <c r="P11" t="s">
        <v>4109</v>
      </c>
    </row>
    <row r="12" spans="1:16" x14ac:dyDescent="0.25">
      <c r="A12" t="s">
        <v>458</v>
      </c>
      <c r="B12" t="s">
        <v>457</v>
      </c>
      <c r="C12" t="s">
        <v>458</v>
      </c>
      <c r="D12" t="s">
        <v>459</v>
      </c>
      <c r="E12" t="s">
        <v>456</v>
      </c>
      <c r="F12" t="s">
        <v>61</v>
      </c>
      <c r="G12" t="s">
        <v>32</v>
      </c>
      <c r="H12">
        <v>3</v>
      </c>
      <c r="I12" t="b">
        <v>1</v>
      </c>
      <c r="J12" t="s">
        <v>457</v>
      </c>
      <c r="K12">
        <v>1</v>
      </c>
      <c r="L12" t="s">
        <v>4118</v>
      </c>
      <c r="M12">
        <v>2</v>
      </c>
      <c r="N12">
        <v>2</v>
      </c>
      <c r="O12">
        <v>14876691119.77</v>
      </c>
      <c r="P12" t="s">
        <v>4109</v>
      </c>
    </row>
    <row r="13" spans="1:16" x14ac:dyDescent="0.25">
      <c r="A13" t="s">
        <v>515</v>
      </c>
      <c r="B13" t="s">
        <v>514</v>
      </c>
      <c r="C13" t="s">
        <v>515</v>
      </c>
      <c r="D13" t="s">
        <v>516</v>
      </c>
      <c r="E13" t="s">
        <v>517</v>
      </c>
      <c r="F13" t="s">
        <v>31</v>
      </c>
      <c r="G13" t="s">
        <v>32</v>
      </c>
      <c r="H13">
        <v>3</v>
      </c>
      <c r="I13" t="b">
        <v>1</v>
      </c>
      <c r="J13" t="s">
        <v>514</v>
      </c>
      <c r="K13">
        <v>1</v>
      </c>
      <c r="L13" t="s">
        <v>4119</v>
      </c>
      <c r="M13">
        <v>5</v>
      </c>
      <c r="N13">
        <v>5</v>
      </c>
      <c r="O13">
        <v>14540128512.83</v>
      </c>
      <c r="P13" t="s">
        <v>4109</v>
      </c>
    </row>
    <row r="14" spans="1:16" x14ac:dyDescent="0.25">
      <c r="A14" t="s">
        <v>1447</v>
      </c>
      <c r="B14" t="s">
        <v>1446</v>
      </c>
      <c r="C14" t="s">
        <v>1447</v>
      </c>
      <c r="D14" t="s">
        <v>1448</v>
      </c>
      <c r="E14" t="s">
        <v>1449</v>
      </c>
      <c r="F14" t="s">
        <v>50</v>
      </c>
      <c r="G14" t="s">
        <v>241</v>
      </c>
      <c r="H14">
        <v>3</v>
      </c>
      <c r="I14" t="b">
        <v>1</v>
      </c>
      <c r="J14" t="s">
        <v>1446</v>
      </c>
      <c r="K14">
        <v>1</v>
      </c>
      <c r="L14" t="s">
        <v>4110</v>
      </c>
      <c r="M14">
        <v>3</v>
      </c>
      <c r="N14">
        <v>3</v>
      </c>
      <c r="O14">
        <v>13536668106.74</v>
      </c>
      <c r="P14" t="s">
        <v>4109</v>
      </c>
    </row>
    <row r="15" spans="1:16" x14ac:dyDescent="0.25">
      <c r="A15" t="s">
        <v>1455</v>
      </c>
      <c r="B15" t="s">
        <v>1454</v>
      </c>
      <c r="C15" t="s">
        <v>1455</v>
      </c>
      <c r="D15" t="s">
        <v>1456</v>
      </c>
      <c r="E15" t="s">
        <v>1457</v>
      </c>
      <c r="F15" t="s">
        <v>81</v>
      </c>
      <c r="G15" t="s">
        <v>129</v>
      </c>
      <c r="H15">
        <v>3</v>
      </c>
      <c r="I15" t="b">
        <v>1</v>
      </c>
      <c r="J15" t="s">
        <v>1454</v>
      </c>
      <c r="K15">
        <v>1</v>
      </c>
      <c r="L15" t="s">
        <v>4111</v>
      </c>
      <c r="M15">
        <v>2</v>
      </c>
      <c r="N15">
        <v>2</v>
      </c>
      <c r="O15">
        <v>12993125127.43</v>
      </c>
      <c r="P15" t="s">
        <v>4109</v>
      </c>
    </row>
    <row r="16" spans="1:16" x14ac:dyDescent="0.25">
      <c r="A16" t="s">
        <v>1322</v>
      </c>
      <c r="B16" t="s">
        <v>1321</v>
      </c>
      <c r="C16" t="s">
        <v>1322</v>
      </c>
      <c r="D16" t="s">
        <v>1323</v>
      </c>
      <c r="E16" t="s">
        <v>1324</v>
      </c>
      <c r="F16" t="s">
        <v>50</v>
      </c>
      <c r="G16" t="s">
        <v>26</v>
      </c>
      <c r="H16">
        <v>3</v>
      </c>
      <c r="I16" t="b">
        <v>1</v>
      </c>
      <c r="J16" t="s">
        <v>1321</v>
      </c>
      <c r="K16">
        <v>1</v>
      </c>
      <c r="L16" t="s">
        <v>4110</v>
      </c>
      <c r="M16">
        <v>3</v>
      </c>
      <c r="N16">
        <v>3</v>
      </c>
      <c r="O16">
        <v>12985992445.610001</v>
      </c>
      <c r="P16" t="s">
        <v>4109</v>
      </c>
    </row>
    <row r="17" spans="1:16" x14ac:dyDescent="0.25">
      <c r="A17" t="s">
        <v>442</v>
      </c>
      <c r="B17" t="s">
        <v>441</v>
      </c>
      <c r="C17" t="s">
        <v>442</v>
      </c>
      <c r="D17" t="s">
        <v>443</v>
      </c>
      <c r="E17" t="s">
        <v>444</v>
      </c>
      <c r="F17" t="s">
        <v>50</v>
      </c>
      <c r="G17" t="s">
        <v>32</v>
      </c>
      <c r="H17">
        <v>3</v>
      </c>
      <c r="I17" t="b">
        <v>1</v>
      </c>
      <c r="J17" t="s">
        <v>441</v>
      </c>
      <c r="K17">
        <v>1</v>
      </c>
      <c r="L17" t="s">
        <v>4120</v>
      </c>
      <c r="M17">
        <v>6</v>
      </c>
      <c r="N17">
        <v>6</v>
      </c>
      <c r="O17">
        <v>12288730167.459999</v>
      </c>
      <c r="P17" t="s">
        <v>4109</v>
      </c>
    </row>
    <row r="18" spans="1:16" x14ac:dyDescent="0.25">
      <c r="A18" t="s">
        <v>1311</v>
      </c>
      <c r="B18" t="s">
        <v>1310</v>
      </c>
      <c r="C18" t="s">
        <v>1311</v>
      </c>
      <c r="D18" t="s">
        <v>1312</v>
      </c>
      <c r="E18" t="s">
        <v>1313</v>
      </c>
      <c r="F18" t="s">
        <v>50</v>
      </c>
      <c r="G18" t="s">
        <v>26</v>
      </c>
      <c r="H18">
        <v>3</v>
      </c>
      <c r="I18" t="b">
        <v>1</v>
      </c>
      <c r="J18" t="s">
        <v>1310</v>
      </c>
      <c r="K18">
        <v>1</v>
      </c>
      <c r="L18" t="s">
        <v>4110</v>
      </c>
      <c r="M18">
        <v>3</v>
      </c>
      <c r="N18">
        <v>3</v>
      </c>
      <c r="O18">
        <v>10517475553.360001</v>
      </c>
      <c r="P18" t="s">
        <v>4109</v>
      </c>
    </row>
    <row r="19" spans="1:16" x14ac:dyDescent="0.25">
      <c r="A19" t="s">
        <v>1422</v>
      </c>
      <c r="B19" t="s">
        <v>1421</v>
      </c>
      <c r="C19" t="s">
        <v>1422</v>
      </c>
      <c r="D19" t="s">
        <v>1423</v>
      </c>
      <c r="E19" t="s">
        <v>1424</v>
      </c>
      <c r="F19" t="s">
        <v>50</v>
      </c>
      <c r="G19" t="s">
        <v>241</v>
      </c>
      <c r="H19">
        <v>3</v>
      </c>
      <c r="I19" t="b">
        <v>1</v>
      </c>
      <c r="J19" t="s">
        <v>1421</v>
      </c>
      <c r="K19">
        <v>1</v>
      </c>
      <c r="L19" t="s">
        <v>4108</v>
      </c>
      <c r="M19">
        <v>2</v>
      </c>
      <c r="N19">
        <v>2</v>
      </c>
      <c r="O19">
        <v>10429359908.620001</v>
      </c>
      <c r="P19" t="s">
        <v>4109</v>
      </c>
    </row>
    <row r="20" spans="1:16" x14ac:dyDescent="0.25">
      <c r="A20" t="s">
        <v>506</v>
      </c>
      <c r="B20" t="s">
        <v>505</v>
      </c>
      <c r="C20" t="s">
        <v>506</v>
      </c>
      <c r="D20" t="s">
        <v>507</v>
      </c>
      <c r="E20" t="s">
        <v>502</v>
      </c>
      <c r="F20" t="s">
        <v>31</v>
      </c>
      <c r="G20" t="s">
        <v>32</v>
      </c>
      <c r="H20">
        <v>3</v>
      </c>
      <c r="I20" t="b">
        <v>1</v>
      </c>
      <c r="J20" t="s">
        <v>4121</v>
      </c>
      <c r="K20">
        <v>2</v>
      </c>
      <c r="L20" t="s">
        <v>4115</v>
      </c>
      <c r="M20">
        <v>6</v>
      </c>
      <c r="N20">
        <v>6</v>
      </c>
      <c r="O20">
        <v>10101127046.450001</v>
      </c>
      <c r="P20" t="s">
        <v>4109</v>
      </c>
    </row>
    <row r="21" spans="1:16" x14ac:dyDescent="0.25">
      <c r="A21" t="s">
        <v>402</v>
      </c>
      <c r="B21" t="s">
        <v>401</v>
      </c>
      <c r="C21" t="s">
        <v>402</v>
      </c>
      <c r="D21" t="s">
        <v>403</v>
      </c>
      <c r="E21" t="s">
        <v>404</v>
      </c>
      <c r="F21" t="s">
        <v>44</v>
      </c>
      <c r="G21" t="s">
        <v>32</v>
      </c>
      <c r="H21">
        <v>3</v>
      </c>
      <c r="I21" t="b">
        <v>1</v>
      </c>
      <c r="J21" t="s">
        <v>401</v>
      </c>
      <c r="K21">
        <v>1</v>
      </c>
      <c r="L21" t="s">
        <v>4120</v>
      </c>
      <c r="M21">
        <v>6</v>
      </c>
      <c r="N21">
        <v>6</v>
      </c>
      <c r="O21">
        <v>9761069316.8499985</v>
      </c>
      <c r="P21" t="s">
        <v>4109</v>
      </c>
    </row>
    <row r="22" spans="1:16" x14ac:dyDescent="0.25">
      <c r="A22" t="s">
        <v>91</v>
      </c>
      <c r="B22" t="s">
        <v>90</v>
      </c>
      <c r="C22" t="s">
        <v>91</v>
      </c>
      <c r="D22" t="s">
        <v>92</v>
      </c>
      <c r="E22" t="s">
        <v>93</v>
      </c>
      <c r="F22" t="s">
        <v>50</v>
      </c>
      <c r="G22" t="s">
        <v>32</v>
      </c>
      <c r="H22">
        <v>3</v>
      </c>
      <c r="I22" t="b">
        <v>1</v>
      </c>
      <c r="J22" t="s">
        <v>4122</v>
      </c>
      <c r="K22">
        <v>2</v>
      </c>
      <c r="L22" t="s">
        <v>4123</v>
      </c>
      <c r="M22">
        <v>5</v>
      </c>
      <c r="N22">
        <v>5</v>
      </c>
      <c r="O22">
        <v>9614539918.5199986</v>
      </c>
      <c r="P22" t="s">
        <v>4109</v>
      </c>
    </row>
    <row r="23" spans="1:16" x14ac:dyDescent="0.25">
      <c r="A23" t="s">
        <v>500</v>
      </c>
      <c r="B23" t="s">
        <v>499</v>
      </c>
      <c r="C23" t="s">
        <v>500</v>
      </c>
      <c r="D23" t="s">
        <v>501</v>
      </c>
      <c r="E23" t="s">
        <v>502</v>
      </c>
      <c r="F23" t="s">
        <v>31</v>
      </c>
      <c r="G23" t="s">
        <v>32</v>
      </c>
      <c r="H23">
        <v>3</v>
      </c>
      <c r="I23" t="b">
        <v>1</v>
      </c>
      <c r="J23" t="s">
        <v>4124</v>
      </c>
      <c r="K23">
        <v>2</v>
      </c>
      <c r="L23" t="s">
        <v>4115</v>
      </c>
      <c r="M23">
        <v>6</v>
      </c>
      <c r="N23">
        <v>6</v>
      </c>
      <c r="O23">
        <v>8984467891.5900002</v>
      </c>
      <c r="P23" t="s">
        <v>4109</v>
      </c>
    </row>
    <row r="24" spans="1:16" x14ac:dyDescent="0.25">
      <c r="A24" t="s">
        <v>398</v>
      </c>
      <c r="B24" t="s">
        <v>397</v>
      </c>
      <c r="C24" t="s">
        <v>398</v>
      </c>
      <c r="D24" t="s">
        <v>399</v>
      </c>
      <c r="E24" t="s">
        <v>400</v>
      </c>
      <c r="F24" t="s">
        <v>81</v>
      </c>
      <c r="G24" t="s">
        <v>32</v>
      </c>
      <c r="H24">
        <v>3</v>
      </c>
      <c r="I24" t="b">
        <v>1</v>
      </c>
      <c r="J24" t="s">
        <v>397</v>
      </c>
      <c r="K24">
        <v>1</v>
      </c>
      <c r="L24" t="s">
        <v>4120</v>
      </c>
      <c r="M24">
        <v>6</v>
      </c>
      <c r="N24">
        <v>6</v>
      </c>
      <c r="O24">
        <v>8394932440.75</v>
      </c>
      <c r="P24" t="s">
        <v>4109</v>
      </c>
    </row>
    <row r="25" spans="1:16" x14ac:dyDescent="0.25">
      <c r="A25" t="s">
        <v>533</v>
      </c>
      <c r="B25" t="s">
        <v>532</v>
      </c>
      <c r="C25" t="s">
        <v>533</v>
      </c>
      <c r="D25" t="s">
        <v>534</v>
      </c>
      <c r="E25" t="s">
        <v>531</v>
      </c>
      <c r="F25" t="s">
        <v>81</v>
      </c>
      <c r="G25" t="s">
        <v>32</v>
      </c>
      <c r="H25">
        <v>3</v>
      </c>
      <c r="I25" t="b">
        <v>1</v>
      </c>
      <c r="J25" t="s">
        <v>532</v>
      </c>
      <c r="K25">
        <v>1</v>
      </c>
      <c r="L25" t="s">
        <v>4115</v>
      </c>
      <c r="M25">
        <v>6</v>
      </c>
      <c r="N25">
        <v>6</v>
      </c>
      <c r="O25">
        <v>8213835349.4900007</v>
      </c>
      <c r="P25" t="s">
        <v>4109</v>
      </c>
    </row>
    <row r="26" spans="1:16" x14ac:dyDescent="0.25">
      <c r="A26" t="s">
        <v>1426</v>
      </c>
      <c r="B26" t="s">
        <v>1425</v>
      </c>
      <c r="C26" t="s">
        <v>1426</v>
      </c>
      <c r="D26" t="s">
        <v>1427</v>
      </c>
      <c r="E26" t="s">
        <v>1428</v>
      </c>
      <c r="F26" t="s">
        <v>50</v>
      </c>
      <c r="G26" t="s">
        <v>241</v>
      </c>
      <c r="H26">
        <v>3</v>
      </c>
      <c r="I26" t="b">
        <v>1</v>
      </c>
      <c r="J26" t="s">
        <v>1425</v>
      </c>
      <c r="K26">
        <v>1</v>
      </c>
      <c r="L26" t="s">
        <v>4111</v>
      </c>
      <c r="M26">
        <v>2</v>
      </c>
      <c r="N26">
        <v>2</v>
      </c>
      <c r="O26">
        <v>7518991775.7700005</v>
      </c>
      <c r="P26" t="s">
        <v>4109</v>
      </c>
    </row>
    <row r="27" spans="1:16" x14ac:dyDescent="0.25">
      <c r="A27" t="s">
        <v>393</v>
      </c>
      <c r="B27" t="s">
        <v>392</v>
      </c>
      <c r="C27" t="s">
        <v>393</v>
      </c>
      <c r="D27" t="s">
        <v>394</v>
      </c>
      <c r="E27" t="s">
        <v>300</v>
      </c>
      <c r="F27" t="s">
        <v>44</v>
      </c>
      <c r="G27" t="s">
        <v>32</v>
      </c>
      <c r="H27">
        <v>3</v>
      </c>
      <c r="I27" t="b">
        <v>1</v>
      </c>
      <c r="J27" t="s">
        <v>4125</v>
      </c>
      <c r="K27">
        <v>2</v>
      </c>
      <c r="L27" t="s">
        <v>4117</v>
      </c>
      <c r="M27">
        <v>7</v>
      </c>
      <c r="N27">
        <v>7</v>
      </c>
      <c r="O27">
        <v>7497444365.4400005</v>
      </c>
      <c r="P27" t="s">
        <v>4109</v>
      </c>
    </row>
    <row r="28" spans="1:16" x14ac:dyDescent="0.25">
      <c r="A28" t="s">
        <v>97</v>
      </c>
      <c r="B28" t="s">
        <v>96</v>
      </c>
      <c r="C28" t="s">
        <v>97</v>
      </c>
      <c r="D28" t="s">
        <v>98</v>
      </c>
      <c r="E28" t="s">
        <v>93</v>
      </c>
      <c r="F28" t="s">
        <v>50</v>
      </c>
      <c r="G28" t="s">
        <v>32</v>
      </c>
      <c r="H28">
        <v>3</v>
      </c>
      <c r="I28" t="b">
        <v>1</v>
      </c>
      <c r="J28" t="s">
        <v>4126</v>
      </c>
      <c r="K28">
        <v>2</v>
      </c>
      <c r="L28" t="s">
        <v>4127</v>
      </c>
      <c r="M28">
        <v>6</v>
      </c>
      <c r="N28">
        <v>6</v>
      </c>
      <c r="O28">
        <v>6906590660.5900002</v>
      </c>
      <c r="P28" t="s">
        <v>4109</v>
      </c>
    </row>
    <row r="29" spans="1:16" x14ac:dyDescent="0.25">
      <c r="A29" t="s">
        <v>1106</v>
      </c>
      <c r="B29" t="s">
        <v>1105</v>
      </c>
      <c r="C29" t="s">
        <v>1106</v>
      </c>
      <c r="D29" t="s">
        <v>1107</v>
      </c>
      <c r="E29" t="s">
        <v>1108</v>
      </c>
      <c r="F29" t="s">
        <v>50</v>
      </c>
      <c r="G29" t="s">
        <v>32</v>
      </c>
      <c r="H29">
        <v>3</v>
      </c>
      <c r="I29" t="b">
        <v>1</v>
      </c>
      <c r="J29" t="s">
        <v>1105</v>
      </c>
      <c r="K29">
        <v>1</v>
      </c>
      <c r="L29" t="s">
        <v>4128</v>
      </c>
      <c r="M29">
        <v>5</v>
      </c>
      <c r="N29">
        <v>5</v>
      </c>
      <c r="O29">
        <v>6776128435.5099993</v>
      </c>
      <c r="P29" t="s">
        <v>4109</v>
      </c>
    </row>
    <row r="30" spans="1:16" x14ac:dyDescent="0.25">
      <c r="A30" t="s">
        <v>454</v>
      </c>
      <c r="B30" t="s">
        <v>453</v>
      </c>
      <c r="C30" t="s">
        <v>454</v>
      </c>
      <c r="D30" t="s">
        <v>455</v>
      </c>
      <c r="E30" t="s">
        <v>456</v>
      </c>
      <c r="F30" t="s">
        <v>61</v>
      </c>
      <c r="G30" t="s">
        <v>331</v>
      </c>
      <c r="H30">
        <v>3</v>
      </c>
      <c r="I30" t="b">
        <v>1</v>
      </c>
      <c r="J30" t="s">
        <v>453</v>
      </c>
      <c r="K30">
        <v>1</v>
      </c>
      <c r="L30" t="s">
        <v>4111</v>
      </c>
      <c r="M30">
        <v>2</v>
      </c>
      <c r="N30">
        <v>2</v>
      </c>
      <c r="O30">
        <v>6765624068.2700005</v>
      </c>
      <c r="P30" t="s">
        <v>4109</v>
      </c>
    </row>
    <row r="31" spans="1:16" x14ac:dyDescent="0.25">
      <c r="A31" t="s">
        <v>1004</v>
      </c>
      <c r="B31" t="s">
        <v>2299</v>
      </c>
      <c r="C31" t="s">
        <v>1007</v>
      </c>
      <c r="D31" t="s">
        <v>1006</v>
      </c>
      <c r="E31" t="s">
        <v>502</v>
      </c>
      <c r="F31" t="s">
        <v>31</v>
      </c>
      <c r="G31" t="s">
        <v>32</v>
      </c>
      <c r="H31">
        <v>3</v>
      </c>
      <c r="I31" t="b">
        <v>1</v>
      </c>
      <c r="J31" t="s">
        <v>4129</v>
      </c>
      <c r="K31">
        <v>2</v>
      </c>
      <c r="L31" t="s">
        <v>4130</v>
      </c>
      <c r="M31">
        <v>5</v>
      </c>
      <c r="N31">
        <v>5</v>
      </c>
      <c r="O31">
        <v>6738812892.9499998</v>
      </c>
      <c r="P31" t="s">
        <v>4109</v>
      </c>
    </row>
    <row r="32" spans="1:16" x14ac:dyDescent="0.25">
      <c r="A32" t="s">
        <v>76</v>
      </c>
      <c r="B32" t="s">
        <v>75</v>
      </c>
      <c r="C32" t="s">
        <v>76</v>
      </c>
      <c r="D32" t="s">
        <v>77</v>
      </c>
      <c r="E32" t="s">
        <v>78</v>
      </c>
      <c r="F32" t="s">
        <v>81</v>
      </c>
      <c r="G32" t="s">
        <v>32</v>
      </c>
      <c r="H32">
        <v>3</v>
      </c>
      <c r="I32" t="b">
        <v>1</v>
      </c>
      <c r="J32" t="s">
        <v>4131</v>
      </c>
      <c r="K32">
        <v>2</v>
      </c>
      <c r="L32" t="s">
        <v>4115</v>
      </c>
      <c r="M32">
        <v>6</v>
      </c>
      <c r="N32">
        <v>6</v>
      </c>
      <c r="O32">
        <v>6152367886.6899996</v>
      </c>
      <c r="P32" t="s">
        <v>4109</v>
      </c>
    </row>
    <row r="33" spans="1:16" x14ac:dyDescent="0.25">
      <c r="A33" t="s">
        <v>1319</v>
      </c>
      <c r="B33" t="s">
        <v>1318</v>
      </c>
      <c r="C33" t="s">
        <v>1319</v>
      </c>
      <c r="D33" t="s">
        <v>1320</v>
      </c>
      <c r="E33" t="s">
        <v>1313</v>
      </c>
      <c r="F33" t="s">
        <v>50</v>
      </c>
      <c r="G33" t="s">
        <v>26</v>
      </c>
      <c r="H33">
        <v>3</v>
      </c>
      <c r="I33" t="b">
        <v>1</v>
      </c>
      <c r="J33" t="s">
        <v>1318</v>
      </c>
      <c r="K33">
        <v>1</v>
      </c>
      <c r="L33" t="s">
        <v>4110</v>
      </c>
      <c r="M33">
        <v>3</v>
      </c>
      <c r="N33">
        <v>3</v>
      </c>
      <c r="O33">
        <v>6145359401.8200006</v>
      </c>
      <c r="P33" t="s">
        <v>4109</v>
      </c>
    </row>
    <row r="34" spans="1:16" x14ac:dyDescent="0.25">
      <c r="A34" t="s">
        <v>2065</v>
      </c>
      <c r="B34" t="s">
        <v>2064</v>
      </c>
      <c r="C34" t="s">
        <v>2065</v>
      </c>
      <c r="D34" t="s">
        <v>2066</v>
      </c>
      <c r="E34" t="s">
        <v>104</v>
      </c>
      <c r="F34" t="s">
        <v>50</v>
      </c>
      <c r="G34" t="s">
        <v>26</v>
      </c>
      <c r="H34">
        <v>3</v>
      </c>
      <c r="I34" t="b">
        <v>1</v>
      </c>
      <c r="J34" t="s">
        <v>2064</v>
      </c>
      <c r="K34">
        <v>1</v>
      </c>
      <c r="L34" t="s">
        <v>1781</v>
      </c>
      <c r="M34">
        <v>1</v>
      </c>
      <c r="N34">
        <v>1</v>
      </c>
      <c r="O34">
        <v>5829710236.8700008</v>
      </c>
      <c r="P34" t="s">
        <v>4109</v>
      </c>
    </row>
    <row r="35" spans="1:16" x14ac:dyDescent="0.25">
      <c r="A35" t="s">
        <v>243</v>
      </c>
      <c r="B35" t="s">
        <v>242</v>
      </c>
      <c r="C35" t="s">
        <v>243</v>
      </c>
      <c r="D35" t="s">
        <v>244</v>
      </c>
      <c r="E35" t="s">
        <v>245</v>
      </c>
      <c r="F35" t="s">
        <v>44</v>
      </c>
      <c r="G35" t="s">
        <v>180</v>
      </c>
      <c r="H35">
        <v>3</v>
      </c>
      <c r="I35" t="b">
        <v>1</v>
      </c>
      <c r="J35" t="s">
        <v>242</v>
      </c>
      <c r="K35">
        <v>1</v>
      </c>
      <c r="L35" t="s">
        <v>4132</v>
      </c>
      <c r="M35">
        <v>4</v>
      </c>
      <c r="N35">
        <v>4</v>
      </c>
      <c r="O35">
        <v>5758505098.1300011</v>
      </c>
      <c r="P35" t="s">
        <v>4109</v>
      </c>
    </row>
    <row r="36" spans="1:16" x14ac:dyDescent="0.25">
      <c r="A36" t="s">
        <v>57</v>
      </c>
      <c r="B36" t="s">
        <v>56</v>
      </c>
      <c r="C36" t="s">
        <v>57</v>
      </c>
      <c r="D36" t="s">
        <v>58</v>
      </c>
      <c r="E36" t="s">
        <v>59</v>
      </c>
      <c r="F36" t="s">
        <v>61</v>
      </c>
      <c r="G36" t="s">
        <v>32</v>
      </c>
      <c r="H36">
        <v>3</v>
      </c>
      <c r="I36" t="b">
        <v>1</v>
      </c>
      <c r="J36" t="s">
        <v>56</v>
      </c>
      <c r="K36">
        <v>1</v>
      </c>
      <c r="L36" t="s">
        <v>4133</v>
      </c>
      <c r="M36">
        <v>2</v>
      </c>
      <c r="N36">
        <v>2</v>
      </c>
      <c r="O36">
        <v>5500174386.8900003</v>
      </c>
      <c r="P36" t="s">
        <v>4109</v>
      </c>
    </row>
    <row r="37" spans="1:16" x14ac:dyDescent="0.25">
      <c r="A37" t="s">
        <v>46</v>
      </c>
      <c r="B37" t="s">
        <v>45</v>
      </c>
      <c r="C37" t="s">
        <v>46</v>
      </c>
      <c r="D37" t="s">
        <v>47</v>
      </c>
      <c r="E37" t="s">
        <v>48</v>
      </c>
      <c r="F37" t="s">
        <v>50</v>
      </c>
      <c r="G37" t="s">
        <v>32</v>
      </c>
      <c r="H37">
        <v>3</v>
      </c>
      <c r="I37" t="b">
        <v>1</v>
      </c>
      <c r="J37" t="s">
        <v>45</v>
      </c>
      <c r="K37">
        <v>1</v>
      </c>
      <c r="L37" t="s">
        <v>4114</v>
      </c>
      <c r="M37">
        <v>5</v>
      </c>
      <c r="N37">
        <v>5</v>
      </c>
      <c r="O37">
        <v>5479572019.0500002</v>
      </c>
      <c r="P37" t="s">
        <v>4109</v>
      </c>
    </row>
    <row r="38" spans="1:16" x14ac:dyDescent="0.25">
      <c r="A38" t="s">
        <v>1406</v>
      </c>
      <c r="B38" t="s">
        <v>1405</v>
      </c>
      <c r="C38" t="s">
        <v>1406</v>
      </c>
      <c r="D38" t="s">
        <v>1407</v>
      </c>
      <c r="E38" t="s">
        <v>1408</v>
      </c>
      <c r="F38" t="s">
        <v>50</v>
      </c>
      <c r="G38" t="s">
        <v>241</v>
      </c>
      <c r="H38">
        <v>3</v>
      </c>
      <c r="I38" t="b">
        <v>1</v>
      </c>
      <c r="J38" t="s">
        <v>1405</v>
      </c>
      <c r="K38">
        <v>1</v>
      </c>
      <c r="L38" t="s">
        <v>4110</v>
      </c>
      <c r="M38">
        <v>3</v>
      </c>
      <c r="N38">
        <v>3</v>
      </c>
      <c r="O38">
        <v>5434046482.0599995</v>
      </c>
      <c r="P38" t="s">
        <v>4109</v>
      </c>
    </row>
    <row r="39" spans="1:16" x14ac:dyDescent="0.25">
      <c r="A39" t="s">
        <v>2061</v>
      </c>
      <c r="B39" t="s">
        <v>2060</v>
      </c>
      <c r="C39" t="s">
        <v>2061</v>
      </c>
      <c r="D39" t="s">
        <v>2062</v>
      </c>
      <c r="E39" t="s">
        <v>404</v>
      </c>
      <c r="F39" t="s">
        <v>44</v>
      </c>
      <c r="G39" t="s">
        <v>32</v>
      </c>
      <c r="H39">
        <v>3</v>
      </c>
      <c r="I39" t="b">
        <v>1</v>
      </c>
      <c r="J39" t="s">
        <v>2060</v>
      </c>
      <c r="K39">
        <v>1</v>
      </c>
      <c r="L39" t="s">
        <v>1781</v>
      </c>
      <c r="M39">
        <v>1</v>
      </c>
      <c r="N39">
        <v>1</v>
      </c>
      <c r="O39">
        <v>5349020383.6399994</v>
      </c>
      <c r="P39" t="s">
        <v>4109</v>
      </c>
    </row>
    <row r="40" spans="1:16" x14ac:dyDescent="0.25">
      <c r="A40" t="s">
        <v>529</v>
      </c>
      <c r="B40" t="s">
        <v>528</v>
      </c>
      <c r="C40" t="s">
        <v>529</v>
      </c>
      <c r="D40" t="s">
        <v>530</v>
      </c>
      <c r="E40" t="s">
        <v>531</v>
      </c>
      <c r="F40" t="s">
        <v>81</v>
      </c>
      <c r="G40" t="s">
        <v>32</v>
      </c>
      <c r="H40">
        <v>3</v>
      </c>
      <c r="I40" t="b">
        <v>1</v>
      </c>
      <c r="J40" t="s">
        <v>528</v>
      </c>
      <c r="K40">
        <v>1</v>
      </c>
      <c r="L40" t="s">
        <v>4115</v>
      </c>
      <c r="M40">
        <v>6</v>
      </c>
      <c r="N40">
        <v>6</v>
      </c>
      <c r="O40">
        <v>5186604963.8999987</v>
      </c>
      <c r="P40" t="s">
        <v>4109</v>
      </c>
    </row>
    <row r="41" spans="1:16" x14ac:dyDescent="0.25">
      <c r="A41" t="s">
        <v>1808</v>
      </c>
      <c r="B41" t="s">
        <v>1807</v>
      </c>
      <c r="C41" t="s">
        <v>1808</v>
      </c>
      <c r="D41" t="s">
        <v>1809</v>
      </c>
      <c r="E41" t="s">
        <v>1810</v>
      </c>
      <c r="F41" t="s">
        <v>50</v>
      </c>
      <c r="G41" t="s">
        <v>26</v>
      </c>
      <c r="H41">
        <v>3</v>
      </c>
      <c r="I41" t="b">
        <v>1</v>
      </c>
      <c r="J41" t="s">
        <v>1807</v>
      </c>
      <c r="K41">
        <v>1</v>
      </c>
      <c r="L41" t="s">
        <v>1781</v>
      </c>
      <c r="M41">
        <v>1</v>
      </c>
      <c r="N41">
        <v>1</v>
      </c>
      <c r="O41">
        <v>5013430230.0299997</v>
      </c>
      <c r="P41" t="s">
        <v>4109</v>
      </c>
    </row>
    <row r="42" spans="1:16" x14ac:dyDescent="0.25">
      <c r="A42" t="s">
        <v>1900</v>
      </c>
      <c r="B42" t="s">
        <v>1899</v>
      </c>
      <c r="C42" t="s">
        <v>1900</v>
      </c>
      <c r="D42" t="s">
        <v>1901</v>
      </c>
      <c r="E42" t="s">
        <v>1902</v>
      </c>
      <c r="F42" t="s">
        <v>50</v>
      </c>
      <c r="G42" t="s">
        <v>241</v>
      </c>
      <c r="H42">
        <v>3</v>
      </c>
      <c r="I42" t="b">
        <v>1</v>
      </c>
      <c r="J42" t="s">
        <v>1899</v>
      </c>
      <c r="K42">
        <v>1</v>
      </c>
      <c r="L42" t="s">
        <v>1781</v>
      </c>
      <c r="M42">
        <v>1</v>
      </c>
      <c r="N42">
        <v>1</v>
      </c>
      <c r="O42">
        <v>4914065249.0199986</v>
      </c>
      <c r="P42" t="s">
        <v>4109</v>
      </c>
    </row>
    <row r="43" spans="1:16" x14ac:dyDescent="0.25">
      <c r="A43" t="s">
        <v>360</v>
      </c>
      <c r="B43" t="s">
        <v>359</v>
      </c>
      <c r="C43" t="s">
        <v>360</v>
      </c>
      <c r="D43" t="s">
        <v>361</v>
      </c>
      <c r="E43" t="s">
        <v>362</v>
      </c>
      <c r="F43" t="s">
        <v>44</v>
      </c>
      <c r="G43" t="s">
        <v>32</v>
      </c>
      <c r="H43">
        <v>3</v>
      </c>
      <c r="I43" t="b">
        <v>1</v>
      </c>
      <c r="J43" t="s">
        <v>4134</v>
      </c>
      <c r="K43">
        <v>2</v>
      </c>
      <c r="L43" t="s">
        <v>4115</v>
      </c>
      <c r="M43">
        <v>6</v>
      </c>
      <c r="N43">
        <v>6</v>
      </c>
      <c r="O43">
        <v>4828316010.5699997</v>
      </c>
      <c r="P43" t="s">
        <v>4109</v>
      </c>
    </row>
    <row r="44" spans="1:16" x14ac:dyDescent="0.25">
      <c r="A44" t="s">
        <v>799</v>
      </c>
      <c r="B44" t="s">
        <v>798</v>
      </c>
      <c r="C44" t="s">
        <v>799</v>
      </c>
      <c r="D44" t="s">
        <v>800</v>
      </c>
      <c r="E44" t="s">
        <v>362</v>
      </c>
      <c r="F44" t="s">
        <v>44</v>
      </c>
      <c r="G44" t="s">
        <v>32</v>
      </c>
      <c r="H44">
        <v>3</v>
      </c>
      <c r="I44" t="b">
        <v>1</v>
      </c>
      <c r="J44" t="s">
        <v>4135</v>
      </c>
      <c r="K44">
        <v>2</v>
      </c>
      <c r="L44" t="s">
        <v>4123</v>
      </c>
      <c r="M44">
        <v>5</v>
      </c>
      <c r="N44">
        <v>5</v>
      </c>
      <c r="O44">
        <v>4822160248.5599995</v>
      </c>
      <c r="P44" t="s">
        <v>4109</v>
      </c>
    </row>
    <row r="45" spans="1:16" x14ac:dyDescent="0.25">
      <c r="A45" t="s">
        <v>63</v>
      </c>
      <c r="B45" t="s">
        <v>62</v>
      </c>
      <c r="C45" t="s">
        <v>63</v>
      </c>
      <c r="D45" t="s">
        <v>64</v>
      </c>
      <c r="E45" t="s">
        <v>65</v>
      </c>
      <c r="F45" t="s">
        <v>50</v>
      </c>
      <c r="G45" t="s">
        <v>32</v>
      </c>
      <c r="H45">
        <v>3</v>
      </c>
      <c r="I45" t="b">
        <v>1</v>
      </c>
      <c r="J45" t="s">
        <v>4136</v>
      </c>
      <c r="K45">
        <v>2</v>
      </c>
      <c r="L45" t="s">
        <v>4115</v>
      </c>
      <c r="M45">
        <v>6</v>
      </c>
      <c r="N45">
        <v>6</v>
      </c>
      <c r="O45">
        <v>4710036468.329998</v>
      </c>
      <c r="P45" t="s">
        <v>4109</v>
      </c>
    </row>
    <row r="46" spans="1:16" x14ac:dyDescent="0.25">
      <c r="A46" t="s">
        <v>736</v>
      </c>
      <c r="B46" t="s">
        <v>735</v>
      </c>
      <c r="C46" t="s">
        <v>736</v>
      </c>
      <c r="D46" t="s">
        <v>737</v>
      </c>
      <c r="E46" t="s">
        <v>730</v>
      </c>
      <c r="F46" t="s">
        <v>39</v>
      </c>
      <c r="G46" t="s">
        <v>32</v>
      </c>
      <c r="H46">
        <v>3</v>
      </c>
      <c r="I46" t="b">
        <v>1</v>
      </c>
      <c r="J46" t="s">
        <v>4137</v>
      </c>
      <c r="K46">
        <v>2</v>
      </c>
      <c r="L46" t="s">
        <v>4123</v>
      </c>
      <c r="M46">
        <v>5</v>
      </c>
      <c r="N46">
        <v>6</v>
      </c>
      <c r="O46">
        <v>4709914167.7400007</v>
      </c>
      <c r="P46" t="s">
        <v>4109</v>
      </c>
    </row>
    <row r="47" spans="1:16" x14ac:dyDescent="0.25">
      <c r="A47" t="s">
        <v>415</v>
      </c>
      <c r="B47" t="s">
        <v>414</v>
      </c>
      <c r="C47" t="s">
        <v>415</v>
      </c>
      <c r="D47" t="s">
        <v>416</v>
      </c>
      <c r="E47" t="s">
        <v>404</v>
      </c>
      <c r="F47" t="s">
        <v>44</v>
      </c>
      <c r="G47" t="s">
        <v>32</v>
      </c>
      <c r="H47">
        <v>3</v>
      </c>
      <c r="I47" t="b">
        <v>1</v>
      </c>
      <c r="J47" t="s">
        <v>4138</v>
      </c>
      <c r="K47">
        <v>2</v>
      </c>
      <c r="L47" t="s">
        <v>4139</v>
      </c>
      <c r="M47">
        <v>6</v>
      </c>
      <c r="N47">
        <v>6</v>
      </c>
      <c r="O47">
        <v>4701413064.0600004</v>
      </c>
      <c r="P47" t="s">
        <v>4109</v>
      </c>
    </row>
    <row r="48" spans="1:16" x14ac:dyDescent="0.25">
      <c r="A48" t="s">
        <v>1437</v>
      </c>
      <c r="B48" t="s">
        <v>1436</v>
      </c>
      <c r="C48" t="s">
        <v>1437</v>
      </c>
      <c r="D48" t="s">
        <v>1438</v>
      </c>
      <c r="E48" t="s">
        <v>48</v>
      </c>
      <c r="F48" t="s">
        <v>50</v>
      </c>
      <c r="G48" t="s">
        <v>241</v>
      </c>
      <c r="H48">
        <v>3</v>
      </c>
      <c r="I48" t="b">
        <v>1</v>
      </c>
      <c r="J48" t="s">
        <v>1436</v>
      </c>
      <c r="K48">
        <v>1</v>
      </c>
      <c r="L48" t="s">
        <v>25</v>
      </c>
      <c r="M48">
        <v>1</v>
      </c>
      <c r="N48">
        <v>1</v>
      </c>
      <c r="O48">
        <v>4575375367.1000013</v>
      </c>
      <c r="P48" t="s">
        <v>4109</v>
      </c>
    </row>
    <row r="49" spans="1:16" x14ac:dyDescent="0.25">
      <c r="A49" t="s">
        <v>2077</v>
      </c>
      <c r="B49" t="s">
        <v>2076</v>
      </c>
      <c r="C49" t="s">
        <v>2077</v>
      </c>
      <c r="D49" t="s">
        <v>2078</v>
      </c>
      <c r="E49" t="s">
        <v>104</v>
      </c>
      <c r="F49" t="s">
        <v>50</v>
      </c>
      <c r="G49" t="s">
        <v>26</v>
      </c>
      <c r="H49">
        <v>3</v>
      </c>
      <c r="I49" t="b">
        <v>1</v>
      </c>
      <c r="J49" t="s">
        <v>2076</v>
      </c>
      <c r="K49">
        <v>1</v>
      </c>
      <c r="L49" t="s">
        <v>1781</v>
      </c>
      <c r="M49">
        <v>1</v>
      </c>
      <c r="N49">
        <v>1</v>
      </c>
      <c r="O49">
        <v>4513533125.3599997</v>
      </c>
      <c r="P49" t="s">
        <v>4109</v>
      </c>
    </row>
    <row r="50" spans="1:16" x14ac:dyDescent="0.25">
      <c r="A50" t="s">
        <v>120</v>
      </c>
      <c r="B50" t="s">
        <v>119</v>
      </c>
      <c r="C50" t="s">
        <v>120</v>
      </c>
      <c r="D50" t="s">
        <v>121</v>
      </c>
      <c r="E50" t="s">
        <v>122</v>
      </c>
      <c r="F50" t="s">
        <v>112</v>
      </c>
      <c r="G50" t="s">
        <v>32</v>
      </c>
      <c r="H50">
        <v>3</v>
      </c>
      <c r="I50" t="b">
        <v>1</v>
      </c>
      <c r="J50" t="s">
        <v>119</v>
      </c>
      <c r="K50">
        <v>1</v>
      </c>
      <c r="L50" t="s">
        <v>4111</v>
      </c>
      <c r="M50">
        <v>2</v>
      </c>
      <c r="N50">
        <v>2</v>
      </c>
      <c r="O50">
        <v>4499452755.2999992</v>
      </c>
      <c r="P50" t="s">
        <v>4109</v>
      </c>
    </row>
    <row r="51" spans="1:16" x14ac:dyDescent="0.25">
      <c r="A51" t="s">
        <v>885</v>
      </c>
      <c r="B51" t="s">
        <v>884</v>
      </c>
      <c r="C51" t="s">
        <v>885</v>
      </c>
      <c r="D51" t="s">
        <v>886</v>
      </c>
      <c r="E51" t="s">
        <v>887</v>
      </c>
      <c r="F51" t="s">
        <v>50</v>
      </c>
      <c r="G51" t="s">
        <v>32</v>
      </c>
      <c r="H51">
        <v>3</v>
      </c>
      <c r="I51" t="b">
        <v>1</v>
      </c>
      <c r="J51" t="s">
        <v>884</v>
      </c>
      <c r="K51">
        <v>1</v>
      </c>
      <c r="L51" t="s">
        <v>4140</v>
      </c>
      <c r="M51">
        <v>5</v>
      </c>
      <c r="N51">
        <v>5</v>
      </c>
      <c r="O51">
        <v>4498985463.249999</v>
      </c>
      <c r="P51" t="s">
        <v>4109</v>
      </c>
    </row>
    <row r="52" spans="1:16" x14ac:dyDescent="0.25">
      <c r="A52" t="s">
        <v>41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32</v>
      </c>
      <c r="H52">
        <v>3</v>
      </c>
      <c r="I52" t="b">
        <v>1</v>
      </c>
      <c r="J52" t="s">
        <v>40</v>
      </c>
      <c r="K52">
        <v>1</v>
      </c>
      <c r="L52" t="s">
        <v>4128</v>
      </c>
      <c r="M52">
        <v>5</v>
      </c>
      <c r="N52">
        <v>5</v>
      </c>
      <c r="O52">
        <v>4251380567.4799991</v>
      </c>
      <c r="P52" t="s">
        <v>4109</v>
      </c>
    </row>
    <row r="53" spans="1:16" x14ac:dyDescent="0.25">
      <c r="A53" t="s">
        <v>1885</v>
      </c>
      <c r="B53" t="s">
        <v>1884</v>
      </c>
      <c r="C53" t="s">
        <v>1885</v>
      </c>
      <c r="D53" t="s">
        <v>1886</v>
      </c>
      <c r="E53" t="s">
        <v>1795</v>
      </c>
      <c r="F53" t="s">
        <v>50</v>
      </c>
      <c r="G53" t="s">
        <v>241</v>
      </c>
      <c r="H53">
        <v>3</v>
      </c>
      <c r="I53" t="b">
        <v>1</v>
      </c>
      <c r="J53" t="s">
        <v>1884</v>
      </c>
      <c r="K53">
        <v>1</v>
      </c>
      <c r="L53" t="s">
        <v>1781</v>
      </c>
      <c r="M53">
        <v>1</v>
      </c>
      <c r="N53">
        <v>1</v>
      </c>
      <c r="O53">
        <v>4183125873.1999998</v>
      </c>
      <c r="P53" t="s">
        <v>4109</v>
      </c>
    </row>
    <row r="54" spans="1:16" x14ac:dyDescent="0.25">
      <c r="A54" t="s">
        <v>4141</v>
      </c>
      <c r="B54" t="s">
        <v>1799</v>
      </c>
      <c r="C54" t="s">
        <v>1800</v>
      </c>
      <c r="D54" t="s">
        <v>1801</v>
      </c>
      <c r="E54" t="s">
        <v>1802</v>
      </c>
      <c r="F54" t="s">
        <v>50</v>
      </c>
      <c r="G54" t="s">
        <v>26</v>
      </c>
      <c r="H54">
        <v>3</v>
      </c>
      <c r="I54" t="b">
        <v>1</v>
      </c>
      <c r="J54" t="s">
        <v>1799</v>
      </c>
      <c r="K54">
        <v>1</v>
      </c>
      <c r="L54" t="s">
        <v>1781</v>
      </c>
      <c r="M54">
        <v>1</v>
      </c>
      <c r="N54">
        <v>1</v>
      </c>
      <c r="O54">
        <v>4174804819.2199998</v>
      </c>
      <c r="P54" t="s">
        <v>4109</v>
      </c>
    </row>
    <row r="55" spans="1:16" x14ac:dyDescent="0.25">
      <c r="A55" t="s">
        <v>4142</v>
      </c>
      <c r="B55" t="s">
        <v>2033</v>
      </c>
      <c r="C55" t="s">
        <v>2034</v>
      </c>
      <c r="D55" t="s">
        <v>2035</v>
      </c>
      <c r="E55" t="s">
        <v>1961</v>
      </c>
      <c r="F55" t="s">
        <v>50</v>
      </c>
      <c r="G55" t="s">
        <v>241</v>
      </c>
      <c r="H55">
        <v>3</v>
      </c>
      <c r="I55" t="b">
        <v>1</v>
      </c>
      <c r="J55" t="s">
        <v>2033</v>
      </c>
      <c r="K55">
        <v>1</v>
      </c>
      <c r="L55" t="s">
        <v>1781</v>
      </c>
      <c r="M55">
        <v>1</v>
      </c>
      <c r="N55">
        <v>1</v>
      </c>
      <c r="O55">
        <v>3903494147.099999</v>
      </c>
      <c r="P55" t="s">
        <v>4109</v>
      </c>
    </row>
    <row r="56" spans="1:16" x14ac:dyDescent="0.25">
      <c r="A56" t="s">
        <v>1308</v>
      </c>
      <c r="B56" t="s">
        <v>1307</v>
      </c>
      <c r="C56" t="s">
        <v>1308</v>
      </c>
      <c r="D56" t="s">
        <v>1309</v>
      </c>
      <c r="E56" t="s">
        <v>517</v>
      </c>
      <c r="F56" t="s">
        <v>31</v>
      </c>
      <c r="G56" t="s">
        <v>358</v>
      </c>
      <c r="H56">
        <v>3</v>
      </c>
      <c r="I56" t="b">
        <v>1</v>
      </c>
      <c r="J56" t="s">
        <v>1307</v>
      </c>
      <c r="K56">
        <v>1</v>
      </c>
      <c r="L56" t="s">
        <v>4111</v>
      </c>
      <c r="M56">
        <v>2</v>
      </c>
      <c r="N56">
        <v>2</v>
      </c>
      <c r="O56">
        <v>3583266701.73</v>
      </c>
      <c r="P56" t="s">
        <v>4109</v>
      </c>
    </row>
    <row r="57" spans="1:16" x14ac:dyDescent="0.25">
      <c r="A57" t="s">
        <v>1430</v>
      </c>
      <c r="B57" t="s">
        <v>1429</v>
      </c>
      <c r="C57" t="s">
        <v>1430</v>
      </c>
      <c r="D57" t="s">
        <v>1431</v>
      </c>
      <c r="E57" t="s">
        <v>1428</v>
      </c>
      <c r="F57" t="s">
        <v>50</v>
      </c>
      <c r="G57" t="s">
        <v>241</v>
      </c>
      <c r="H57">
        <v>3</v>
      </c>
      <c r="I57" t="b">
        <v>1</v>
      </c>
      <c r="J57" t="s">
        <v>1429</v>
      </c>
      <c r="K57">
        <v>1</v>
      </c>
      <c r="L57" t="s">
        <v>4110</v>
      </c>
      <c r="M57">
        <v>3</v>
      </c>
      <c r="N57">
        <v>3</v>
      </c>
      <c r="O57">
        <v>3435621720.4899998</v>
      </c>
      <c r="P57" t="s">
        <v>4109</v>
      </c>
    </row>
    <row r="58" spans="1:16" x14ac:dyDescent="0.25">
      <c r="A58" t="s">
        <v>2002</v>
      </c>
      <c r="B58" t="s">
        <v>2001</v>
      </c>
      <c r="C58" t="s">
        <v>2002</v>
      </c>
      <c r="D58" t="s">
        <v>2003</v>
      </c>
      <c r="E58" t="s">
        <v>1806</v>
      </c>
      <c r="F58" t="s">
        <v>50</v>
      </c>
      <c r="G58" t="s">
        <v>241</v>
      </c>
      <c r="H58">
        <v>3</v>
      </c>
      <c r="I58" t="b">
        <v>1</v>
      </c>
      <c r="J58" t="s">
        <v>2001</v>
      </c>
      <c r="K58">
        <v>1</v>
      </c>
      <c r="L58" t="s">
        <v>1781</v>
      </c>
      <c r="M58">
        <v>1</v>
      </c>
      <c r="N58">
        <v>1</v>
      </c>
      <c r="O58">
        <v>3379983478.3899999</v>
      </c>
      <c r="P58" t="s">
        <v>4109</v>
      </c>
    </row>
    <row r="59" spans="1:16" x14ac:dyDescent="0.25">
      <c r="A59" t="s">
        <v>1848</v>
      </c>
      <c r="B59" t="s">
        <v>1847</v>
      </c>
      <c r="C59" t="s">
        <v>1848</v>
      </c>
      <c r="D59" t="s">
        <v>1849</v>
      </c>
      <c r="E59" t="s">
        <v>1785</v>
      </c>
      <c r="F59" t="s">
        <v>50</v>
      </c>
      <c r="G59" t="s">
        <v>241</v>
      </c>
      <c r="H59">
        <v>3</v>
      </c>
      <c r="I59" t="b">
        <v>1</v>
      </c>
      <c r="J59" t="s">
        <v>1847</v>
      </c>
      <c r="K59">
        <v>1</v>
      </c>
      <c r="L59" t="s">
        <v>1781</v>
      </c>
      <c r="M59">
        <v>1</v>
      </c>
      <c r="N59">
        <v>1</v>
      </c>
      <c r="O59">
        <v>3311971003.23</v>
      </c>
      <c r="P59" t="s">
        <v>4109</v>
      </c>
    </row>
    <row r="60" spans="1:16" x14ac:dyDescent="0.25">
      <c r="A60" t="s">
        <v>1839</v>
      </c>
      <c r="B60" t="s">
        <v>1838</v>
      </c>
      <c r="C60" t="s">
        <v>1839</v>
      </c>
      <c r="D60" t="s">
        <v>1840</v>
      </c>
      <c r="E60" t="s">
        <v>444</v>
      </c>
      <c r="F60" t="s">
        <v>50</v>
      </c>
      <c r="G60" t="s">
        <v>241</v>
      </c>
      <c r="H60">
        <v>3</v>
      </c>
      <c r="I60" t="b">
        <v>1</v>
      </c>
      <c r="J60" t="s">
        <v>1838</v>
      </c>
      <c r="K60">
        <v>1</v>
      </c>
      <c r="L60" t="s">
        <v>1781</v>
      </c>
      <c r="M60">
        <v>1</v>
      </c>
      <c r="N60">
        <v>1</v>
      </c>
      <c r="O60">
        <v>3177450797.6900001</v>
      </c>
      <c r="P60" t="s">
        <v>4109</v>
      </c>
    </row>
    <row r="61" spans="1:16" x14ac:dyDescent="0.25">
      <c r="A61" t="s">
        <v>1851</v>
      </c>
      <c r="B61" t="s">
        <v>1850</v>
      </c>
      <c r="C61" t="s">
        <v>1851</v>
      </c>
      <c r="D61" t="s">
        <v>1852</v>
      </c>
      <c r="E61" t="s">
        <v>1853</v>
      </c>
      <c r="F61" t="s">
        <v>50</v>
      </c>
      <c r="G61" t="s">
        <v>241</v>
      </c>
      <c r="H61">
        <v>3</v>
      </c>
      <c r="I61" t="b">
        <v>1</v>
      </c>
      <c r="J61" t="s">
        <v>1850</v>
      </c>
      <c r="K61">
        <v>1</v>
      </c>
      <c r="L61" t="s">
        <v>1781</v>
      </c>
      <c r="M61">
        <v>1</v>
      </c>
      <c r="N61">
        <v>1</v>
      </c>
      <c r="O61">
        <v>3141386368.4499998</v>
      </c>
      <c r="P61" t="s">
        <v>4109</v>
      </c>
    </row>
    <row r="62" spans="1:16" x14ac:dyDescent="0.25">
      <c r="A62" t="s">
        <v>1815</v>
      </c>
      <c r="B62" t="s">
        <v>1814</v>
      </c>
      <c r="C62" t="s">
        <v>1815</v>
      </c>
      <c r="D62" t="s">
        <v>1816</v>
      </c>
      <c r="E62" t="s">
        <v>1810</v>
      </c>
      <c r="F62" t="s">
        <v>50</v>
      </c>
      <c r="G62" t="s">
        <v>26</v>
      </c>
      <c r="H62">
        <v>3</v>
      </c>
      <c r="I62" t="b">
        <v>1</v>
      </c>
      <c r="J62" t="s">
        <v>1814</v>
      </c>
      <c r="K62">
        <v>1</v>
      </c>
      <c r="L62" t="s">
        <v>1781</v>
      </c>
      <c r="M62">
        <v>1</v>
      </c>
      <c r="N62">
        <v>1</v>
      </c>
      <c r="O62">
        <v>3036657740.9299998</v>
      </c>
      <c r="P62" t="s">
        <v>4109</v>
      </c>
    </row>
    <row r="63" spans="1:16" x14ac:dyDescent="0.25">
      <c r="A63" t="s">
        <v>1433</v>
      </c>
      <c r="B63" t="s">
        <v>1432</v>
      </c>
      <c r="C63" t="s">
        <v>1433</v>
      </c>
      <c r="D63" t="s">
        <v>1434</v>
      </c>
      <c r="E63" t="s">
        <v>1435</v>
      </c>
      <c r="F63" t="s">
        <v>50</v>
      </c>
      <c r="G63" t="s">
        <v>241</v>
      </c>
      <c r="H63">
        <v>3</v>
      </c>
      <c r="I63" t="b">
        <v>1</v>
      </c>
      <c r="J63" t="s">
        <v>1432</v>
      </c>
      <c r="K63">
        <v>1</v>
      </c>
      <c r="L63" t="s">
        <v>4108</v>
      </c>
      <c r="M63">
        <v>2</v>
      </c>
      <c r="N63">
        <v>2</v>
      </c>
      <c r="O63">
        <v>3005327619.1999998</v>
      </c>
      <c r="P63" t="s">
        <v>4109</v>
      </c>
    </row>
    <row r="64" spans="1:16" x14ac:dyDescent="0.25">
      <c r="A64" t="s">
        <v>985</v>
      </c>
      <c r="B64" t="s">
        <v>984</v>
      </c>
      <c r="C64" t="s">
        <v>985</v>
      </c>
      <c r="D64" t="s">
        <v>986</v>
      </c>
      <c r="E64" t="s">
        <v>987</v>
      </c>
      <c r="F64" t="s">
        <v>112</v>
      </c>
      <c r="G64" t="s">
        <v>32</v>
      </c>
      <c r="H64">
        <v>3</v>
      </c>
      <c r="I64" t="b">
        <v>1</v>
      </c>
      <c r="J64" t="s">
        <v>984</v>
      </c>
      <c r="K64">
        <v>1</v>
      </c>
      <c r="L64" t="s">
        <v>4143</v>
      </c>
      <c r="M64">
        <v>5</v>
      </c>
      <c r="N64">
        <v>5</v>
      </c>
      <c r="O64">
        <v>2958293268.6900001</v>
      </c>
      <c r="P64" t="s">
        <v>4109</v>
      </c>
    </row>
    <row r="65" spans="1:16" x14ac:dyDescent="0.25">
      <c r="A65" t="s">
        <v>2068</v>
      </c>
      <c r="B65" t="s">
        <v>2067</v>
      </c>
      <c r="C65" t="s">
        <v>2068</v>
      </c>
      <c r="D65" t="s">
        <v>2069</v>
      </c>
      <c r="E65" t="s">
        <v>104</v>
      </c>
      <c r="F65" t="s">
        <v>50</v>
      </c>
      <c r="G65" t="s">
        <v>26</v>
      </c>
      <c r="H65">
        <v>3</v>
      </c>
      <c r="I65" t="b">
        <v>1</v>
      </c>
      <c r="J65" t="s">
        <v>2067</v>
      </c>
      <c r="K65">
        <v>1</v>
      </c>
      <c r="L65" t="s">
        <v>1781</v>
      </c>
      <c r="M65">
        <v>1</v>
      </c>
      <c r="N65">
        <v>1</v>
      </c>
      <c r="O65">
        <v>2938536507.4200001</v>
      </c>
      <c r="P65" t="s">
        <v>4109</v>
      </c>
    </row>
    <row r="66" spans="1:16" x14ac:dyDescent="0.25">
      <c r="A66" t="s">
        <v>1440</v>
      </c>
      <c r="B66" t="s">
        <v>1439</v>
      </c>
      <c r="C66" t="s">
        <v>1440</v>
      </c>
      <c r="D66" t="s">
        <v>1441</v>
      </c>
      <c r="E66" t="s">
        <v>1442</v>
      </c>
      <c r="F66" t="s">
        <v>50</v>
      </c>
      <c r="G66" t="s">
        <v>241</v>
      </c>
      <c r="H66">
        <v>3</v>
      </c>
      <c r="I66" t="b">
        <v>1</v>
      </c>
      <c r="J66" t="s">
        <v>1439</v>
      </c>
      <c r="K66">
        <v>1</v>
      </c>
      <c r="L66" t="s">
        <v>4108</v>
      </c>
      <c r="M66">
        <v>2</v>
      </c>
      <c r="N66">
        <v>2</v>
      </c>
      <c r="O66">
        <v>2903315637.5300002</v>
      </c>
      <c r="P66" t="s">
        <v>4109</v>
      </c>
    </row>
    <row r="67" spans="1:16" x14ac:dyDescent="0.25">
      <c r="A67" t="s">
        <v>890</v>
      </c>
      <c r="B67" t="s">
        <v>889</v>
      </c>
      <c r="C67" t="s">
        <v>890</v>
      </c>
      <c r="D67" t="s">
        <v>891</v>
      </c>
      <c r="E67" t="s">
        <v>892</v>
      </c>
      <c r="F67" t="s">
        <v>895</v>
      </c>
      <c r="G67" t="s">
        <v>32</v>
      </c>
      <c r="H67">
        <v>3</v>
      </c>
      <c r="I67" t="b">
        <v>1</v>
      </c>
      <c r="J67" t="s">
        <v>4144</v>
      </c>
      <c r="K67">
        <v>2</v>
      </c>
      <c r="L67" t="s">
        <v>4123</v>
      </c>
      <c r="M67">
        <v>5</v>
      </c>
      <c r="N67">
        <v>5</v>
      </c>
      <c r="O67">
        <v>2879759594.5700002</v>
      </c>
      <c r="P67" t="s">
        <v>4109</v>
      </c>
    </row>
    <row r="68" spans="1:16" x14ac:dyDescent="0.25">
      <c r="A68" t="s">
        <v>382</v>
      </c>
      <c r="B68" t="s">
        <v>381</v>
      </c>
      <c r="C68" t="s">
        <v>382</v>
      </c>
      <c r="D68" t="s">
        <v>383</v>
      </c>
      <c r="E68" t="s">
        <v>384</v>
      </c>
      <c r="F68" t="s">
        <v>81</v>
      </c>
      <c r="G68" t="s">
        <v>32</v>
      </c>
      <c r="H68">
        <v>3</v>
      </c>
      <c r="I68" t="b">
        <v>1</v>
      </c>
      <c r="J68" t="s">
        <v>4145</v>
      </c>
      <c r="K68">
        <v>2</v>
      </c>
      <c r="L68" t="s">
        <v>4115</v>
      </c>
      <c r="M68">
        <v>6</v>
      </c>
      <c r="N68">
        <v>6</v>
      </c>
      <c r="O68">
        <v>2859204949.5599999</v>
      </c>
      <c r="P68" t="s">
        <v>4109</v>
      </c>
    </row>
    <row r="69" spans="1:16" x14ac:dyDescent="0.25">
      <c r="A69" t="s">
        <v>1204</v>
      </c>
      <c r="B69" t="s">
        <v>1203</v>
      </c>
      <c r="C69" t="s">
        <v>1204</v>
      </c>
      <c r="D69" t="s">
        <v>1205</v>
      </c>
      <c r="E69" t="s">
        <v>30</v>
      </c>
      <c r="F69" t="s">
        <v>31</v>
      </c>
      <c r="G69" t="s">
        <v>32</v>
      </c>
      <c r="H69">
        <v>3</v>
      </c>
      <c r="I69" t="b">
        <v>1</v>
      </c>
      <c r="J69" t="s">
        <v>1203</v>
      </c>
      <c r="K69">
        <v>1</v>
      </c>
      <c r="L69" t="s">
        <v>4146</v>
      </c>
      <c r="M69">
        <v>3</v>
      </c>
      <c r="N69">
        <v>3</v>
      </c>
      <c r="O69">
        <v>2836480684.7199998</v>
      </c>
      <c r="P69" t="s">
        <v>4109</v>
      </c>
    </row>
    <row r="70" spans="1:16" x14ac:dyDescent="0.25">
      <c r="A70" t="s">
        <v>466</v>
      </c>
      <c r="B70" t="s">
        <v>465</v>
      </c>
      <c r="C70" t="s">
        <v>466</v>
      </c>
      <c r="D70" t="s">
        <v>467</v>
      </c>
      <c r="E70" t="s">
        <v>463</v>
      </c>
      <c r="F70" t="s">
        <v>44</v>
      </c>
      <c r="G70" t="s">
        <v>32</v>
      </c>
      <c r="H70">
        <v>3</v>
      </c>
      <c r="I70" t="b">
        <v>1</v>
      </c>
      <c r="J70" t="s">
        <v>4147</v>
      </c>
      <c r="K70">
        <v>2</v>
      </c>
      <c r="L70" t="s">
        <v>4115</v>
      </c>
      <c r="M70">
        <v>6</v>
      </c>
      <c r="N70">
        <v>6</v>
      </c>
      <c r="O70">
        <v>2806628501.02</v>
      </c>
      <c r="P70" t="s">
        <v>4109</v>
      </c>
    </row>
    <row r="71" spans="1:16" x14ac:dyDescent="0.25">
      <c r="A71" t="s">
        <v>1994</v>
      </c>
      <c r="B71" t="s">
        <v>1993</v>
      </c>
      <c r="C71" t="s">
        <v>1994</v>
      </c>
      <c r="D71" t="s">
        <v>1995</v>
      </c>
      <c r="E71" t="s">
        <v>1996</v>
      </c>
      <c r="F71" t="s">
        <v>50</v>
      </c>
      <c r="G71" t="s">
        <v>241</v>
      </c>
      <c r="H71">
        <v>3</v>
      </c>
      <c r="I71" t="b">
        <v>1</v>
      </c>
      <c r="J71" t="s">
        <v>1993</v>
      </c>
      <c r="K71">
        <v>1</v>
      </c>
      <c r="L71" t="s">
        <v>1781</v>
      </c>
      <c r="M71">
        <v>1</v>
      </c>
      <c r="N71">
        <v>1</v>
      </c>
      <c r="O71">
        <v>2737192362.5700002</v>
      </c>
      <c r="P71" t="s">
        <v>4109</v>
      </c>
    </row>
    <row r="72" spans="1:16" x14ac:dyDescent="0.25">
      <c r="A72" t="s">
        <v>4148</v>
      </c>
      <c r="B72" t="s">
        <v>1942</v>
      </c>
      <c r="C72" t="s">
        <v>1943</v>
      </c>
      <c r="D72" t="s">
        <v>1944</v>
      </c>
      <c r="E72" t="s">
        <v>1810</v>
      </c>
      <c r="F72" t="s">
        <v>50</v>
      </c>
      <c r="G72" t="s">
        <v>241</v>
      </c>
      <c r="H72">
        <v>3</v>
      </c>
      <c r="I72" t="b">
        <v>1</v>
      </c>
      <c r="J72" t="s">
        <v>1942</v>
      </c>
      <c r="K72">
        <v>1</v>
      </c>
      <c r="L72" t="s">
        <v>1781</v>
      </c>
      <c r="M72">
        <v>1</v>
      </c>
      <c r="N72">
        <v>1</v>
      </c>
      <c r="O72">
        <v>2692227876.27</v>
      </c>
      <c r="P72" t="s">
        <v>4109</v>
      </c>
    </row>
    <row r="73" spans="1:16" x14ac:dyDescent="0.25">
      <c r="A73" t="s">
        <v>1787</v>
      </c>
      <c r="B73" t="s">
        <v>1786</v>
      </c>
      <c r="C73" t="s">
        <v>1787</v>
      </c>
      <c r="D73" t="s">
        <v>1788</v>
      </c>
      <c r="E73" t="s">
        <v>1785</v>
      </c>
      <c r="F73" t="s">
        <v>50</v>
      </c>
      <c r="G73" t="s">
        <v>26</v>
      </c>
      <c r="H73">
        <v>3</v>
      </c>
      <c r="I73" t="b">
        <v>1</v>
      </c>
      <c r="J73" t="s">
        <v>1786</v>
      </c>
      <c r="K73">
        <v>1</v>
      </c>
      <c r="L73" t="s">
        <v>1781</v>
      </c>
      <c r="M73">
        <v>1</v>
      </c>
      <c r="N73">
        <v>1</v>
      </c>
      <c r="O73">
        <v>2552899987.8000002</v>
      </c>
      <c r="P73" t="s">
        <v>4109</v>
      </c>
    </row>
    <row r="74" spans="1:16" x14ac:dyDescent="0.25">
      <c r="A74" t="s">
        <v>2052</v>
      </c>
      <c r="B74" t="s">
        <v>2051</v>
      </c>
      <c r="C74" t="s">
        <v>2052</v>
      </c>
      <c r="D74" t="s">
        <v>2053</v>
      </c>
      <c r="E74" t="s">
        <v>2050</v>
      </c>
      <c r="F74" t="s">
        <v>50</v>
      </c>
      <c r="G74" t="s">
        <v>241</v>
      </c>
      <c r="H74">
        <v>3</v>
      </c>
      <c r="I74" t="b">
        <v>1</v>
      </c>
      <c r="J74" t="s">
        <v>2051</v>
      </c>
      <c r="K74">
        <v>1</v>
      </c>
      <c r="L74" t="s">
        <v>1781</v>
      </c>
      <c r="M74">
        <v>1</v>
      </c>
      <c r="N74">
        <v>1</v>
      </c>
      <c r="O74">
        <v>2550390403.75</v>
      </c>
      <c r="P74" t="s">
        <v>4109</v>
      </c>
    </row>
    <row r="75" spans="1:16" x14ac:dyDescent="0.25">
      <c r="A75" t="s">
        <v>1912</v>
      </c>
      <c r="B75" t="s">
        <v>1911</v>
      </c>
      <c r="C75" t="s">
        <v>1912</v>
      </c>
      <c r="D75" t="s">
        <v>1913</v>
      </c>
      <c r="E75" t="s">
        <v>887</v>
      </c>
      <c r="F75" t="s">
        <v>50</v>
      </c>
      <c r="G75" t="s">
        <v>241</v>
      </c>
      <c r="H75">
        <v>3</v>
      </c>
      <c r="I75" t="b">
        <v>1</v>
      </c>
      <c r="J75" t="s">
        <v>1911</v>
      </c>
      <c r="K75">
        <v>1</v>
      </c>
      <c r="L75" t="s">
        <v>1781</v>
      </c>
      <c r="M75">
        <v>1</v>
      </c>
      <c r="N75">
        <v>1</v>
      </c>
      <c r="O75">
        <v>2456939103.559999</v>
      </c>
      <c r="P75" t="s">
        <v>4109</v>
      </c>
    </row>
    <row r="76" spans="1:16" x14ac:dyDescent="0.25">
      <c r="A76" t="s">
        <v>1956</v>
      </c>
      <c r="B76" t="s">
        <v>1955</v>
      </c>
      <c r="C76" t="s">
        <v>1956</v>
      </c>
      <c r="D76" t="s">
        <v>1957</v>
      </c>
      <c r="E76" t="s">
        <v>1857</v>
      </c>
      <c r="F76" t="s">
        <v>50</v>
      </c>
      <c r="G76" t="s">
        <v>241</v>
      </c>
      <c r="H76">
        <v>3</v>
      </c>
      <c r="I76" t="b">
        <v>1</v>
      </c>
      <c r="J76" t="s">
        <v>1955</v>
      </c>
      <c r="K76">
        <v>1</v>
      </c>
      <c r="L76" t="s">
        <v>1781</v>
      </c>
      <c r="M76">
        <v>1</v>
      </c>
      <c r="N76">
        <v>1</v>
      </c>
      <c r="O76">
        <v>2456932098.6700001</v>
      </c>
      <c r="P76" t="s">
        <v>4109</v>
      </c>
    </row>
    <row r="77" spans="1:16" x14ac:dyDescent="0.25">
      <c r="A77" t="s">
        <v>461</v>
      </c>
      <c r="B77" t="s">
        <v>460</v>
      </c>
      <c r="C77" t="s">
        <v>461</v>
      </c>
      <c r="D77" t="s">
        <v>462</v>
      </c>
      <c r="E77" t="s">
        <v>463</v>
      </c>
      <c r="F77" t="s">
        <v>44</v>
      </c>
      <c r="G77" t="s">
        <v>32</v>
      </c>
      <c r="H77">
        <v>3</v>
      </c>
      <c r="I77" t="b">
        <v>1</v>
      </c>
      <c r="J77" t="s">
        <v>460</v>
      </c>
      <c r="K77">
        <v>1</v>
      </c>
      <c r="L77" t="s">
        <v>4119</v>
      </c>
      <c r="M77">
        <v>5</v>
      </c>
      <c r="N77">
        <v>5</v>
      </c>
      <c r="O77">
        <v>2363638413.6499991</v>
      </c>
      <c r="P77" t="s">
        <v>4109</v>
      </c>
    </row>
    <row r="78" spans="1:16" x14ac:dyDescent="0.25">
      <c r="A78" t="s">
        <v>1937</v>
      </c>
      <c r="B78" t="s">
        <v>1936</v>
      </c>
      <c r="C78" t="s">
        <v>1937</v>
      </c>
      <c r="D78" t="s">
        <v>1938</v>
      </c>
      <c r="E78" t="s">
        <v>1935</v>
      </c>
      <c r="F78" t="s">
        <v>50</v>
      </c>
      <c r="G78" t="s">
        <v>241</v>
      </c>
      <c r="H78">
        <v>3</v>
      </c>
      <c r="I78" t="b">
        <v>1</v>
      </c>
      <c r="J78" t="s">
        <v>1936</v>
      </c>
      <c r="K78">
        <v>1</v>
      </c>
      <c r="L78" t="s">
        <v>1781</v>
      </c>
      <c r="M78">
        <v>1</v>
      </c>
      <c r="N78">
        <v>1</v>
      </c>
      <c r="O78">
        <v>2325477764.3299999</v>
      </c>
      <c r="P78" t="s">
        <v>4109</v>
      </c>
    </row>
    <row r="79" spans="1:16" x14ac:dyDescent="0.25">
      <c r="A79" t="s">
        <v>1824</v>
      </c>
      <c r="B79" t="s">
        <v>1823</v>
      </c>
      <c r="C79" t="s">
        <v>1824</v>
      </c>
      <c r="D79" t="s">
        <v>1825</v>
      </c>
      <c r="E79" t="s">
        <v>1634</v>
      </c>
      <c r="F79" t="s">
        <v>50</v>
      </c>
      <c r="G79" t="s">
        <v>241</v>
      </c>
      <c r="H79">
        <v>3</v>
      </c>
      <c r="I79" t="b">
        <v>1</v>
      </c>
      <c r="J79" t="s">
        <v>1823</v>
      </c>
      <c r="K79">
        <v>1</v>
      </c>
      <c r="L79" t="s">
        <v>1781</v>
      </c>
      <c r="M79">
        <v>1</v>
      </c>
      <c r="N79">
        <v>1</v>
      </c>
      <c r="O79">
        <v>2254439742.1799998</v>
      </c>
      <c r="P79" t="s">
        <v>4109</v>
      </c>
    </row>
    <row r="80" spans="1:16" x14ac:dyDescent="0.25">
      <c r="A80" t="s">
        <v>388</v>
      </c>
      <c r="B80" t="s">
        <v>387</v>
      </c>
      <c r="C80" t="s">
        <v>388</v>
      </c>
      <c r="D80" t="s">
        <v>389</v>
      </c>
      <c r="E80" t="s">
        <v>384</v>
      </c>
      <c r="F80" t="s">
        <v>81</v>
      </c>
      <c r="G80" t="s">
        <v>32</v>
      </c>
      <c r="H80">
        <v>3</v>
      </c>
      <c r="I80" t="b">
        <v>1</v>
      </c>
      <c r="J80" t="s">
        <v>4149</v>
      </c>
      <c r="K80">
        <v>2</v>
      </c>
      <c r="L80" t="s">
        <v>4115</v>
      </c>
      <c r="M80">
        <v>6</v>
      </c>
      <c r="N80">
        <v>6</v>
      </c>
      <c r="O80">
        <v>2209039924.3000002</v>
      </c>
      <c r="P80" t="s">
        <v>4109</v>
      </c>
    </row>
    <row r="81" spans="1:16" x14ac:dyDescent="0.25">
      <c r="A81" t="s">
        <v>4150</v>
      </c>
      <c r="B81" t="s">
        <v>1817</v>
      </c>
      <c r="C81" t="s">
        <v>1818</v>
      </c>
      <c r="D81" t="s">
        <v>1819</v>
      </c>
      <c r="E81" t="s">
        <v>1785</v>
      </c>
      <c r="F81" t="s">
        <v>50</v>
      </c>
      <c r="G81" t="s">
        <v>26</v>
      </c>
      <c r="H81">
        <v>3</v>
      </c>
      <c r="I81" t="b">
        <v>1</v>
      </c>
      <c r="J81" t="s">
        <v>1817</v>
      </c>
      <c r="K81">
        <v>1</v>
      </c>
      <c r="L81" t="s">
        <v>1781</v>
      </c>
      <c r="M81">
        <v>1</v>
      </c>
      <c r="N81">
        <v>1</v>
      </c>
      <c r="O81">
        <v>2176362947.5300002</v>
      </c>
      <c r="P81" t="s">
        <v>4109</v>
      </c>
    </row>
    <row r="82" spans="1:16" x14ac:dyDescent="0.25">
      <c r="A82" t="s">
        <v>1460</v>
      </c>
      <c r="B82" t="s">
        <v>1459</v>
      </c>
      <c r="C82" t="s">
        <v>1460</v>
      </c>
      <c r="D82" t="s">
        <v>1461</v>
      </c>
      <c r="E82" t="s">
        <v>1462</v>
      </c>
      <c r="F82" t="s">
        <v>50</v>
      </c>
      <c r="G82" t="s">
        <v>32</v>
      </c>
      <c r="H82">
        <v>3</v>
      </c>
      <c r="I82" t="b">
        <v>1</v>
      </c>
      <c r="J82" t="s">
        <v>1459</v>
      </c>
      <c r="K82">
        <v>1</v>
      </c>
      <c r="L82" t="s">
        <v>4108</v>
      </c>
      <c r="M82">
        <v>2</v>
      </c>
      <c r="N82">
        <v>2</v>
      </c>
      <c r="O82">
        <v>2106143150.22</v>
      </c>
      <c r="P82" t="s">
        <v>4109</v>
      </c>
    </row>
    <row r="83" spans="1:16" x14ac:dyDescent="0.25">
      <c r="A83" t="s">
        <v>1949</v>
      </c>
      <c r="B83" t="s">
        <v>1948</v>
      </c>
      <c r="C83" t="s">
        <v>1949</v>
      </c>
      <c r="D83" t="s">
        <v>1950</v>
      </c>
      <c r="E83" t="s">
        <v>1951</v>
      </c>
      <c r="F83" t="s">
        <v>50</v>
      </c>
      <c r="G83" t="s">
        <v>241</v>
      </c>
      <c r="H83">
        <v>3</v>
      </c>
      <c r="I83" t="b">
        <v>1</v>
      </c>
      <c r="J83" t="s">
        <v>1948</v>
      </c>
      <c r="K83">
        <v>1</v>
      </c>
      <c r="L83" t="s">
        <v>1781</v>
      </c>
      <c r="M83">
        <v>1</v>
      </c>
      <c r="N83">
        <v>1</v>
      </c>
      <c r="O83">
        <v>2104204257.28</v>
      </c>
      <c r="P83" t="s">
        <v>4109</v>
      </c>
    </row>
    <row r="84" spans="1:16" x14ac:dyDescent="0.25">
      <c r="A84" t="s">
        <v>114</v>
      </c>
      <c r="B84" t="s">
        <v>113</v>
      </c>
      <c r="C84" t="s">
        <v>114</v>
      </c>
      <c r="D84" t="s">
        <v>115</v>
      </c>
      <c r="E84" t="s">
        <v>111</v>
      </c>
      <c r="F84" t="s">
        <v>112</v>
      </c>
      <c r="G84" t="s">
        <v>32</v>
      </c>
      <c r="H84">
        <v>3</v>
      </c>
      <c r="I84" t="b">
        <v>1</v>
      </c>
      <c r="J84" t="s">
        <v>113</v>
      </c>
      <c r="K84">
        <v>1</v>
      </c>
      <c r="L84" t="s">
        <v>4111</v>
      </c>
      <c r="M84">
        <v>2</v>
      </c>
      <c r="N84">
        <v>2</v>
      </c>
      <c r="O84">
        <v>2101432170.1400001</v>
      </c>
      <c r="P84" t="s">
        <v>4109</v>
      </c>
    </row>
    <row r="85" spans="1:16" x14ac:dyDescent="0.25">
      <c r="A85" t="s">
        <v>1797</v>
      </c>
      <c r="B85" t="s">
        <v>1796</v>
      </c>
      <c r="C85" t="s">
        <v>1797</v>
      </c>
      <c r="D85" t="s">
        <v>1798</v>
      </c>
      <c r="E85" t="s">
        <v>1795</v>
      </c>
      <c r="F85" t="s">
        <v>50</v>
      </c>
      <c r="G85" t="s">
        <v>26</v>
      </c>
      <c r="H85">
        <v>3</v>
      </c>
      <c r="I85" t="b">
        <v>1</v>
      </c>
      <c r="J85" t="s">
        <v>1796</v>
      </c>
      <c r="K85">
        <v>1</v>
      </c>
      <c r="L85" t="s">
        <v>1781</v>
      </c>
      <c r="M85">
        <v>1</v>
      </c>
      <c r="N85">
        <v>1</v>
      </c>
      <c r="O85">
        <v>2054143713.26</v>
      </c>
      <c r="P85" t="s">
        <v>4109</v>
      </c>
    </row>
    <row r="86" spans="1:16" x14ac:dyDescent="0.25">
      <c r="A86" t="s">
        <v>347</v>
      </c>
      <c r="B86" t="s">
        <v>346</v>
      </c>
      <c r="C86" t="s">
        <v>347</v>
      </c>
      <c r="D86" t="s">
        <v>348</v>
      </c>
      <c r="E86" t="s">
        <v>345</v>
      </c>
      <c r="F86" t="s">
        <v>61</v>
      </c>
      <c r="G86" t="s">
        <v>331</v>
      </c>
      <c r="H86">
        <v>3</v>
      </c>
      <c r="I86" t="b">
        <v>1</v>
      </c>
      <c r="J86" t="s">
        <v>346</v>
      </c>
      <c r="K86">
        <v>1</v>
      </c>
      <c r="L86" t="s">
        <v>4111</v>
      </c>
      <c r="M86">
        <v>2</v>
      </c>
      <c r="N86">
        <v>2</v>
      </c>
      <c r="O86">
        <v>2035895256.24</v>
      </c>
      <c r="P86" t="s">
        <v>4109</v>
      </c>
    </row>
    <row r="87" spans="1:16" x14ac:dyDescent="0.25">
      <c r="A87" t="s">
        <v>1908</v>
      </c>
      <c r="B87" t="s">
        <v>1907</v>
      </c>
      <c r="C87" t="s">
        <v>1908</v>
      </c>
      <c r="D87" t="s">
        <v>1909</v>
      </c>
      <c r="E87" t="s">
        <v>1910</v>
      </c>
      <c r="F87" t="s">
        <v>50</v>
      </c>
      <c r="G87" t="s">
        <v>241</v>
      </c>
      <c r="H87">
        <v>3</v>
      </c>
      <c r="I87" t="b">
        <v>1</v>
      </c>
      <c r="J87" t="s">
        <v>1907</v>
      </c>
      <c r="K87">
        <v>1</v>
      </c>
      <c r="L87" t="s">
        <v>1781</v>
      </c>
      <c r="M87">
        <v>1</v>
      </c>
      <c r="N87">
        <v>1</v>
      </c>
      <c r="O87">
        <v>2026784512.2</v>
      </c>
      <c r="P87" t="s">
        <v>4109</v>
      </c>
    </row>
    <row r="88" spans="1:16" x14ac:dyDescent="0.25">
      <c r="A88" t="s">
        <v>1876</v>
      </c>
      <c r="B88" t="s">
        <v>1875</v>
      </c>
      <c r="C88" t="s">
        <v>1876</v>
      </c>
      <c r="D88" t="s">
        <v>1877</v>
      </c>
      <c r="E88" t="s">
        <v>1857</v>
      </c>
      <c r="F88" t="s">
        <v>50</v>
      </c>
      <c r="G88" t="s">
        <v>241</v>
      </c>
      <c r="H88">
        <v>3</v>
      </c>
      <c r="I88" t="b">
        <v>1</v>
      </c>
      <c r="J88" t="s">
        <v>1875</v>
      </c>
      <c r="K88">
        <v>1</v>
      </c>
      <c r="L88" t="s">
        <v>1781</v>
      </c>
      <c r="M88">
        <v>1</v>
      </c>
      <c r="N88">
        <v>1</v>
      </c>
      <c r="O88">
        <v>2023144901.05</v>
      </c>
      <c r="P88" t="s">
        <v>4109</v>
      </c>
    </row>
    <row r="89" spans="1:16" x14ac:dyDescent="0.25">
      <c r="A89" t="s">
        <v>796</v>
      </c>
      <c r="B89" t="s">
        <v>795</v>
      </c>
      <c r="C89" t="s">
        <v>796</v>
      </c>
      <c r="D89" t="s">
        <v>797</v>
      </c>
      <c r="E89" t="s">
        <v>761</v>
      </c>
      <c r="F89" t="s">
        <v>112</v>
      </c>
      <c r="G89" t="s">
        <v>32</v>
      </c>
      <c r="H89">
        <v>3</v>
      </c>
      <c r="I89" t="b">
        <v>1</v>
      </c>
      <c r="J89" t="s">
        <v>795</v>
      </c>
      <c r="K89">
        <v>1</v>
      </c>
      <c r="L89" t="s">
        <v>4151</v>
      </c>
      <c r="M89">
        <v>4</v>
      </c>
      <c r="N89">
        <v>4</v>
      </c>
      <c r="O89">
        <v>2005345850.01</v>
      </c>
      <c r="P89" t="s">
        <v>4109</v>
      </c>
    </row>
    <row r="90" spans="1:16" x14ac:dyDescent="0.25">
      <c r="A90" t="s">
        <v>1812</v>
      </c>
      <c r="B90" t="s">
        <v>1811</v>
      </c>
      <c r="C90" t="s">
        <v>1812</v>
      </c>
      <c r="D90" t="s">
        <v>1813</v>
      </c>
      <c r="E90" t="s">
        <v>1810</v>
      </c>
      <c r="F90" t="s">
        <v>50</v>
      </c>
      <c r="G90" t="s">
        <v>26</v>
      </c>
      <c r="H90">
        <v>3</v>
      </c>
      <c r="I90" t="b">
        <v>1</v>
      </c>
      <c r="J90" t="s">
        <v>1811</v>
      </c>
      <c r="K90">
        <v>1</v>
      </c>
      <c r="L90" t="s">
        <v>1781</v>
      </c>
      <c r="M90">
        <v>1</v>
      </c>
      <c r="N90">
        <v>1</v>
      </c>
      <c r="O90">
        <v>1956968282.8199999</v>
      </c>
      <c r="P90" t="s">
        <v>4109</v>
      </c>
    </row>
    <row r="91" spans="1:16" x14ac:dyDescent="0.25">
      <c r="A91" t="s">
        <v>1830</v>
      </c>
      <c r="B91" t="s">
        <v>1829</v>
      </c>
      <c r="C91" t="s">
        <v>1830</v>
      </c>
      <c r="D91" t="s">
        <v>1831</v>
      </c>
      <c r="E91" t="s">
        <v>1634</v>
      </c>
      <c r="F91" t="s">
        <v>50</v>
      </c>
      <c r="G91" t="s">
        <v>241</v>
      </c>
      <c r="H91">
        <v>3</v>
      </c>
      <c r="I91" t="b">
        <v>1</v>
      </c>
      <c r="J91" t="s">
        <v>1829</v>
      </c>
      <c r="K91">
        <v>1</v>
      </c>
      <c r="L91" t="s">
        <v>1781</v>
      </c>
      <c r="M91">
        <v>1</v>
      </c>
      <c r="N91">
        <v>1</v>
      </c>
      <c r="O91">
        <v>1948097242.1099999</v>
      </c>
      <c r="P91" t="s">
        <v>4109</v>
      </c>
    </row>
    <row r="92" spans="1:16" x14ac:dyDescent="0.25">
      <c r="A92" t="s">
        <v>182</v>
      </c>
      <c r="B92" t="s">
        <v>181</v>
      </c>
      <c r="C92" t="s">
        <v>182</v>
      </c>
      <c r="D92" t="s">
        <v>183</v>
      </c>
      <c r="E92" t="s">
        <v>184</v>
      </c>
      <c r="F92" t="s">
        <v>112</v>
      </c>
      <c r="G92" t="s">
        <v>32</v>
      </c>
      <c r="H92">
        <v>3</v>
      </c>
      <c r="I92" t="b">
        <v>1</v>
      </c>
      <c r="J92" t="s">
        <v>181</v>
      </c>
      <c r="K92">
        <v>1</v>
      </c>
      <c r="L92" t="s">
        <v>4152</v>
      </c>
      <c r="M92">
        <v>2</v>
      </c>
      <c r="N92">
        <v>2</v>
      </c>
      <c r="O92">
        <v>1669135505.28</v>
      </c>
      <c r="P92" t="s">
        <v>4109</v>
      </c>
    </row>
    <row r="93" spans="1:16" x14ac:dyDescent="0.25">
      <c r="A93" t="s">
        <v>1940</v>
      </c>
      <c r="B93" t="s">
        <v>1939</v>
      </c>
      <c r="C93" t="s">
        <v>1940</v>
      </c>
      <c r="D93" t="s">
        <v>1941</v>
      </c>
      <c r="E93" t="s">
        <v>1935</v>
      </c>
      <c r="F93" t="s">
        <v>50</v>
      </c>
      <c r="G93" t="s">
        <v>241</v>
      </c>
      <c r="H93">
        <v>3</v>
      </c>
      <c r="I93" t="b">
        <v>1</v>
      </c>
      <c r="J93" t="s">
        <v>1939</v>
      </c>
      <c r="K93">
        <v>1</v>
      </c>
      <c r="L93" t="s">
        <v>1781</v>
      </c>
      <c r="M93">
        <v>1</v>
      </c>
      <c r="N93">
        <v>1</v>
      </c>
      <c r="O93">
        <v>1661362867.99</v>
      </c>
      <c r="P93" t="s">
        <v>4109</v>
      </c>
    </row>
    <row r="94" spans="1:16" x14ac:dyDescent="0.25">
      <c r="A94" t="s">
        <v>2071</v>
      </c>
      <c r="B94" t="s">
        <v>2070</v>
      </c>
      <c r="C94" t="s">
        <v>2071</v>
      </c>
      <c r="D94" t="s">
        <v>2072</v>
      </c>
      <c r="E94" t="s">
        <v>104</v>
      </c>
      <c r="F94" t="s">
        <v>50</v>
      </c>
      <c r="G94" t="s">
        <v>26</v>
      </c>
      <c r="H94">
        <v>3</v>
      </c>
      <c r="I94" t="b">
        <v>1</v>
      </c>
      <c r="J94" t="s">
        <v>2070</v>
      </c>
      <c r="K94">
        <v>1</v>
      </c>
      <c r="L94" t="s">
        <v>1781</v>
      </c>
      <c r="M94">
        <v>1</v>
      </c>
      <c r="N94">
        <v>1</v>
      </c>
      <c r="O94">
        <v>1660629628.26</v>
      </c>
      <c r="P94" t="s">
        <v>4109</v>
      </c>
    </row>
    <row r="95" spans="1:16" x14ac:dyDescent="0.25">
      <c r="A95" t="s">
        <v>2005</v>
      </c>
      <c r="B95" t="s">
        <v>2004</v>
      </c>
      <c r="C95" t="s">
        <v>2005</v>
      </c>
      <c r="D95" t="s">
        <v>2006</v>
      </c>
      <c r="E95" t="s">
        <v>1806</v>
      </c>
      <c r="F95" t="s">
        <v>50</v>
      </c>
      <c r="G95" t="s">
        <v>241</v>
      </c>
      <c r="H95">
        <v>3</v>
      </c>
      <c r="I95" t="b">
        <v>1</v>
      </c>
      <c r="J95" t="s">
        <v>2004</v>
      </c>
      <c r="K95">
        <v>1</v>
      </c>
      <c r="L95" t="s">
        <v>1781</v>
      </c>
      <c r="M95">
        <v>1</v>
      </c>
      <c r="N95">
        <v>1</v>
      </c>
      <c r="O95">
        <v>1658654232.1199999</v>
      </c>
      <c r="P95" t="s">
        <v>4109</v>
      </c>
    </row>
    <row r="96" spans="1:16" x14ac:dyDescent="0.25">
      <c r="A96" t="s">
        <v>1845</v>
      </c>
      <c r="B96" t="s">
        <v>1844</v>
      </c>
      <c r="C96" t="s">
        <v>1845</v>
      </c>
      <c r="D96" t="s">
        <v>1846</v>
      </c>
      <c r="E96" t="s">
        <v>1785</v>
      </c>
      <c r="F96" t="s">
        <v>50</v>
      </c>
      <c r="G96" t="s">
        <v>241</v>
      </c>
      <c r="H96">
        <v>3</v>
      </c>
      <c r="I96" t="b">
        <v>1</v>
      </c>
      <c r="J96" t="s">
        <v>1844</v>
      </c>
      <c r="K96">
        <v>1</v>
      </c>
      <c r="L96" t="s">
        <v>1781</v>
      </c>
      <c r="M96">
        <v>1</v>
      </c>
      <c r="N96">
        <v>1</v>
      </c>
      <c r="O96">
        <v>1646459337.46</v>
      </c>
      <c r="P96" t="s">
        <v>4109</v>
      </c>
    </row>
    <row r="97" spans="1:16" x14ac:dyDescent="0.25">
      <c r="A97" t="s">
        <v>4153</v>
      </c>
      <c r="B97" t="s">
        <v>1952</v>
      </c>
      <c r="C97" t="s">
        <v>1953</v>
      </c>
      <c r="D97" t="s">
        <v>1954</v>
      </c>
      <c r="E97" t="s">
        <v>1857</v>
      </c>
      <c r="F97" t="s">
        <v>50</v>
      </c>
      <c r="G97" t="s">
        <v>241</v>
      </c>
      <c r="H97">
        <v>3</v>
      </c>
      <c r="I97" t="b">
        <v>1</v>
      </c>
      <c r="J97" t="s">
        <v>1952</v>
      </c>
      <c r="K97">
        <v>1</v>
      </c>
      <c r="L97" t="s">
        <v>1781</v>
      </c>
      <c r="M97">
        <v>1</v>
      </c>
      <c r="N97">
        <v>1</v>
      </c>
      <c r="O97">
        <v>1644805302.51</v>
      </c>
      <c r="P97" t="s">
        <v>4109</v>
      </c>
    </row>
    <row r="98" spans="1:16" x14ac:dyDescent="0.25">
      <c r="A98" t="s">
        <v>1873</v>
      </c>
      <c r="B98" t="s">
        <v>1872</v>
      </c>
      <c r="C98" t="s">
        <v>1873</v>
      </c>
      <c r="D98" t="s">
        <v>1874</v>
      </c>
      <c r="E98" t="s">
        <v>1857</v>
      </c>
      <c r="F98" t="s">
        <v>50</v>
      </c>
      <c r="G98" t="s">
        <v>241</v>
      </c>
      <c r="H98">
        <v>3</v>
      </c>
      <c r="I98" t="b">
        <v>1</v>
      </c>
      <c r="J98" t="s">
        <v>1872</v>
      </c>
      <c r="K98">
        <v>1</v>
      </c>
      <c r="L98" t="s">
        <v>1781</v>
      </c>
      <c r="M98">
        <v>1</v>
      </c>
      <c r="N98">
        <v>1</v>
      </c>
      <c r="O98">
        <v>1635208097.3199999</v>
      </c>
      <c r="P98" t="s">
        <v>4109</v>
      </c>
    </row>
    <row r="99" spans="1:16" x14ac:dyDescent="0.25">
      <c r="A99" t="s">
        <v>1998</v>
      </c>
      <c r="B99" t="s">
        <v>1997</v>
      </c>
      <c r="C99" t="s">
        <v>1998</v>
      </c>
      <c r="D99" t="s">
        <v>1999</v>
      </c>
      <c r="E99" t="s">
        <v>2000</v>
      </c>
      <c r="F99" t="s">
        <v>50</v>
      </c>
      <c r="G99" t="s">
        <v>241</v>
      </c>
      <c r="H99">
        <v>3</v>
      </c>
      <c r="I99" t="b">
        <v>1</v>
      </c>
      <c r="J99" t="s">
        <v>1997</v>
      </c>
      <c r="K99">
        <v>1</v>
      </c>
      <c r="L99" t="s">
        <v>1781</v>
      </c>
      <c r="M99">
        <v>1</v>
      </c>
      <c r="N99">
        <v>1</v>
      </c>
      <c r="O99">
        <v>1625678463.21</v>
      </c>
      <c r="P99" t="s">
        <v>4109</v>
      </c>
    </row>
    <row r="100" spans="1:16" x14ac:dyDescent="0.25">
      <c r="A100" t="s">
        <v>83</v>
      </c>
      <c r="B100" t="s">
        <v>82</v>
      </c>
      <c r="C100" t="s">
        <v>83</v>
      </c>
      <c r="D100" t="s">
        <v>84</v>
      </c>
      <c r="E100" t="s">
        <v>85</v>
      </c>
      <c r="F100" t="s">
        <v>61</v>
      </c>
      <c r="G100" t="s">
        <v>32</v>
      </c>
      <c r="H100">
        <v>3</v>
      </c>
      <c r="I100" t="b">
        <v>1</v>
      </c>
      <c r="J100" t="s">
        <v>4154</v>
      </c>
      <c r="K100">
        <v>2</v>
      </c>
      <c r="L100" t="s">
        <v>4155</v>
      </c>
      <c r="M100">
        <v>6</v>
      </c>
      <c r="N100">
        <v>9</v>
      </c>
      <c r="O100">
        <v>1611791128.47</v>
      </c>
      <c r="P100" t="s">
        <v>4109</v>
      </c>
    </row>
    <row r="101" spans="1:16" x14ac:dyDescent="0.25">
      <c r="A101" t="s">
        <v>1933</v>
      </c>
      <c r="B101" t="s">
        <v>1932</v>
      </c>
      <c r="C101" t="s">
        <v>1933</v>
      </c>
      <c r="D101" t="s">
        <v>1934</v>
      </c>
      <c r="E101" t="s">
        <v>1935</v>
      </c>
      <c r="F101" t="s">
        <v>50</v>
      </c>
      <c r="G101" t="s">
        <v>241</v>
      </c>
      <c r="H101">
        <v>3</v>
      </c>
      <c r="I101" t="b">
        <v>1</v>
      </c>
      <c r="J101" t="s">
        <v>1932</v>
      </c>
      <c r="K101">
        <v>1</v>
      </c>
      <c r="L101" t="s">
        <v>1781</v>
      </c>
      <c r="M101">
        <v>1</v>
      </c>
      <c r="N101">
        <v>1</v>
      </c>
      <c r="O101">
        <v>1611736366.45</v>
      </c>
      <c r="P101" t="s">
        <v>4109</v>
      </c>
    </row>
    <row r="102" spans="1:16" x14ac:dyDescent="0.25">
      <c r="A102" t="s">
        <v>4156</v>
      </c>
      <c r="B102" t="s">
        <v>1792</v>
      </c>
      <c r="C102" t="s">
        <v>1793</v>
      </c>
      <c r="D102" t="s">
        <v>1794</v>
      </c>
      <c r="E102" t="s">
        <v>1795</v>
      </c>
      <c r="F102" t="s">
        <v>50</v>
      </c>
      <c r="G102" t="s">
        <v>26</v>
      </c>
      <c r="H102">
        <v>3</v>
      </c>
      <c r="I102" t="b">
        <v>1</v>
      </c>
      <c r="J102" t="s">
        <v>1792</v>
      </c>
      <c r="K102">
        <v>1</v>
      </c>
      <c r="L102" t="s">
        <v>1781</v>
      </c>
      <c r="M102">
        <v>1</v>
      </c>
      <c r="N102">
        <v>1</v>
      </c>
      <c r="O102">
        <v>1535451321.8499999</v>
      </c>
      <c r="P102" t="s">
        <v>4109</v>
      </c>
    </row>
    <row r="103" spans="1:16" x14ac:dyDescent="0.25">
      <c r="A103" t="s">
        <v>1827</v>
      </c>
      <c r="B103" t="s">
        <v>1826</v>
      </c>
      <c r="C103" t="s">
        <v>1827</v>
      </c>
      <c r="D103" t="s">
        <v>1828</v>
      </c>
      <c r="E103" t="s">
        <v>1634</v>
      </c>
      <c r="F103" t="s">
        <v>50</v>
      </c>
      <c r="G103" t="s">
        <v>241</v>
      </c>
      <c r="H103">
        <v>3</v>
      </c>
      <c r="I103" t="b">
        <v>1</v>
      </c>
      <c r="J103" t="s">
        <v>1826</v>
      </c>
      <c r="K103">
        <v>1</v>
      </c>
      <c r="L103" t="s">
        <v>1781</v>
      </c>
      <c r="M103">
        <v>1</v>
      </c>
      <c r="N103">
        <v>1</v>
      </c>
      <c r="O103">
        <v>1435506650.3900001</v>
      </c>
      <c r="P103" t="s">
        <v>4109</v>
      </c>
    </row>
    <row r="104" spans="1:16" x14ac:dyDescent="0.25">
      <c r="A104" t="s">
        <v>2037</v>
      </c>
      <c r="B104" t="s">
        <v>2036</v>
      </c>
      <c r="C104" t="s">
        <v>2037</v>
      </c>
      <c r="D104" t="s">
        <v>2038</v>
      </c>
      <c r="E104" t="s">
        <v>1996</v>
      </c>
      <c r="F104" t="s">
        <v>50</v>
      </c>
      <c r="G104" t="s">
        <v>241</v>
      </c>
      <c r="H104">
        <v>3</v>
      </c>
      <c r="I104" t="b">
        <v>1</v>
      </c>
      <c r="J104" t="s">
        <v>2036</v>
      </c>
      <c r="K104">
        <v>1</v>
      </c>
      <c r="L104" t="s">
        <v>1781</v>
      </c>
      <c r="M104">
        <v>1</v>
      </c>
      <c r="N104">
        <v>1</v>
      </c>
      <c r="O104">
        <v>1428337241.55</v>
      </c>
      <c r="P104" t="s">
        <v>4109</v>
      </c>
    </row>
    <row r="105" spans="1:16" x14ac:dyDescent="0.25">
      <c r="A105" t="s">
        <v>1966</v>
      </c>
      <c r="B105" t="s">
        <v>1965</v>
      </c>
      <c r="C105" t="s">
        <v>1966</v>
      </c>
      <c r="D105" t="s">
        <v>1967</v>
      </c>
      <c r="E105" t="s">
        <v>1961</v>
      </c>
      <c r="F105" t="s">
        <v>50</v>
      </c>
      <c r="G105" t="s">
        <v>241</v>
      </c>
      <c r="H105">
        <v>3</v>
      </c>
      <c r="I105" t="b">
        <v>1</v>
      </c>
      <c r="J105" t="s">
        <v>1965</v>
      </c>
      <c r="K105">
        <v>1</v>
      </c>
      <c r="L105" t="s">
        <v>1781</v>
      </c>
      <c r="M105">
        <v>1</v>
      </c>
      <c r="N105">
        <v>1</v>
      </c>
      <c r="O105">
        <v>1275809071.8399999</v>
      </c>
      <c r="P105" t="s">
        <v>4109</v>
      </c>
    </row>
    <row r="106" spans="1:16" x14ac:dyDescent="0.25">
      <c r="A106" t="s">
        <v>1963</v>
      </c>
      <c r="B106" t="s">
        <v>1962</v>
      </c>
      <c r="C106" t="s">
        <v>1963</v>
      </c>
      <c r="D106" t="s">
        <v>1964</v>
      </c>
      <c r="E106" t="s">
        <v>1961</v>
      </c>
      <c r="F106" t="s">
        <v>50</v>
      </c>
      <c r="G106" t="s">
        <v>241</v>
      </c>
      <c r="H106">
        <v>3</v>
      </c>
      <c r="I106" t="b">
        <v>1</v>
      </c>
      <c r="J106" t="s">
        <v>1962</v>
      </c>
      <c r="K106">
        <v>1</v>
      </c>
      <c r="L106" t="s">
        <v>1781</v>
      </c>
      <c r="M106">
        <v>1</v>
      </c>
      <c r="N106">
        <v>1</v>
      </c>
      <c r="O106">
        <v>1259379500.1300001</v>
      </c>
      <c r="P106" t="s">
        <v>4109</v>
      </c>
    </row>
    <row r="107" spans="1:16" x14ac:dyDescent="0.25">
      <c r="A107" t="s">
        <v>1888</v>
      </c>
      <c r="B107" t="s">
        <v>1887</v>
      </c>
      <c r="C107" t="s">
        <v>1888</v>
      </c>
      <c r="D107" t="s">
        <v>1889</v>
      </c>
      <c r="E107" t="s">
        <v>1795</v>
      </c>
      <c r="F107" t="s">
        <v>50</v>
      </c>
      <c r="G107" t="s">
        <v>241</v>
      </c>
      <c r="H107">
        <v>3</v>
      </c>
      <c r="I107" t="b">
        <v>1</v>
      </c>
      <c r="J107" t="s">
        <v>1887</v>
      </c>
      <c r="K107">
        <v>1</v>
      </c>
      <c r="L107" t="s">
        <v>1781</v>
      </c>
      <c r="M107">
        <v>1</v>
      </c>
      <c r="N107">
        <v>1</v>
      </c>
      <c r="O107">
        <v>1247103863.98</v>
      </c>
      <c r="P107" t="s">
        <v>4109</v>
      </c>
    </row>
    <row r="108" spans="1:16" x14ac:dyDescent="0.25">
      <c r="A108" t="s">
        <v>1882</v>
      </c>
      <c r="B108" t="s">
        <v>1881</v>
      </c>
      <c r="C108" t="s">
        <v>1882</v>
      </c>
      <c r="D108" t="s">
        <v>1883</v>
      </c>
      <c r="E108" t="s">
        <v>1795</v>
      </c>
      <c r="F108" t="s">
        <v>50</v>
      </c>
      <c r="G108" t="s">
        <v>241</v>
      </c>
      <c r="H108">
        <v>3</v>
      </c>
      <c r="I108" t="b">
        <v>1</v>
      </c>
      <c r="J108" t="s">
        <v>1881</v>
      </c>
      <c r="K108">
        <v>1</v>
      </c>
      <c r="L108" t="s">
        <v>1781</v>
      </c>
      <c r="M108">
        <v>1</v>
      </c>
      <c r="N108">
        <v>1</v>
      </c>
      <c r="O108">
        <v>1239674727.6700001</v>
      </c>
      <c r="P108" t="s">
        <v>4109</v>
      </c>
    </row>
    <row r="109" spans="1:16" x14ac:dyDescent="0.25">
      <c r="A109" t="s">
        <v>4157</v>
      </c>
      <c r="B109" t="s">
        <v>1841</v>
      </c>
      <c r="C109" t="s">
        <v>1842</v>
      </c>
      <c r="D109" t="s">
        <v>1843</v>
      </c>
      <c r="E109" t="s">
        <v>1802</v>
      </c>
      <c r="F109" t="s">
        <v>50</v>
      </c>
      <c r="G109" t="s">
        <v>241</v>
      </c>
      <c r="H109">
        <v>3</v>
      </c>
      <c r="I109" t="b">
        <v>1</v>
      </c>
      <c r="J109" t="s">
        <v>1841</v>
      </c>
      <c r="K109">
        <v>1</v>
      </c>
      <c r="L109" t="s">
        <v>1781</v>
      </c>
      <c r="M109">
        <v>1</v>
      </c>
      <c r="N109">
        <v>1</v>
      </c>
      <c r="O109">
        <v>1230329780.1800001</v>
      </c>
      <c r="P109" t="s">
        <v>4109</v>
      </c>
    </row>
    <row r="110" spans="1:16" x14ac:dyDescent="0.25">
      <c r="A110" t="s">
        <v>1833</v>
      </c>
      <c r="B110" t="s">
        <v>1832</v>
      </c>
      <c r="C110" t="s">
        <v>1833</v>
      </c>
      <c r="D110" t="s">
        <v>1834</v>
      </c>
      <c r="E110" t="s">
        <v>444</v>
      </c>
      <c r="F110" t="s">
        <v>50</v>
      </c>
      <c r="G110" t="s">
        <v>241</v>
      </c>
      <c r="H110">
        <v>3</v>
      </c>
      <c r="I110" t="b">
        <v>1</v>
      </c>
      <c r="J110" t="s">
        <v>1832</v>
      </c>
      <c r="K110">
        <v>1</v>
      </c>
      <c r="L110" t="s">
        <v>1781</v>
      </c>
      <c r="M110">
        <v>1</v>
      </c>
      <c r="N110">
        <v>1</v>
      </c>
      <c r="O110">
        <v>1214003144.0599999</v>
      </c>
      <c r="P110" t="s">
        <v>4109</v>
      </c>
    </row>
    <row r="111" spans="1:16" x14ac:dyDescent="0.25">
      <c r="A111" t="s">
        <v>2016</v>
      </c>
      <c r="B111" t="s">
        <v>2015</v>
      </c>
      <c r="C111" t="s">
        <v>2016</v>
      </c>
      <c r="D111" t="s">
        <v>2017</v>
      </c>
      <c r="E111" t="s">
        <v>2018</v>
      </c>
      <c r="F111" t="s">
        <v>50</v>
      </c>
      <c r="G111" t="s">
        <v>241</v>
      </c>
      <c r="H111">
        <v>3</v>
      </c>
      <c r="I111" t="b">
        <v>1</v>
      </c>
      <c r="J111" t="s">
        <v>2015</v>
      </c>
      <c r="K111">
        <v>1</v>
      </c>
      <c r="L111" t="s">
        <v>1781</v>
      </c>
      <c r="M111">
        <v>1</v>
      </c>
      <c r="N111">
        <v>1</v>
      </c>
      <c r="O111">
        <v>1212942069.1500001</v>
      </c>
      <c r="P111" t="s">
        <v>4109</v>
      </c>
    </row>
    <row r="112" spans="1:16" x14ac:dyDescent="0.25">
      <c r="A112" t="s">
        <v>343</v>
      </c>
      <c r="B112" t="s">
        <v>342</v>
      </c>
      <c r="C112" t="s">
        <v>343</v>
      </c>
      <c r="D112" t="s">
        <v>344</v>
      </c>
      <c r="E112" t="s">
        <v>345</v>
      </c>
      <c r="F112" t="s">
        <v>61</v>
      </c>
      <c r="G112" t="s">
        <v>331</v>
      </c>
      <c r="H112">
        <v>3</v>
      </c>
      <c r="I112" t="b">
        <v>1</v>
      </c>
      <c r="J112" t="s">
        <v>342</v>
      </c>
      <c r="K112">
        <v>1</v>
      </c>
      <c r="L112" t="s">
        <v>4111</v>
      </c>
      <c r="M112">
        <v>2</v>
      </c>
      <c r="N112">
        <v>2</v>
      </c>
      <c r="O112">
        <v>1191667772.26</v>
      </c>
      <c r="P112" t="s">
        <v>4109</v>
      </c>
    </row>
    <row r="113" spans="1:16" x14ac:dyDescent="0.25">
      <c r="A113" t="s">
        <v>1783</v>
      </c>
      <c r="B113" t="s">
        <v>1782</v>
      </c>
      <c r="C113" t="s">
        <v>1783</v>
      </c>
      <c r="D113" t="s">
        <v>1784</v>
      </c>
      <c r="E113" t="s">
        <v>1785</v>
      </c>
      <c r="F113" t="s">
        <v>50</v>
      </c>
      <c r="G113" t="s">
        <v>26</v>
      </c>
      <c r="H113">
        <v>3</v>
      </c>
      <c r="I113" t="b">
        <v>1</v>
      </c>
      <c r="J113" t="s">
        <v>1782</v>
      </c>
      <c r="K113">
        <v>1</v>
      </c>
      <c r="L113" t="s">
        <v>1781</v>
      </c>
      <c r="M113">
        <v>1</v>
      </c>
      <c r="N113">
        <v>1</v>
      </c>
      <c r="O113">
        <v>1124351228.1300001</v>
      </c>
      <c r="P113" t="s">
        <v>4109</v>
      </c>
    </row>
    <row r="114" spans="1:16" x14ac:dyDescent="0.25">
      <c r="A114" t="s">
        <v>1302</v>
      </c>
      <c r="B114" t="s">
        <v>1301</v>
      </c>
      <c r="C114" t="s">
        <v>1302</v>
      </c>
      <c r="D114" t="s">
        <v>1303</v>
      </c>
      <c r="E114" t="s">
        <v>1297</v>
      </c>
      <c r="F114" t="s">
        <v>31</v>
      </c>
      <c r="G114" t="s">
        <v>358</v>
      </c>
      <c r="H114">
        <v>3</v>
      </c>
      <c r="I114" t="b">
        <v>1</v>
      </c>
      <c r="J114" t="s">
        <v>1301</v>
      </c>
      <c r="K114">
        <v>1</v>
      </c>
      <c r="L114" t="s">
        <v>4111</v>
      </c>
      <c r="M114">
        <v>2</v>
      </c>
      <c r="N114">
        <v>2</v>
      </c>
      <c r="O114">
        <v>1094194616.8399999</v>
      </c>
      <c r="P114" t="s">
        <v>4109</v>
      </c>
    </row>
    <row r="115" spans="1:16" x14ac:dyDescent="0.25">
      <c r="A115" t="s">
        <v>1855</v>
      </c>
      <c r="B115" t="s">
        <v>1854</v>
      </c>
      <c r="C115" t="s">
        <v>1855</v>
      </c>
      <c r="D115" t="s">
        <v>1856</v>
      </c>
      <c r="E115" t="s">
        <v>1857</v>
      </c>
      <c r="F115" t="s">
        <v>50</v>
      </c>
      <c r="G115" t="s">
        <v>241</v>
      </c>
      <c r="H115">
        <v>3</v>
      </c>
      <c r="I115" t="b">
        <v>1</v>
      </c>
      <c r="J115" t="s">
        <v>1854</v>
      </c>
      <c r="K115">
        <v>1</v>
      </c>
      <c r="L115" t="s">
        <v>1781</v>
      </c>
      <c r="M115">
        <v>1</v>
      </c>
      <c r="N115">
        <v>1</v>
      </c>
      <c r="O115">
        <v>1037051958.11</v>
      </c>
      <c r="P115" t="s">
        <v>4109</v>
      </c>
    </row>
    <row r="116" spans="1:16" x14ac:dyDescent="0.25">
      <c r="A116" t="s">
        <v>1972</v>
      </c>
      <c r="B116" t="s">
        <v>1971</v>
      </c>
      <c r="C116" t="s">
        <v>1972</v>
      </c>
      <c r="D116" t="s">
        <v>1973</v>
      </c>
      <c r="E116" t="s">
        <v>1961</v>
      </c>
      <c r="F116" t="s">
        <v>50</v>
      </c>
      <c r="G116" t="s">
        <v>241</v>
      </c>
      <c r="H116">
        <v>3</v>
      </c>
      <c r="I116" t="b">
        <v>1</v>
      </c>
      <c r="J116" t="s">
        <v>1971</v>
      </c>
      <c r="K116">
        <v>1</v>
      </c>
      <c r="L116" t="s">
        <v>1781</v>
      </c>
      <c r="M116">
        <v>1</v>
      </c>
      <c r="N116">
        <v>1</v>
      </c>
      <c r="O116">
        <v>1033083234.37</v>
      </c>
      <c r="P116" t="s">
        <v>4109</v>
      </c>
    </row>
    <row r="117" spans="1:16" x14ac:dyDescent="0.25">
      <c r="A117" t="s">
        <v>1790</v>
      </c>
      <c r="B117" t="s">
        <v>1789</v>
      </c>
      <c r="C117" t="s">
        <v>1790</v>
      </c>
      <c r="D117" t="s">
        <v>1791</v>
      </c>
      <c r="E117" t="s">
        <v>444</v>
      </c>
      <c r="F117" t="s">
        <v>50</v>
      </c>
      <c r="G117" t="s">
        <v>26</v>
      </c>
      <c r="H117">
        <v>3</v>
      </c>
      <c r="I117" t="b">
        <v>1</v>
      </c>
      <c r="J117" t="s">
        <v>1789</v>
      </c>
      <c r="K117">
        <v>1</v>
      </c>
      <c r="L117" t="s">
        <v>1781</v>
      </c>
      <c r="M117">
        <v>1</v>
      </c>
      <c r="N117">
        <v>1</v>
      </c>
      <c r="O117">
        <v>1015809244.1900001</v>
      </c>
      <c r="P117" t="s">
        <v>4109</v>
      </c>
    </row>
    <row r="118" spans="1:16" x14ac:dyDescent="0.25">
      <c r="A118" t="s">
        <v>4158</v>
      </c>
      <c r="B118" t="s">
        <v>1878</v>
      </c>
      <c r="C118" t="s">
        <v>1879</v>
      </c>
      <c r="D118" t="s">
        <v>1880</v>
      </c>
      <c r="E118" t="s">
        <v>1857</v>
      </c>
      <c r="F118" t="s">
        <v>50</v>
      </c>
      <c r="G118" t="s">
        <v>241</v>
      </c>
      <c r="H118">
        <v>3</v>
      </c>
      <c r="I118" t="b">
        <v>1</v>
      </c>
      <c r="J118" t="s">
        <v>1878</v>
      </c>
      <c r="K118">
        <v>1</v>
      </c>
      <c r="L118" t="s">
        <v>1781</v>
      </c>
      <c r="M118">
        <v>1</v>
      </c>
      <c r="N118">
        <v>1</v>
      </c>
      <c r="O118">
        <v>1008209222.4400001</v>
      </c>
      <c r="P118" t="s">
        <v>4109</v>
      </c>
    </row>
    <row r="119" spans="1:16" x14ac:dyDescent="0.25">
      <c r="A119" t="s">
        <v>28</v>
      </c>
      <c r="B119" t="s">
        <v>27</v>
      </c>
      <c r="C119" t="s">
        <v>28</v>
      </c>
      <c r="D119" t="s">
        <v>29</v>
      </c>
      <c r="E119" t="s">
        <v>30</v>
      </c>
      <c r="F119" t="s">
        <v>31</v>
      </c>
      <c r="G119" t="s">
        <v>32</v>
      </c>
      <c r="H119">
        <v>3</v>
      </c>
      <c r="I119" t="b">
        <v>1</v>
      </c>
      <c r="J119" t="s">
        <v>27</v>
      </c>
      <c r="K119">
        <v>1</v>
      </c>
      <c r="L119" t="s">
        <v>4159</v>
      </c>
      <c r="M119">
        <v>4</v>
      </c>
      <c r="N119">
        <v>4</v>
      </c>
      <c r="O119">
        <v>979835390.08999991</v>
      </c>
      <c r="P119" t="s">
        <v>4109</v>
      </c>
    </row>
    <row r="120" spans="1:16" x14ac:dyDescent="0.25">
      <c r="A120" t="s">
        <v>1410</v>
      </c>
      <c r="B120" t="s">
        <v>1409</v>
      </c>
      <c r="C120" t="s">
        <v>1410</v>
      </c>
      <c r="D120" t="s">
        <v>1411</v>
      </c>
      <c r="E120" t="s">
        <v>1412</v>
      </c>
      <c r="F120" t="s">
        <v>50</v>
      </c>
      <c r="G120" t="s">
        <v>241</v>
      </c>
      <c r="H120">
        <v>3</v>
      </c>
      <c r="I120" t="b">
        <v>1</v>
      </c>
      <c r="J120" t="s">
        <v>1409</v>
      </c>
      <c r="K120">
        <v>1</v>
      </c>
      <c r="L120" t="s">
        <v>4110</v>
      </c>
      <c r="M120">
        <v>3</v>
      </c>
      <c r="N120">
        <v>3</v>
      </c>
      <c r="O120">
        <v>855264209.34000003</v>
      </c>
      <c r="P120" t="s">
        <v>4109</v>
      </c>
    </row>
    <row r="121" spans="1:16" x14ac:dyDescent="0.25">
      <c r="A121" t="s">
        <v>1896</v>
      </c>
      <c r="B121" t="s">
        <v>1895</v>
      </c>
      <c r="C121" t="s">
        <v>1896</v>
      </c>
      <c r="D121" t="s">
        <v>1897</v>
      </c>
      <c r="E121" t="s">
        <v>1898</v>
      </c>
      <c r="F121" t="s">
        <v>50</v>
      </c>
      <c r="G121" t="s">
        <v>241</v>
      </c>
      <c r="H121">
        <v>3</v>
      </c>
      <c r="I121" t="b">
        <v>1</v>
      </c>
      <c r="J121" t="s">
        <v>1895</v>
      </c>
      <c r="K121">
        <v>1</v>
      </c>
      <c r="L121" t="s">
        <v>1781</v>
      </c>
      <c r="M121">
        <v>1</v>
      </c>
      <c r="N121">
        <v>1</v>
      </c>
      <c r="O121">
        <v>847794066.74000001</v>
      </c>
      <c r="P121" t="s">
        <v>4109</v>
      </c>
    </row>
    <row r="122" spans="1:16" x14ac:dyDescent="0.25">
      <c r="A122" t="s">
        <v>4160</v>
      </c>
      <c r="B122" t="s">
        <v>2027</v>
      </c>
      <c r="C122" t="s">
        <v>2028</v>
      </c>
      <c r="D122" t="s">
        <v>2029</v>
      </c>
      <c r="E122" t="s">
        <v>2026</v>
      </c>
      <c r="F122" t="s">
        <v>50</v>
      </c>
      <c r="G122" t="s">
        <v>241</v>
      </c>
      <c r="H122">
        <v>3</v>
      </c>
      <c r="I122" t="b">
        <v>1</v>
      </c>
      <c r="J122" t="s">
        <v>2027</v>
      </c>
      <c r="K122">
        <v>1</v>
      </c>
      <c r="L122" t="s">
        <v>1781</v>
      </c>
      <c r="M122">
        <v>1</v>
      </c>
      <c r="N122">
        <v>1</v>
      </c>
      <c r="O122">
        <v>833574809.16000009</v>
      </c>
      <c r="P122" t="s">
        <v>4109</v>
      </c>
    </row>
    <row r="123" spans="1:16" x14ac:dyDescent="0.25">
      <c r="A123" t="s">
        <v>1418</v>
      </c>
      <c r="B123" t="s">
        <v>1417</v>
      </c>
      <c r="C123" t="s">
        <v>1418</v>
      </c>
      <c r="D123" t="s">
        <v>1419</v>
      </c>
      <c r="E123" t="s">
        <v>1420</v>
      </c>
      <c r="F123" t="s">
        <v>50</v>
      </c>
      <c r="G123" t="s">
        <v>241</v>
      </c>
      <c r="H123">
        <v>3</v>
      </c>
      <c r="I123" t="b">
        <v>1</v>
      </c>
      <c r="J123" t="s">
        <v>1417</v>
      </c>
      <c r="K123">
        <v>1</v>
      </c>
      <c r="L123" t="s">
        <v>4108</v>
      </c>
      <c r="M123">
        <v>2</v>
      </c>
      <c r="N123">
        <v>2</v>
      </c>
      <c r="O123">
        <v>819909808.53000009</v>
      </c>
      <c r="P123" t="s">
        <v>4109</v>
      </c>
    </row>
    <row r="124" spans="1:16" x14ac:dyDescent="0.25">
      <c r="A124" t="s">
        <v>1946</v>
      </c>
      <c r="B124" t="s">
        <v>1945</v>
      </c>
      <c r="C124" t="s">
        <v>1946</v>
      </c>
      <c r="D124" t="s">
        <v>1947</v>
      </c>
      <c r="E124" t="s">
        <v>1810</v>
      </c>
      <c r="F124" t="s">
        <v>50</v>
      </c>
      <c r="G124" t="s">
        <v>241</v>
      </c>
      <c r="H124">
        <v>3</v>
      </c>
      <c r="I124" t="b">
        <v>1</v>
      </c>
      <c r="J124" t="s">
        <v>1945</v>
      </c>
      <c r="K124">
        <v>1</v>
      </c>
      <c r="L124" t="s">
        <v>1781</v>
      </c>
      <c r="M124">
        <v>1</v>
      </c>
      <c r="N124">
        <v>1</v>
      </c>
      <c r="O124">
        <v>816295991.45999992</v>
      </c>
      <c r="P124" t="s">
        <v>4109</v>
      </c>
    </row>
    <row r="125" spans="1:16" x14ac:dyDescent="0.25">
      <c r="A125" t="s">
        <v>2008</v>
      </c>
      <c r="B125" t="s">
        <v>2007</v>
      </c>
      <c r="C125" t="s">
        <v>2008</v>
      </c>
      <c r="D125" t="s">
        <v>2009</v>
      </c>
      <c r="E125" t="s">
        <v>2010</v>
      </c>
      <c r="F125" t="s">
        <v>50</v>
      </c>
      <c r="G125" t="s">
        <v>241</v>
      </c>
      <c r="H125">
        <v>3</v>
      </c>
      <c r="I125" t="b">
        <v>1</v>
      </c>
      <c r="J125" t="s">
        <v>2007</v>
      </c>
      <c r="K125">
        <v>1</v>
      </c>
      <c r="L125" t="s">
        <v>1781</v>
      </c>
      <c r="M125">
        <v>1</v>
      </c>
      <c r="N125">
        <v>1</v>
      </c>
      <c r="O125">
        <v>775138482.92999995</v>
      </c>
      <c r="P125" t="s">
        <v>4109</v>
      </c>
    </row>
    <row r="126" spans="1:16" x14ac:dyDescent="0.25">
      <c r="A126" t="s">
        <v>2058</v>
      </c>
      <c r="B126" t="s">
        <v>2057</v>
      </c>
      <c r="C126" t="s">
        <v>2058</v>
      </c>
      <c r="D126" t="s">
        <v>2059</v>
      </c>
      <c r="E126" t="s">
        <v>1785</v>
      </c>
      <c r="F126" t="s">
        <v>50</v>
      </c>
      <c r="G126" t="s">
        <v>241</v>
      </c>
      <c r="H126">
        <v>3</v>
      </c>
      <c r="I126" t="b">
        <v>1</v>
      </c>
      <c r="J126" t="s">
        <v>2057</v>
      </c>
      <c r="K126">
        <v>1</v>
      </c>
      <c r="L126" t="s">
        <v>1781</v>
      </c>
      <c r="M126">
        <v>1</v>
      </c>
      <c r="N126">
        <v>1</v>
      </c>
      <c r="O126">
        <v>706849842.03999996</v>
      </c>
      <c r="P126" t="s">
        <v>4109</v>
      </c>
    </row>
    <row r="127" spans="1:16" x14ac:dyDescent="0.25">
      <c r="A127" t="s">
        <v>69</v>
      </c>
      <c r="B127" t="s">
        <v>68</v>
      </c>
      <c r="C127" t="s">
        <v>69</v>
      </c>
      <c r="D127" t="s">
        <v>70</v>
      </c>
      <c r="E127" t="s">
        <v>71</v>
      </c>
      <c r="F127" t="s">
        <v>74</v>
      </c>
      <c r="G127" t="s">
        <v>32</v>
      </c>
      <c r="H127">
        <v>3</v>
      </c>
      <c r="I127" t="b">
        <v>1</v>
      </c>
      <c r="J127" t="s">
        <v>4161</v>
      </c>
      <c r="K127">
        <v>2</v>
      </c>
      <c r="L127" t="s">
        <v>4123</v>
      </c>
      <c r="M127">
        <v>5</v>
      </c>
      <c r="N127">
        <v>5</v>
      </c>
      <c r="O127">
        <v>681456012.38</v>
      </c>
      <c r="P127" t="s">
        <v>4109</v>
      </c>
    </row>
    <row r="128" spans="1:16" x14ac:dyDescent="0.25">
      <c r="A128" t="s">
        <v>2031</v>
      </c>
      <c r="B128" t="s">
        <v>2030</v>
      </c>
      <c r="C128" t="s">
        <v>2031</v>
      </c>
      <c r="D128" t="s">
        <v>2032</v>
      </c>
      <c r="E128" t="s">
        <v>1906</v>
      </c>
      <c r="F128" t="s">
        <v>50</v>
      </c>
      <c r="G128" t="s">
        <v>241</v>
      </c>
      <c r="H128">
        <v>3</v>
      </c>
      <c r="I128" t="b">
        <v>1</v>
      </c>
      <c r="J128" t="s">
        <v>2030</v>
      </c>
      <c r="K128">
        <v>1</v>
      </c>
      <c r="L128" t="s">
        <v>1781</v>
      </c>
      <c r="M128">
        <v>1</v>
      </c>
      <c r="N128">
        <v>1</v>
      </c>
      <c r="O128">
        <v>677361794.00999999</v>
      </c>
      <c r="P128" t="s">
        <v>4109</v>
      </c>
    </row>
    <row r="129" spans="1:16" x14ac:dyDescent="0.25">
      <c r="A129" t="s">
        <v>143</v>
      </c>
      <c r="B129" t="s">
        <v>142</v>
      </c>
      <c r="C129" t="s">
        <v>143</v>
      </c>
      <c r="D129" t="s">
        <v>144</v>
      </c>
      <c r="E129" t="s">
        <v>145</v>
      </c>
      <c r="F129" t="s">
        <v>81</v>
      </c>
      <c r="G129" t="s">
        <v>129</v>
      </c>
      <c r="H129">
        <v>3</v>
      </c>
      <c r="I129" t="b">
        <v>1</v>
      </c>
      <c r="J129" t="s">
        <v>4162</v>
      </c>
      <c r="K129">
        <v>2</v>
      </c>
      <c r="L129" t="s">
        <v>4163</v>
      </c>
      <c r="M129">
        <v>2</v>
      </c>
      <c r="N129">
        <v>2</v>
      </c>
      <c r="O129">
        <v>654829032.25999999</v>
      </c>
      <c r="P129" t="s">
        <v>4109</v>
      </c>
    </row>
    <row r="130" spans="1:16" x14ac:dyDescent="0.25">
      <c r="A130" t="s">
        <v>1959</v>
      </c>
      <c r="B130" t="s">
        <v>1958</v>
      </c>
      <c r="C130" t="s">
        <v>1959</v>
      </c>
      <c r="D130" t="s">
        <v>1960</v>
      </c>
      <c r="E130" t="s">
        <v>1961</v>
      </c>
      <c r="F130" t="s">
        <v>50</v>
      </c>
      <c r="G130" t="s">
        <v>241</v>
      </c>
      <c r="H130">
        <v>3</v>
      </c>
      <c r="I130" t="b">
        <v>1</v>
      </c>
      <c r="J130" t="s">
        <v>1958</v>
      </c>
      <c r="K130">
        <v>1</v>
      </c>
      <c r="L130" t="s">
        <v>1781</v>
      </c>
      <c r="M130">
        <v>1</v>
      </c>
      <c r="N130">
        <v>1</v>
      </c>
      <c r="O130">
        <v>633942254.32000005</v>
      </c>
      <c r="P130" t="s">
        <v>4109</v>
      </c>
    </row>
    <row r="131" spans="1:16" x14ac:dyDescent="0.25">
      <c r="A131" t="s">
        <v>1836</v>
      </c>
      <c r="B131" t="s">
        <v>1835</v>
      </c>
      <c r="C131" t="s">
        <v>1836</v>
      </c>
      <c r="D131" t="s">
        <v>1837</v>
      </c>
      <c r="E131" t="s">
        <v>444</v>
      </c>
      <c r="F131" t="s">
        <v>50</v>
      </c>
      <c r="G131" t="s">
        <v>241</v>
      </c>
      <c r="H131">
        <v>3</v>
      </c>
      <c r="I131" t="b">
        <v>1</v>
      </c>
      <c r="J131" t="s">
        <v>1835</v>
      </c>
      <c r="K131">
        <v>1</v>
      </c>
      <c r="L131" t="s">
        <v>1781</v>
      </c>
      <c r="M131">
        <v>1</v>
      </c>
      <c r="N131">
        <v>1</v>
      </c>
      <c r="O131">
        <v>617411479.43000007</v>
      </c>
      <c r="P131" t="s">
        <v>4109</v>
      </c>
    </row>
    <row r="132" spans="1:16" x14ac:dyDescent="0.25">
      <c r="A132" t="s">
        <v>1821</v>
      </c>
      <c r="B132" t="s">
        <v>1820</v>
      </c>
      <c r="C132" t="s">
        <v>1821</v>
      </c>
      <c r="D132" t="s">
        <v>1822</v>
      </c>
      <c r="E132" t="s">
        <v>887</v>
      </c>
      <c r="F132" t="s">
        <v>50</v>
      </c>
      <c r="G132" t="s">
        <v>241</v>
      </c>
      <c r="H132">
        <v>3</v>
      </c>
      <c r="I132" t="b">
        <v>1</v>
      </c>
      <c r="J132" t="s">
        <v>1820</v>
      </c>
      <c r="K132">
        <v>1</v>
      </c>
      <c r="L132" t="s">
        <v>1781</v>
      </c>
      <c r="M132">
        <v>1</v>
      </c>
      <c r="N132">
        <v>1</v>
      </c>
      <c r="O132">
        <v>611049086.48999977</v>
      </c>
      <c r="P132" t="s">
        <v>4109</v>
      </c>
    </row>
    <row r="133" spans="1:16" x14ac:dyDescent="0.25">
      <c r="A133" t="s">
        <v>2040</v>
      </c>
      <c r="B133" t="s">
        <v>2039</v>
      </c>
      <c r="C133" t="s">
        <v>2040</v>
      </c>
      <c r="D133" t="s">
        <v>2041</v>
      </c>
      <c r="E133" t="s">
        <v>2042</v>
      </c>
      <c r="F133" t="s">
        <v>50</v>
      </c>
      <c r="G133" t="s">
        <v>241</v>
      </c>
      <c r="H133">
        <v>3</v>
      </c>
      <c r="I133" t="b">
        <v>1</v>
      </c>
      <c r="J133" t="s">
        <v>2039</v>
      </c>
      <c r="K133">
        <v>1</v>
      </c>
      <c r="L133" t="s">
        <v>1781</v>
      </c>
      <c r="M133">
        <v>1</v>
      </c>
      <c r="N133">
        <v>1</v>
      </c>
      <c r="O133">
        <v>605420878.64999998</v>
      </c>
      <c r="P133" t="s">
        <v>4109</v>
      </c>
    </row>
    <row r="134" spans="1:16" x14ac:dyDescent="0.25">
      <c r="A134" t="s">
        <v>2055</v>
      </c>
      <c r="B134" t="s">
        <v>2054</v>
      </c>
      <c r="C134" t="s">
        <v>2055</v>
      </c>
      <c r="D134" t="s">
        <v>2056</v>
      </c>
      <c r="E134" t="s">
        <v>2050</v>
      </c>
      <c r="F134" t="s">
        <v>50</v>
      </c>
      <c r="G134" t="s">
        <v>241</v>
      </c>
      <c r="H134">
        <v>3</v>
      </c>
      <c r="I134" t="b">
        <v>1</v>
      </c>
      <c r="J134" t="s">
        <v>2054</v>
      </c>
      <c r="K134">
        <v>1</v>
      </c>
      <c r="L134" t="s">
        <v>1781</v>
      </c>
      <c r="M134">
        <v>1</v>
      </c>
      <c r="N134">
        <v>1</v>
      </c>
      <c r="O134">
        <v>602767323.86999989</v>
      </c>
      <c r="P134" t="s">
        <v>4109</v>
      </c>
    </row>
    <row r="135" spans="1:16" x14ac:dyDescent="0.25">
      <c r="A135" t="s">
        <v>1299</v>
      </c>
      <c r="B135" t="s">
        <v>1298</v>
      </c>
      <c r="C135" t="s">
        <v>1299</v>
      </c>
      <c r="D135" t="s">
        <v>1300</v>
      </c>
      <c r="E135" t="s">
        <v>1297</v>
      </c>
      <c r="F135" t="s">
        <v>31</v>
      </c>
      <c r="G135" t="s">
        <v>358</v>
      </c>
      <c r="H135">
        <v>3</v>
      </c>
      <c r="I135" t="b">
        <v>1</v>
      </c>
      <c r="J135" t="s">
        <v>1298</v>
      </c>
      <c r="K135">
        <v>1</v>
      </c>
      <c r="L135" t="s">
        <v>4111</v>
      </c>
      <c r="M135">
        <v>2</v>
      </c>
      <c r="N135">
        <v>2</v>
      </c>
      <c r="O135">
        <v>599625278.30000007</v>
      </c>
      <c r="P135" t="s">
        <v>4109</v>
      </c>
    </row>
    <row r="136" spans="1:16" x14ac:dyDescent="0.25">
      <c r="A136" t="s">
        <v>2020</v>
      </c>
      <c r="B136" t="s">
        <v>2019</v>
      </c>
      <c r="C136" t="s">
        <v>2020</v>
      </c>
      <c r="D136" t="s">
        <v>2021</v>
      </c>
      <c r="E136" t="s">
        <v>2022</v>
      </c>
      <c r="F136" t="s">
        <v>50</v>
      </c>
      <c r="G136" t="s">
        <v>241</v>
      </c>
      <c r="H136">
        <v>3</v>
      </c>
      <c r="I136" t="b">
        <v>1</v>
      </c>
      <c r="J136" t="s">
        <v>2019</v>
      </c>
      <c r="K136">
        <v>1</v>
      </c>
      <c r="L136" t="s">
        <v>1781</v>
      </c>
      <c r="M136">
        <v>1</v>
      </c>
      <c r="N136">
        <v>1</v>
      </c>
      <c r="O136">
        <v>561085002.73000002</v>
      </c>
      <c r="P136" t="s">
        <v>4109</v>
      </c>
    </row>
    <row r="137" spans="1:16" x14ac:dyDescent="0.25">
      <c r="A137" t="s">
        <v>4164</v>
      </c>
      <c r="B137" t="s">
        <v>1803</v>
      </c>
      <c r="C137" t="s">
        <v>1804</v>
      </c>
      <c r="D137" t="s">
        <v>1805</v>
      </c>
      <c r="E137" t="s">
        <v>1806</v>
      </c>
      <c r="F137" t="s">
        <v>50</v>
      </c>
      <c r="G137" t="s">
        <v>26</v>
      </c>
      <c r="H137">
        <v>3</v>
      </c>
      <c r="I137" t="b">
        <v>1</v>
      </c>
      <c r="J137" t="s">
        <v>1803</v>
      </c>
      <c r="K137">
        <v>1</v>
      </c>
      <c r="L137" t="s">
        <v>1781</v>
      </c>
      <c r="M137">
        <v>1</v>
      </c>
      <c r="N137">
        <v>1</v>
      </c>
      <c r="O137">
        <v>513619976.18000001</v>
      </c>
      <c r="P137" t="s">
        <v>4109</v>
      </c>
    </row>
    <row r="138" spans="1:16" x14ac:dyDescent="0.25">
      <c r="A138" t="s">
        <v>2012</v>
      </c>
      <c r="B138" t="s">
        <v>2011</v>
      </c>
      <c r="C138" t="s">
        <v>2012</v>
      </c>
      <c r="D138" t="s">
        <v>2013</v>
      </c>
      <c r="E138" t="s">
        <v>2014</v>
      </c>
      <c r="F138" t="s">
        <v>50</v>
      </c>
      <c r="G138" t="s">
        <v>241</v>
      </c>
      <c r="H138">
        <v>3</v>
      </c>
      <c r="I138" t="b">
        <v>1</v>
      </c>
      <c r="J138" t="s">
        <v>2011</v>
      </c>
      <c r="K138">
        <v>1</v>
      </c>
      <c r="L138" t="s">
        <v>1781</v>
      </c>
      <c r="M138">
        <v>1</v>
      </c>
      <c r="N138">
        <v>1</v>
      </c>
      <c r="O138">
        <v>440868518.85000002</v>
      </c>
      <c r="P138" t="s">
        <v>4109</v>
      </c>
    </row>
    <row r="139" spans="1:16" x14ac:dyDescent="0.25">
      <c r="A139" t="s">
        <v>102</v>
      </c>
      <c r="B139" t="s">
        <v>101</v>
      </c>
      <c r="C139" t="s">
        <v>102</v>
      </c>
      <c r="D139" t="s">
        <v>103</v>
      </c>
      <c r="E139" t="s">
        <v>104</v>
      </c>
      <c r="F139" t="s">
        <v>50</v>
      </c>
      <c r="G139" t="s">
        <v>26</v>
      </c>
      <c r="H139">
        <v>3</v>
      </c>
      <c r="I139" t="b">
        <v>1</v>
      </c>
      <c r="J139" t="s">
        <v>101</v>
      </c>
      <c r="K139">
        <v>1</v>
      </c>
      <c r="L139" t="s">
        <v>25</v>
      </c>
      <c r="M139">
        <v>1</v>
      </c>
      <c r="N139">
        <v>1</v>
      </c>
      <c r="O139">
        <v>427034988.94</v>
      </c>
      <c r="P139" t="s">
        <v>4109</v>
      </c>
    </row>
    <row r="140" spans="1:16" x14ac:dyDescent="0.25">
      <c r="A140" t="s">
        <v>4165</v>
      </c>
      <c r="B140" t="s">
        <v>2023</v>
      </c>
      <c r="C140" t="s">
        <v>2024</v>
      </c>
      <c r="D140" t="s">
        <v>2025</v>
      </c>
      <c r="E140" t="s">
        <v>2026</v>
      </c>
      <c r="F140" t="s">
        <v>50</v>
      </c>
      <c r="G140" t="s">
        <v>241</v>
      </c>
      <c r="H140">
        <v>3</v>
      </c>
      <c r="I140" t="b">
        <v>1</v>
      </c>
      <c r="J140" t="s">
        <v>2023</v>
      </c>
      <c r="K140">
        <v>1</v>
      </c>
      <c r="L140" t="s">
        <v>1781</v>
      </c>
      <c r="M140">
        <v>1</v>
      </c>
      <c r="N140">
        <v>1</v>
      </c>
      <c r="O140">
        <v>414600848.69000012</v>
      </c>
      <c r="P140" t="s">
        <v>4109</v>
      </c>
    </row>
    <row r="141" spans="1:16" x14ac:dyDescent="0.25">
      <c r="A141" t="s">
        <v>2044</v>
      </c>
      <c r="B141" t="s">
        <v>2043</v>
      </c>
      <c r="C141" t="s">
        <v>2044</v>
      </c>
      <c r="D141" t="s">
        <v>2045</v>
      </c>
      <c r="E141" t="s">
        <v>2046</v>
      </c>
      <c r="F141" t="s">
        <v>50</v>
      </c>
      <c r="G141" t="s">
        <v>241</v>
      </c>
      <c r="H141">
        <v>3</v>
      </c>
      <c r="I141" t="b">
        <v>1</v>
      </c>
      <c r="J141" t="s">
        <v>2043</v>
      </c>
      <c r="K141">
        <v>1</v>
      </c>
      <c r="L141" t="s">
        <v>1781</v>
      </c>
      <c r="M141">
        <v>1</v>
      </c>
      <c r="N141">
        <v>1</v>
      </c>
      <c r="O141">
        <v>375238113.02999997</v>
      </c>
      <c r="P141" t="s">
        <v>4109</v>
      </c>
    </row>
    <row r="142" spans="1:16" x14ac:dyDescent="0.25">
      <c r="A142" t="s">
        <v>1414</v>
      </c>
      <c r="B142" t="s">
        <v>1413</v>
      </c>
      <c r="C142" t="s">
        <v>1414</v>
      </c>
      <c r="D142" t="s">
        <v>1415</v>
      </c>
      <c r="E142" t="s">
        <v>1416</v>
      </c>
      <c r="F142" t="s">
        <v>50</v>
      </c>
      <c r="G142" t="s">
        <v>241</v>
      </c>
      <c r="H142">
        <v>3</v>
      </c>
      <c r="I142" t="b">
        <v>1</v>
      </c>
      <c r="J142" t="s">
        <v>1413</v>
      </c>
      <c r="K142">
        <v>1</v>
      </c>
      <c r="L142" t="s">
        <v>4110</v>
      </c>
      <c r="M142">
        <v>3</v>
      </c>
      <c r="N142">
        <v>3</v>
      </c>
      <c r="O142">
        <v>342804828.81999999</v>
      </c>
      <c r="P142" t="s">
        <v>4109</v>
      </c>
    </row>
    <row r="143" spans="1:16" x14ac:dyDescent="0.25">
      <c r="A143" t="s">
        <v>592</v>
      </c>
      <c r="B143" t="s">
        <v>591</v>
      </c>
      <c r="C143" t="s">
        <v>592</v>
      </c>
      <c r="D143" t="s">
        <v>593</v>
      </c>
      <c r="E143" t="s">
        <v>594</v>
      </c>
      <c r="F143" t="s">
        <v>31</v>
      </c>
      <c r="G143" t="s">
        <v>32</v>
      </c>
      <c r="H143">
        <v>3</v>
      </c>
      <c r="I143" t="b">
        <v>1</v>
      </c>
      <c r="J143" t="s">
        <v>4166</v>
      </c>
      <c r="K143">
        <v>2</v>
      </c>
      <c r="L143" t="s">
        <v>4167</v>
      </c>
      <c r="M143">
        <v>5</v>
      </c>
      <c r="N143">
        <v>7</v>
      </c>
      <c r="O143">
        <v>253890293.77999991</v>
      </c>
      <c r="P143" t="s">
        <v>4109</v>
      </c>
    </row>
    <row r="144" spans="1:16" x14ac:dyDescent="0.25">
      <c r="A144" t="s">
        <v>2048</v>
      </c>
      <c r="B144" t="s">
        <v>2047</v>
      </c>
      <c r="C144" t="s">
        <v>2048</v>
      </c>
      <c r="D144" t="s">
        <v>2049</v>
      </c>
      <c r="E144" t="s">
        <v>2050</v>
      </c>
      <c r="F144" t="s">
        <v>50</v>
      </c>
      <c r="G144" t="s">
        <v>241</v>
      </c>
      <c r="H144">
        <v>3</v>
      </c>
      <c r="I144" t="b">
        <v>1</v>
      </c>
      <c r="J144" t="s">
        <v>2047</v>
      </c>
      <c r="K144">
        <v>1</v>
      </c>
      <c r="L144" t="s">
        <v>1781</v>
      </c>
      <c r="M144">
        <v>1</v>
      </c>
      <c r="N144">
        <v>1</v>
      </c>
      <c r="O144">
        <v>214310366.66999999</v>
      </c>
      <c r="P144" t="s">
        <v>4109</v>
      </c>
    </row>
    <row r="145" spans="1:16" x14ac:dyDescent="0.25">
      <c r="A145" t="s">
        <v>2092</v>
      </c>
      <c r="B145" t="s">
        <v>2091</v>
      </c>
      <c r="C145" t="s">
        <v>2092</v>
      </c>
      <c r="D145" t="s">
        <v>2093</v>
      </c>
      <c r="E145" t="s">
        <v>104</v>
      </c>
      <c r="F145" t="s">
        <v>50</v>
      </c>
      <c r="G145" t="s">
        <v>241</v>
      </c>
      <c r="H145">
        <v>3</v>
      </c>
      <c r="I145" t="b">
        <v>1</v>
      </c>
      <c r="J145" t="s">
        <v>2091</v>
      </c>
      <c r="K145">
        <v>1</v>
      </c>
      <c r="L145" t="s">
        <v>1781</v>
      </c>
      <c r="M145">
        <v>1</v>
      </c>
      <c r="N145">
        <v>1</v>
      </c>
      <c r="O145">
        <v>209847869.13999999</v>
      </c>
      <c r="P145" t="s">
        <v>4109</v>
      </c>
    </row>
    <row r="146" spans="1:16" x14ac:dyDescent="0.25">
      <c r="A146" t="s">
        <v>2083</v>
      </c>
      <c r="B146" t="s">
        <v>2082</v>
      </c>
      <c r="C146" t="s">
        <v>2083</v>
      </c>
      <c r="D146" t="s">
        <v>2084</v>
      </c>
      <c r="E146" t="s">
        <v>104</v>
      </c>
      <c r="F146" t="s">
        <v>50</v>
      </c>
      <c r="G146" t="s">
        <v>241</v>
      </c>
      <c r="H146">
        <v>3</v>
      </c>
      <c r="I146" t="b">
        <v>1</v>
      </c>
      <c r="J146" t="s">
        <v>2082</v>
      </c>
      <c r="K146">
        <v>1</v>
      </c>
      <c r="L146" t="s">
        <v>1781</v>
      </c>
      <c r="M146">
        <v>1</v>
      </c>
      <c r="N146">
        <v>1</v>
      </c>
      <c r="O146">
        <v>203134619.44999999</v>
      </c>
      <c r="P146" t="s">
        <v>4109</v>
      </c>
    </row>
    <row r="147" spans="1:16" x14ac:dyDescent="0.25">
      <c r="A147" t="s">
        <v>109</v>
      </c>
      <c r="B147" t="s">
        <v>108</v>
      </c>
      <c r="C147" t="s">
        <v>109</v>
      </c>
      <c r="D147" t="s">
        <v>110</v>
      </c>
      <c r="E147" t="s">
        <v>111</v>
      </c>
      <c r="F147" t="s">
        <v>112</v>
      </c>
      <c r="G147" t="s">
        <v>32</v>
      </c>
      <c r="H147">
        <v>3</v>
      </c>
      <c r="I147" t="b">
        <v>1</v>
      </c>
      <c r="J147" t="s">
        <v>108</v>
      </c>
      <c r="K147">
        <v>1</v>
      </c>
      <c r="L147" t="s">
        <v>4111</v>
      </c>
      <c r="M147">
        <v>2</v>
      </c>
      <c r="N147">
        <v>2</v>
      </c>
      <c r="O147">
        <v>151782221.87</v>
      </c>
      <c r="P147" t="s">
        <v>4109</v>
      </c>
    </row>
    <row r="148" spans="1:16" x14ac:dyDescent="0.25">
      <c r="A148" t="s">
        <v>2089</v>
      </c>
      <c r="B148" t="s">
        <v>2088</v>
      </c>
      <c r="C148" t="s">
        <v>2089</v>
      </c>
      <c r="D148" t="s">
        <v>2090</v>
      </c>
      <c r="E148" t="s">
        <v>104</v>
      </c>
      <c r="F148" t="s">
        <v>50</v>
      </c>
      <c r="G148" t="s">
        <v>241</v>
      </c>
      <c r="H148">
        <v>3</v>
      </c>
      <c r="I148" t="b">
        <v>1</v>
      </c>
      <c r="J148" t="s">
        <v>2088</v>
      </c>
      <c r="K148">
        <v>1</v>
      </c>
      <c r="L148" t="s">
        <v>1781</v>
      </c>
      <c r="M148">
        <v>1</v>
      </c>
      <c r="N148">
        <v>1</v>
      </c>
      <c r="O148">
        <v>146742260.13</v>
      </c>
      <c r="P148" t="s">
        <v>4109</v>
      </c>
    </row>
    <row r="149" spans="1:16" x14ac:dyDescent="0.25">
      <c r="A149" t="s">
        <v>1904</v>
      </c>
      <c r="B149" t="s">
        <v>1903</v>
      </c>
      <c r="C149" t="s">
        <v>1904</v>
      </c>
      <c r="D149" t="s">
        <v>1905</v>
      </c>
      <c r="E149" t="s">
        <v>1906</v>
      </c>
      <c r="F149" t="s">
        <v>50</v>
      </c>
      <c r="G149" t="s">
        <v>241</v>
      </c>
      <c r="H149">
        <v>3</v>
      </c>
      <c r="I149" t="b">
        <v>1</v>
      </c>
      <c r="J149" t="s">
        <v>1903</v>
      </c>
      <c r="K149">
        <v>1</v>
      </c>
      <c r="L149" t="s">
        <v>1781</v>
      </c>
      <c r="M149">
        <v>1</v>
      </c>
      <c r="N149">
        <v>1</v>
      </c>
      <c r="O149">
        <v>123276437.02</v>
      </c>
      <c r="P149" t="s">
        <v>4109</v>
      </c>
    </row>
    <row r="150" spans="1:16" x14ac:dyDescent="0.25">
      <c r="A150" t="s">
        <v>1166</v>
      </c>
      <c r="B150" t="s">
        <v>1165</v>
      </c>
      <c r="C150" t="s">
        <v>1166</v>
      </c>
      <c r="D150" t="s">
        <v>1167</v>
      </c>
      <c r="E150" t="s">
        <v>1168</v>
      </c>
      <c r="F150" t="s">
        <v>31</v>
      </c>
      <c r="G150" t="s">
        <v>32</v>
      </c>
      <c r="H150">
        <v>3</v>
      </c>
      <c r="I150" t="b">
        <v>1</v>
      </c>
      <c r="J150" t="s">
        <v>1165</v>
      </c>
      <c r="K150">
        <v>1</v>
      </c>
      <c r="L150" t="s">
        <v>4168</v>
      </c>
      <c r="M150">
        <v>4</v>
      </c>
      <c r="N150">
        <v>4</v>
      </c>
      <c r="O150">
        <v>118789656.36</v>
      </c>
      <c r="P150" t="s">
        <v>4109</v>
      </c>
    </row>
    <row r="151" spans="1:16" x14ac:dyDescent="0.25">
      <c r="A151" t="s">
        <v>2080</v>
      </c>
      <c r="B151" t="s">
        <v>2079</v>
      </c>
      <c r="C151" t="s">
        <v>2080</v>
      </c>
      <c r="D151" t="s">
        <v>2081</v>
      </c>
      <c r="E151" t="s">
        <v>104</v>
      </c>
      <c r="F151" t="s">
        <v>50</v>
      </c>
      <c r="G151" t="s">
        <v>241</v>
      </c>
      <c r="H151">
        <v>3</v>
      </c>
      <c r="I151" t="b">
        <v>1</v>
      </c>
      <c r="J151" t="s">
        <v>2079</v>
      </c>
      <c r="K151">
        <v>1</v>
      </c>
      <c r="L151" t="s">
        <v>1781</v>
      </c>
      <c r="M151">
        <v>1</v>
      </c>
      <c r="N151">
        <v>1</v>
      </c>
      <c r="O151">
        <v>117261307.6099999</v>
      </c>
      <c r="P151" t="s">
        <v>4109</v>
      </c>
    </row>
    <row r="152" spans="1:16" x14ac:dyDescent="0.25">
      <c r="A152" t="s">
        <v>1693</v>
      </c>
      <c r="B152" t="s">
        <v>1692</v>
      </c>
      <c r="C152" t="s">
        <v>1693</v>
      </c>
      <c r="D152" t="s">
        <v>1694</v>
      </c>
      <c r="E152" t="s">
        <v>605</v>
      </c>
      <c r="F152" t="s">
        <v>112</v>
      </c>
      <c r="G152" t="s">
        <v>32</v>
      </c>
      <c r="H152">
        <v>3</v>
      </c>
      <c r="I152" t="b">
        <v>1</v>
      </c>
      <c r="J152" t="s">
        <v>4169</v>
      </c>
      <c r="K152">
        <v>2</v>
      </c>
      <c r="L152" t="s">
        <v>4170</v>
      </c>
      <c r="M152">
        <v>4</v>
      </c>
      <c r="N152">
        <v>4</v>
      </c>
      <c r="O152">
        <v>105709681.92</v>
      </c>
      <c r="P152" t="s">
        <v>4109</v>
      </c>
    </row>
    <row r="153" spans="1:16" x14ac:dyDescent="0.25">
      <c r="A153" t="s">
        <v>1102</v>
      </c>
      <c r="B153" t="s">
        <v>1101</v>
      </c>
      <c r="C153" t="s">
        <v>1102</v>
      </c>
      <c r="D153" t="s">
        <v>1103</v>
      </c>
      <c r="E153" t="s">
        <v>557</v>
      </c>
      <c r="F153" t="s">
        <v>31</v>
      </c>
      <c r="G153" t="s">
        <v>32</v>
      </c>
      <c r="H153">
        <v>3</v>
      </c>
      <c r="I153" t="b">
        <v>1</v>
      </c>
      <c r="J153" t="s">
        <v>1101</v>
      </c>
      <c r="K153">
        <v>1</v>
      </c>
      <c r="L153" t="s">
        <v>4171</v>
      </c>
      <c r="M153">
        <v>5</v>
      </c>
      <c r="N153">
        <v>5</v>
      </c>
      <c r="O153">
        <v>102448608.97</v>
      </c>
      <c r="P153" t="s">
        <v>4109</v>
      </c>
    </row>
    <row r="154" spans="1:16" x14ac:dyDescent="0.25">
      <c r="A154" t="s">
        <v>2074</v>
      </c>
      <c r="B154" t="s">
        <v>2073</v>
      </c>
      <c r="C154" t="s">
        <v>2074</v>
      </c>
      <c r="D154" t="s">
        <v>2075</v>
      </c>
      <c r="E154" t="s">
        <v>104</v>
      </c>
      <c r="F154" t="s">
        <v>50</v>
      </c>
      <c r="G154" t="s">
        <v>26</v>
      </c>
      <c r="H154">
        <v>3</v>
      </c>
      <c r="I154" t="b">
        <v>1</v>
      </c>
      <c r="J154" t="s">
        <v>2073</v>
      </c>
      <c r="K154">
        <v>1</v>
      </c>
      <c r="L154" t="s">
        <v>1781</v>
      </c>
      <c r="M154">
        <v>1</v>
      </c>
      <c r="N154">
        <v>1</v>
      </c>
      <c r="O154">
        <v>101928626.73999999</v>
      </c>
      <c r="P154" t="s">
        <v>4109</v>
      </c>
    </row>
    <row r="155" spans="1:16" x14ac:dyDescent="0.25">
      <c r="A155" t="s">
        <v>700</v>
      </c>
      <c r="B155" t="s">
        <v>699</v>
      </c>
      <c r="C155" t="s">
        <v>700</v>
      </c>
      <c r="D155" t="s">
        <v>701</v>
      </c>
      <c r="E155" t="s">
        <v>686</v>
      </c>
      <c r="F155" t="s">
        <v>44</v>
      </c>
      <c r="G155" t="s">
        <v>180</v>
      </c>
      <c r="H155">
        <v>3</v>
      </c>
      <c r="I155" t="b">
        <v>1</v>
      </c>
      <c r="J155" t="s">
        <v>699</v>
      </c>
      <c r="K155">
        <v>1</v>
      </c>
      <c r="L155" t="s">
        <v>124</v>
      </c>
      <c r="M155">
        <v>1</v>
      </c>
      <c r="N155">
        <v>1</v>
      </c>
      <c r="O155">
        <v>96410293.409999937</v>
      </c>
      <c r="P155" t="s">
        <v>4109</v>
      </c>
    </row>
    <row r="156" spans="1:16" x14ac:dyDescent="0.25">
      <c r="A156" t="s">
        <v>652</v>
      </c>
      <c r="B156" t="s">
        <v>651</v>
      </c>
      <c r="C156" t="s">
        <v>652</v>
      </c>
      <c r="D156" t="s">
        <v>653</v>
      </c>
      <c r="E156" t="s">
        <v>638</v>
      </c>
      <c r="F156" t="s">
        <v>31</v>
      </c>
      <c r="G156" t="s">
        <v>358</v>
      </c>
      <c r="H156">
        <v>3</v>
      </c>
      <c r="I156" t="b">
        <v>1</v>
      </c>
      <c r="J156" t="s">
        <v>651</v>
      </c>
      <c r="K156">
        <v>1</v>
      </c>
      <c r="L156" t="s">
        <v>124</v>
      </c>
      <c r="M156">
        <v>1</v>
      </c>
      <c r="N156">
        <v>1</v>
      </c>
      <c r="O156">
        <v>88696773.839999929</v>
      </c>
      <c r="P156" t="s">
        <v>4109</v>
      </c>
    </row>
    <row r="157" spans="1:16" x14ac:dyDescent="0.25">
      <c r="A157" t="s">
        <v>1315</v>
      </c>
      <c r="B157" t="s">
        <v>1314</v>
      </c>
      <c r="C157" t="s">
        <v>1315</v>
      </c>
      <c r="D157" t="s">
        <v>1316</v>
      </c>
      <c r="E157" t="s">
        <v>1317</v>
      </c>
      <c r="F157" t="s">
        <v>50</v>
      </c>
      <c r="G157" t="s">
        <v>26</v>
      </c>
      <c r="H157">
        <v>3</v>
      </c>
      <c r="I157" t="b">
        <v>1</v>
      </c>
      <c r="J157" t="s">
        <v>1314</v>
      </c>
      <c r="K157">
        <v>1</v>
      </c>
      <c r="L157" t="s">
        <v>25</v>
      </c>
      <c r="M157">
        <v>1</v>
      </c>
      <c r="N157">
        <v>1</v>
      </c>
      <c r="O157">
        <v>87782477.579999998</v>
      </c>
      <c r="P157" t="s">
        <v>4109</v>
      </c>
    </row>
    <row r="158" spans="1:16" x14ac:dyDescent="0.25">
      <c r="A158" t="s">
        <v>1040</v>
      </c>
      <c r="B158" t="s">
        <v>1039</v>
      </c>
      <c r="C158" t="s">
        <v>1040</v>
      </c>
      <c r="D158" t="s">
        <v>1041</v>
      </c>
      <c r="E158" t="s">
        <v>531</v>
      </c>
      <c r="F158" t="s">
        <v>81</v>
      </c>
      <c r="G158" t="s">
        <v>32</v>
      </c>
      <c r="H158">
        <v>3</v>
      </c>
      <c r="I158" t="b">
        <v>1</v>
      </c>
      <c r="J158" t="s">
        <v>1039</v>
      </c>
      <c r="K158">
        <v>1</v>
      </c>
      <c r="L158" t="s">
        <v>4170</v>
      </c>
      <c r="M158">
        <v>4</v>
      </c>
      <c r="N158">
        <v>4</v>
      </c>
      <c r="O158">
        <v>81630271.870000005</v>
      </c>
      <c r="P158" t="s">
        <v>4109</v>
      </c>
    </row>
    <row r="159" spans="1:16" x14ac:dyDescent="0.25">
      <c r="A159" t="s">
        <v>722</v>
      </c>
      <c r="B159" t="s">
        <v>721</v>
      </c>
      <c r="C159" t="s">
        <v>722</v>
      </c>
      <c r="D159" t="s">
        <v>723</v>
      </c>
      <c r="E159" t="s">
        <v>724</v>
      </c>
      <c r="F159" t="s">
        <v>81</v>
      </c>
      <c r="G159" t="s">
        <v>32</v>
      </c>
      <c r="H159">
        <v>3</v>
      </c>
      <c r="I159" t="b">
        <v>1</v>
      </c>
      <c r="J159" t="s">
        <v>4172</v>
      </c>
      <c r="K159">
        <v>2</v>
      </c>
      <c r="L159" t="s">
        <v>4170</v>
      </c>
      <c r="M159">
        <v>4</v>
      </c>
      <c r="N159">
        <v>5</v>
      </c>
      <c r="O159">
        <v>75116570.640000001</v>
      </c>
      <c r="P159" t="s">
        <v>4109</v>
      </c>
    </row>
    <row r="160" spans="1:16" x14ac:dyDescent="0.25">
      <c r="A160" t="s">
        <v>1724</v>
      </c>
      <c r="B160" t="s">
        <v>1723</v>
      </c>
      <c r="C160" t="s">
        <v>1724</v>
      </c>
      <c r="D160" t="s">
        <v>1725</v>
      </c>
      <c r="E160" t="s">
        <v>111</v>
      </c>
      <c r="F160" t="s">
        <v>112</v>
      </c>
      <c r="G160" t="s">
        <v>32</v>
      </c>
      <c r="H160">
        <v>3</v>
      </c>
      <c r="I160" t="b">
        <v>1</v>
      </c>
      <c r="J160" t="s">
        <v>1723</v>
      </c>
      <c r="K160">
        <v>1</v>
      </c>
      <c r="L160" t="s">
        <v>4173</v>
      </c>
      <c r="M160">
        <v>2</v>
      </c>
      <c r="N160">
        <v>2</v>
      </c>
      <c r="O160">
        <v>68444474.409999996</v>
      </c>
      <c r="P160" t="s">
        <v>4109</v>
      </c>
    </row>
    <row r="161" spans="1:16" x14ac:dyDescent="0.25">
      <c r="A161" t="s">
        <v>536</v>
      </c>
      <c r="B161" t="s">
        <v>535</v>
      </c>
      <c r="C161" t="s">
        <v>536</v>
      </c>
      <c r="D161" t="s">
        <v>537</v>
      </c>
      <c r="E161" t="s">
        <v>531</v>
      </c>
      <c r="F161" t="s">
        <v>81</v>
      </c>
      <c r="G161" t="s">
        <v>32</v>
      </c>
      <c r="H161">
        <v>3</v>
      </c>
      <c r="I161" t="b">
        <v>1</v>
      </c>
      <c r="J161" t="s">
        <v>535</v>
      </c>
      <c r="K161">
        <v>1</v>
      </c>
      <c r="L161" t="s">
        <v>4167</v>
      </c>
      <c r="M161">
        <v>5</v>
      </c>
      <c r="N161">
        <v>5</v>
      </c>
      <c r="O161">
        <v>64040477.720000014</v>
      </c>
      <c r="P161" t="s">
        <v>4109</v>
      </c>
    </row>
    <row r="162" spans="1:16" x14ac:dyDescent="0.25">
      <c r="A162" t="s">
        <v>1017</v>
      </c>
      <c r="B162" t="s">
        <v>1016</v>
      </c>
      <c r="C162" t="s">
        <v>1017</v>
      </c>
      <c r="D162" t="s">
        <v>1018</v>
      </c>
      <c r="E162" t="s">
        <v>517</v>
      </c>
      <c r="F162" t="s">
        <v>31</v>
      </c>
      <c r="G162" t="s">
        <v>32</v>
      </c>
      <c r="H162">
        <v>3</v>
      </c>
      <c r="I162" t="b">
        <v>1</v>
      </c>
      <c r="J162" t="s">
        <v>1016</v>
      </c>
      <c r="K162">
        <v>1</v>
      </c>
      <c r="L162" t="s">
        <v>4170</v>
      </c>
      <c r="M162">
        <v>4</v>
      </c>
      <c r="N162">
        <v>4</v>
      </c>
      <c r="O162">
        <v>62969905.419999987</v>
      </c>
      <c r="P162" t="s">
        <v>4109</v>
      </c>
    </row>
    <row r="163" spans="1:16" x14ac:dyDescent="0.25">
      <c r="A163" t="s">
        <v>1114</v>
      </c>
      <c r="B163" t="s">
        <v>1113</v>
      </c>
      <c r="C163" t="s">
        <v>1114</v>
      </c>
      <c r="D163" t="s">
        <v>1115</v>
      </c>
      <c r="E163" t="s">
        <v>43</v>
      </c>
      <c r="F163" t="s">
        <v>44</v>
      </c>
      <c r="G163" t="s">
        <v>32</v>
      </c>
      <c r="H163">
        <v>3</v>
      </c>
      <c r="I163" t="b">
        <v>1</v>
      </c>
      <c r="J163" t="s">
        <v>1113</v>
      </c>
      <c r="K163">
        <v>1</v>
      </c>
      <c r="L163" t="s">
        <v>4174</v>
      </c>
      <c r="M163">
        <v>5</v>
      </c>
      <c r="N163">
        <v>5</v>
      </c>
      <c r="O163">
        <v>61954147</v>
      </c>
      <c r="P163" t="s">
        <v>4109</v>
      </c>
    </row>
    <row r="164" spans="1:16" x14ac:dyDescent="0.25">
      <c r="A164" t="s">
        <v>1261</v>
      </c>
      <c r="B164" t="s">
        <v>1260</v>
      </c>
      <c r="C164" t="s">
        <v>1261</v>
      </c>
      <c r="D164" t="s">
        <v>1262</v>
      </c>
      <c r="E164" t="s">
        <v>1263</v>
      </c>
      <c r="F164" t="s">
        <v>112</v>
      </c>
      <c r="G164" t="s">
        <v>32</v>
      </c>
      <c r="H164">
        <v>3</v>
      </c>
      <c r="I164" t="b">
        <v>1</v>
      </c>
      <c r="J164" t="s">
        <v>4175</v>
      </c>
      <c r="K164">
        <v>2</v>
      </c>
      <c r="L164" t="s">
        <v>4170</v>
      </c>
      <c r="M164">
        <v>4</v>
      </c>
      <c r="N164">
        <v>4</v>
      </c>
      <c r="O164">
        <v>59391718.840000004</v>
      </c>
      <c r="P164" t="s">
        <v>4109</v>
      </c>
    </row>
    <row r="165" spans="1:16" x14ac:dyDescent="0.25">
      <c r="A165" t="s">
        <v>671</v>
      </c>
      <c r="B165" t="s">
        <v>670</v>
      </c>
      <c r="C165" t="s">
        <v>671</v>
      </c>
      <c r="D165" t="s">
        <v>672</v>
      </c>
      <c r="E165" t="s">
        <v>666</v>
      </c>
      <c r="F165" t="s">
        <v>81</v>
      </c>
      <c r="G165" t="s">
        <v>129</v>
      </c>
      <c r="H165">
        <v>3</v>
      </c>
      <c r="I165" t="b">
        <v>1</v>
      </c>
      <c r="J165" t="s">
        <v>670</v>
      </c>
      <c r="K165">
        <v>1</v>
      </c>
      <c r="L165" t="s">
        <v>124</v>
      </c>
      <c r="M165">
        <v>1</v>
      </c>
      <c r="N165">
        <v>1</v>
      </c>
      <c r="O165">
        <v>57716399.439999998</v>
      </c>
      <c r="P165" t="s">
        <v>4109</v>
      </c>
    </row>
    <row r="166" spans="1:16" x14ac:dyDescent="0.25">
      <c r="A166" t="s">
        <v>1517</v>
      </c>
      <c r="B166" t="s">
        <v>1516</v>
      </c>
      <c r="C166" t="s">
        <v>1517</v>
      </c>
      <c r="D166" t="s">
        <v>1518</v>
      </c>
      <c r="E166" t="s">
        <v>1519</v>
      </c>
      <c r="F166" t="s">
        <v>112</v>
      </c>
      <c r="G166" t="s">
        <v>32</v>
      </c>
      <c r="H166">
        <v>3</v>
      </c>
      <c r="I166" t="b">
        <v>1</v>
      </c>
      <c r="J166" t="s">
        <v>4176</v>
      </c>
      <c r="K166">
        <v>2</v>
      </c>
      <c r="L166" t="s">
        <v>4170</v>
      </c>
      <c r="M166">
        <v>4</v>
      </c>
      <c r="N166">
        <v>4</v>
      </c>
      <c r="O166">
        <v>57317974.350000001</v>
      </c>
      <c r="P166" t="s">
        <v>4109</v>
      </c>
    </row>
    <row r="167" spans="1:16" x14ac:dyDescent="0.25">
      <c r="A167" t="s">
        <v>476</v>
      </c>
      <c r="B167" t="s">
        <v>475</v>
      </c>
      <c r="C167" t="s">
        <v>476</v>
      </c>
      <c r="D167" t="s">
        <v>477</v>
      </c>
      <c r="E167" t="s">
        <v>478</v>
      </c>
      <c r="F167" t="s">
        <v>31</v>
      </c>
      <c r="G167" t="s">
        <v>32</v>
      </c>
      <c r="H167">
        <v>3</v>
      </c>
      <c r="I167" t="b">
        <v>1</v>
      </c>
      <c r="J167" t="s">
        <v>475</v>
      </c>
      <c r="K167">
        <v>1</v>
      </c>
      <c r="L167" t="s">
        <v>4167</v>
      </c>
      <c r="M167">
        <v>5</v>
      </c>
      <c r="N167">
        <v>5</v>
      </c>
      <c r="O167">
        <v>55682416.259999998</v>
      </c>
      <c r="P167" t="s">
        <v>4109</v>
      </c>
    </row>
    <row r="168" spans="1:16" x14ac:dyDescent="0.25">
      <c r="A168" t="s">
        <v>649</v>
      </c>
      <c r="B168" t="s">
        <v>648</v>
      </c>
      <c r="C168" t="s">
        <v>649</v>
      </c>
      <c r="D168" t="s">
        <v>650</v>
      </c>
      <c r="E168" t="s">
        <v>638</v>
      </c>
      <c r="F168" t="s">
        <v>31</v>
      </c>
      <c r="G168" t="s">
        <v>358</v>
      </c>
      <c r="H168">
        <v>3</v>
      </c>
      <c r="I168" t="b">
        <v>1</v>
      </c>
      <c r="J168" t="s">
        <v>648</v>
      </c>
      <c r="K168">
        <v>1</v>
      </c>
      <c r="L168" t="s">
        <v>124</v>
      </c>
      <c r="M168">
        <v>1</v>
      </c>
      <c r="N168">
        <v>1</v>
      </c>
      <c r="O168">
        <v>54636485.499999993</v>
      </c>
      <c r="P168" t="s">
        <v>4109</v>
      </c>
    </row>
    <row r="169" spans="1:16" x14ac:dyDescent="0.25">
      <c r="A169" t="s">
        <v>1501</v>
      </c>
      <c r="B169" t="s">
        <v>1500</v>
      </c>
      <c r="C169" t="s">
        <v>1501</v>
      </c>
      <c r="D169" t="s">
        <v>1502</v>
      </c>
      <c r="E169" t="s">
        <v>1503</v>
      </c>
      <c r="F169" t="s">
        <v>112</v>
      </c>
      <c r="G169" t="s">
        <v>32</v>
      </c>
      <c r="H169">
        <v>3</v>
      </c>
      <c r="I169" t="b">
        <v>1</v>
      </c>
      <c r="J169" t="s">
        <v>4177</v>
      </c>
      <c r="K169">
        <v>2</v>
      </c>
      <c r="L169" t="s">
        <v>4170</v>
      </c>
      <c r="M169">
        <v>4</v>
      </c>
      <c r="N169">
        <v>4</v>
      </c>
      <c r="O169">
        <v>53901121.299999997</v>
      </c>
      <c r="P169" t="s">
        <v>4109</v>
      </c>
    </row>
    <row r="170" spans="1:16" x14ac:dyDescent="0.25">
      <c r="A170" t="s">
        <v>1767</v>
      </c>
      <c r="B170" t="s">
        <v>1766</v>
      </c>
      <c r="C170" t="s">
        <v>1767</v>
      </c>
      <c r="D170" t="s">
        <v>1768</v>
      </c>
      <c r="E170" t="s">
        <v>184</v>
      </c>
      <c r="F170" t="s">
        <v>112</v>
      </c>
      <c r="G170" t="s">
        <v>32</v>
      </c>
      <c r="H170">
        <v>3</v>
      </c>
      <c r="I170" t="b">
        <v>1</v>
      </c>
      <c r="J170" t="s">
        <v>4178</v>
      </c>
      <c r="K170">
        <v>2</v>
      </c>
      <c r="L170" t="s">
        <v>4170</v>
      </c>
      <c r="M170">
        <v>4</v>
      </c>
      <c r="N170">
        <v>4</v>
      </c>
      <c r="O170">
        <v>53896189.719999999</v>
      </c>
      <c r="P170" t="s">
        <v>4109</v>
      </c>
    </row>
    <row r="171" spans="1:16" x14ac:dyDescent="0.25">
      <c r="A171" t="s">
        <v>909</v>
      </c>
      <c r="B171" t="s">
        <v>908</v>
      </c>
      <c r="C171" t="s">
        <v>909</v>
      </c>
      <c r="D171" t="s">
        <v>910</v>
      </c>
      <c r="E171" t="s">
        <v>911</v>
      </c>
      <c r="F171" t="s">
        <v>81</v>
      </c>
      <c r="G171" t="s">
        <v>32</v>
      </c>
      <c r="H171">
        <v>3</v>
      </c>
      <c r="I171" t="b">
        <v>1</v>
      </c>
      <c r="J171" t="s">
        <v>908</v>
      </c>
      <c r="K171">
        <v>1</v>
      </c>
      <c r="L171" t="s">
        <v>4170</v>
      </c>
      <c r="M171">
        <v>4</v>
      </c>
      <c r="N171">
        <v>4</v>
      </c>
      <c r="O171">
        <v>53675600.469999999</v>
      </c>
      <c r="P171" t="s">
        <v>4109</v>
      </c>
    </row>
    <row r="172" spans="1:16" x14ac:dyDescent="0.25">
      <c r="A172" t="s">
        <v>1061</v>
      </c>
      <c r="B172" t="s">
        <v>1060</v>
      </c>
      <c r="C172" t="s">
        <v>1061</v>
      </c>
      <c r="D172" t="s">
        <v>1062</v>
      </c>
      <c r="E172" t="s">
        <v>1063</v>
      </c>
      <c r="F172" t="s">
        <v>31</v>
      </c>
      <c r="G172" t="s">
        <v>32</v>
      </c>
      <c r="H172">
        <v>3</v>
      </c>
      <c r="I172" t="b">
        <v>1</v>
      </c>
      <c r="J172" t="s">
        <v>1060</v>
      </c>
      <c r="K172">
        <v>1</v>
      </c>
      <c r="L172" t="s">
        <v>4170</v>
      </c>
      <c r="M172">
        <v>4</v>
      </c>
      <c r="N172">
        <v>4</v>
      </c>
      <c r="O172">
        <v>50499489.219999999</v>
      </c>
      <c r="P172" t="s">
        <v>4109</v>
      </c>
    </row>
    <row r="173" spans="1:16" x14ac:dyDescent="0.25">
      <c r="A173" t="s">
        <v>447</v>
      </c>
      <c r="B173" t="s">
        <v>446</v>
      </c>
      <c r="C173" t="s">
        <v>447</v>
      </c>
      <c r="D173" t="s">
        <v>448</v>
      </c>
      <c r="E173" t="s">
        <v>449</v>
      </c>
      <c r="F173" t="s">
        <v>452</v>
      </c>
      <c r="G173" t="s">
        <v>32</v>
      </c>
      <c r="H173">
        <v>3</v>
      </c>
      <c r="I173" t="b">
        <v>1</v>
      </c>
      <c r="J173" t="s">
        <v>4179</v>
      </c>
      <c r="K173">
        <v>2</v>
      </c>
      <c r="L173" t="s">
        <v>4167</v>
      </c>
      <c r="M173">
        <v>5</v>
      </c>
      <c r="N173">
        <v>5</v>
      </c>
      <c r="O173">
        <v>49843355.619999997</v>
      </c>
      <c r="P173" t="s">
        <v>4109</v>
      </c>
    </row>
    <row r="174" spans="1:16" x14ac:dyDescent="0.25">
      <c r="A174" t="s">
        <v>1305</v>
      </c>
      <c r="B174" t="s">
        <v>1304</v>
      </c>
      <c r="C174" t="s">
        <v>1305</v>
      </c>
      <c r="D174" t="s">
        <v>1306</v>
      </c>
      <c r="E174" t="s">
        <v>1297</v>
      </c>
      <c r="F174" t="s">
        <v>31</v>
      </c>
      <c r="G174" t="s">
        <v>358</v>
      </c>
      <c r="H174">
        <v>3</v>
      </c>
      <c r="I174" t="b">
        <v>1</v>
      </c>
      <c r="J174" t="s">
        <v>1304</v>
      </c>
      <c r="K174">
        <v>1</v>
      </c>
      <c r="L174" t="s">
        <v>4111</v>
      </c>
      <c r="M174">
        <v>2</v>
      </c>
      <c r="N174">
        <v>2</v>
      </c>
      <c r="O174">
        <v>48060839.770000003</v>
      </c>
      <c r="P174" t="s">
        <v>4109</v>
      </c>
    </row>
    <row r="175" spans="1:16" x14ac:dyDescent="0.25">
      <c r="A175" t="s">
        <v>117</v>
      </c>
      <c r="B175" t="s">
        <v>116</v>
      </c>
      <c r="C175" t="s">
        <v>117</v>
      </c>
      <c r="D175" t="s">
        <v>118</v>
      </c>
      <c r="E175" t="s">
        <v>111</v>
      </c>
      <c r="F175" t="s">
        <v>112</v>
      </c>
      <c r="G175" t="s">
        <v>32</v>
      </c>
      <c r="H175">
        <v>3</v>
      </c>
      <c r="I175" t="b">
        <v>1</v>
      </c>
      <c r="J175" t="s">
        <v>116</v>
      </c>
      <c r="K175">
        <v>1</v>
      </c>
      <c r="L175" t="s">
        <v>4146</v>
      </c>
      <c r="M175">
        <v>3</v>
      </c>
      <c r="N175">
        <v>3</v>
      </c>
      <c r="O175">
        <v>46606872.899999991</v>
      </c>
      <c r="P175" t="s">
        <v>4109</v>
      </c>
    </row>
    <row r="176" spans="1:16" x14ac:dyDescent="0.25">
      <c r="A176" t="s">
        <v>1702</v>
      </c>
      <c r="B176" t="s">
        <v>1701</v>
      </c>
      <c r="C176" t="s">
        <v>1702</v>
      </c>
      <c r="D176" t="s">
        <v>1703</v>
      </c>
      <c r="E176" t="s">
        <v>605</v>
      </c>
      <c r="F176" t="s">
        <v>112</v>
      </c>
      <c r="G176" t="s">
        <v>32</v>
      </c>
      <c r="H176">
        <v>3</v>
      </c>
      <c r="I176" t="b">
        <v>1</v>
      </c>
      <c r="J176" t="s">
        <v>4180</v>
      </c>
      <c r="K176">
        <v>2</v>
      </c>
      <c r="L176" t="s">
        <v>4170</v>
      </c>
      <c r="M176">
        <v>4</v>
      </c>
      <c r="N176">
        <v>5</v>
      </c>
      <c r="O176">
        <v>46579891.810000002</v>
      </c>
      <c r="P176" t="s">
        <v>4109</v>
      </c>
    </row>
    <row r="177" spans="1:16" x14ac:dyDescent="0.25">
      <c r="A177" t="s">
        <v>1267</v>
      </c>
      <c r="B177" t="s">
        <v>1266</v>
      </c>
      <c r="C177" t="s">
        <v>1267</v>
      </c>
      <c r="D177" t="s">
        <v>1268</v>
      </c>
      <c r="E177" t="s">
        <v>1263</v>
      </c>
      <c r="F177" t="s">
        <v>112</v>
      </c>
      <c r="G177" t="s">
        <v>32</v>
      </c>
      <c r="H177">
        <v>3</v>
      </c>
      <c r="I177" t="b">
        <v>1</v>
      </c>
      <c r="J177" t="s">
        <v>4181</v>
      </c>
      <c r="K177">
        <v>2</v>
      </c>
      <c r="L177" t="s">
        <v>4182</v>
      </c>
      <c r="M177">
        <v>5</v>
      </c>
      <c r="N177">
        <v>6</v>
      </c>
      <c r="O177">
        <v>45029217.140000001</v>
      </c>
      <c r="P177" t="s">
        <v>4109</v>
      </c>
    </row>
    <row r="178" spans="1:16" x14ac:dyDescent="0.25">
      <c r="A178" t="s">
        <v>560</v>
      </c>
      <c r="B178" t="s">
        <v>559</v>
      </c>
      <c r="C178" t="s">
        <v>560</v>
      </c>
      <c r="D178" t="s">
        <v>561</v>
      </c>
      <c r="E178" t="s">
        <v>562</v>
      </c>
      <c r="F178" t="s">
        <v>31</v>
      </c>
      <c r="G178" t="s">
        <v>32</v>
      </c>
      <c r="H178">
        <v>3</v>
      </c>
      <c r="I178" t="b">
        <v>1</v>
      </c>
      <c r="J178" t="s">
        <v>4183</v>
      </c>
      <c r="K178">
        <v>2</v>
      </c>
      <c r="L178" t="s">
        <v>4167</v>
      </c>
      <c r="M178">
        <v>5</v>
      </c>
      <c r="N178">
        <v>6</v>
      </c>
      <c r="O178">
        <v>43958940.220000014</v>
      </c>
      <c r="P178" t="s">
        <v>4109</v>
      </c>
    </row>
    <row r="179" spans="1:16" x14ac:dyDescent="0.25">
      <c r="A179" t="s">
        <v>1465</v>
      </c>
      <c r="B179" t="s">
        <v>1464</v>
      </c>
      <c r="C179" t="s">
        <v>1465</v>
      </c>
      <c r="D179" t="s">
        <v>1466</v>
      </c>
      <c r="E179" t="s">
        <v>1297</v>
      </c>
      <c r="F179" t="s">
        <v>31</v>
      </c>
      <c r="G179" t="s">
        <v>32</v>
      </c>
      <c r="H179">
        <v>3</v>
      </c>
      <c r="I179" t="b">
        <v>1</v>
      </c>
      <c r="J179" t="s">
        <v>1464</v>
      </c>
      <c r="K179">
        <v>1</v>
      </c>
      <c r="L179" t="s">
        <v>4170</v>
      </c>
      <c r="M179">
        <v>4</v>
      </c>
      <c r="N179">
        <v>4</v>
      </c>
      <c r="O179">
        <v>42798928.740000002</v>
      </c>
      <c r="P179" t="s">
        <v>4109</v>
      </c>
    </row>
    <row r="180" spans="1:16" x14ac:dyDescent="0.25">
      <c r="A180" t="s">
        <v>1507</v>
      </c>
      <c r="B180" t="s">
        <v>1506</v>
      </c>
      <c r="C180" t="s">
        <v>1507</v>
      </c>
      <c r="D180" t="s">
        <v>1508</v>
      </c>
      <c r="E180" t="s">
        <v>1503</v>
      </c>
      <c r="F180" t="s">
        <v>112</v>
      </c>
      <c r="G180" t="s">
        <v>32</v>
      </c>
      <c r="H180">
        <v>3</v>
      </c>
      <c r="I180" t="b">
        <v>1</v>
      </c>
      <c r="J180" t="s">
        <v>4184</v>
      </c>
      <c r="K180">
        <v>2</v>
      </c>
      <c r="L180" t="s">
        <v>4170</v>
      </c>
      <c r="M180">
        <v>4</v>
      </c>
      <c r="N180">
        <v>4</v>
      </c>
      <c r="O180">
        <v>42191217.650000013</v>
      </c>
      <c r="P180" t="s">
        <v>4109</v>
      </c>
    </row>
    <row r="181" spans="1:16" x14ac:dyDescent="0.25">
      <c r="A181" t="s">
        <v>1333</v>
      </c>
      <c r="B181" t="s">
        <v>1332</v>
      </c>
      <c r="C181" t="s">
        <v>1333</v>
      </c>
      <c r="D181" t="s">
        <v>1334</v>
      </c>
      <c r="E181" t="s">
        <v>1335</v>
      </c>
      <c r="F181" t="s">
        <v>112</v>
      </c>
      <c r="G181" t="s">
        <v>32</v>
      </c>
      <c r="H181">
        <v>3</v>
      </c>
      <c r="I181" t="b">
        <v>1</v>
      </c>
      <c r="J181" t="s">
        <v>4185</v>
      </c>
      <c r="K181">
        <v>2</v>
      </c>
      <c r="L181" t="s">
        <v>4170</v>
      </c>
      <c r="M181">
        <v>4</v>
      </c>
      <c r="N181">
        <v>4</v>
      </c>
      <c r="O181">
        <v>41540044.090000004</v>
      </c>
      <c r="P181" t="s">
        <v>4109</v>
      </c>
    </row>
    <row r="182" spans="1:16" x14ac:dyDescent="0.25">
      <c r="A182" t="s">
        <v>434</v>
      </c>
      <c r="B182" t="s">
        <v>433</v>
      </c>
      <c r="C182" t="s">
        <v>434</v>
      </c>
      <c r="D182" t="s">
        <v>435</v>
      </c>
      <c r="E182" t="s">
        <v>422</v>
      </c>
      <c r="F182" t="s">
        <v>44</v>
      </c>
      <c r="G182" t="s">
        <v>32</v>
      </c>
      <c r="H182">
        <v>3</v>
      </c>
      <c r="I182" t="b">
        <v>1</v>
      </c>
      <c r="J182" t="s">
        <v>433</v>
      </c>
      <c r="K182">
        <v>1</v>
      </c>
      <c r="L182" t="s">
        <v>4167</v>
      </c>
      <c r="M182">
        <v>5</v>
      </c>
      <c r="N182">
        <v>5</v>
      </c>
      <c r="O182">
        <v>41473104.950000003</v>
      </c>
      <c r="P182" t="s">
        <v>4109</v>
      </c>
    </row>
    <row r="183" spans="1:16" x14ac:dyDescent="0.25">
      <c r="A183" t="s">
        <v>1160</v>
      </c>
      <c r="B183" t="s">
        <v>1159</v>
      </c>
      <c r="C183" t="s">
        <v>1160</v>
      </c>
      <c r="D183" t="s">
        <v>1161</v>
      </c>
      <c r="E183" t="s">
        <v>1162</v>
      </c>
      <c r="F183" t="s">
        <v>112</v>
      </c>
      <c r="G183" t="s">
        <v>32</v>
      </c>
      <c r="H183">
        <v>3</v>
      </c>
      <c r="I183" t="b">
        <v>1</v>
      </c>
      <c r="J183" t="s">
        <v>4186</v>
      </c>
      <c r="K183">
        <v>2</v>
      </c>
      <c r="L183" t="s">
        <v>4170</v>
      </c>
      <c r="M183">
        <v>4</v>
      </c>
      <c r="N183">
        <v>4</v>
      </c>
      <c r="O183">
        <v>41437323.219999999</v>
      </c>
      <c r="P183" t="s">
        <v>4109</v>
      </c>
    </row>
    <row r="184" spans="1:16" x14ac:dyDescent="0.25">
      <c r="A184" t="s">
        <v>481</v>
      </c>
      <c r="B184" t="s">
        <v>480</v>
      </c>
      <c r="C184" t="s">
        <v>481</v>
      </c>
      <c r="D184" t="s">
        <v>482</v>
      </c>
      <c r="E184" t="s">
        <v>483</v>
      </c>
      <c r="F184" t="s">
        <v>61</v>
      </c>
      <c r="G184" t="s">
        <v>32</v>
      </c>
      <c r="H184">
        <v>3</v>
      </c>
      <c r="I184" t="b">
        <v>1</v>
      </c>
      <c r="J184" t="s">
        <v>4187</v>
      </c>
      <c r="K184">
        <v>2</v>
      </c>
      <c r="L184" t="s">
        <v>4167</v>
      </c>
      <c r="M184">
        <v>5</v>
      </c>
      <c r="N184">
        <v>5</v>
      </c>
      <c r="O184">
        <v>41021878.380000003</v>
      </c>
      <c r="P184" t="s">
        <v>4109</v>
      </c>
    </row>
    <row r="185" spans="1:16" x14ac:dyDescent="0.25">
      <c r="A185" t="s">
        <v>1969</v>
      </c>
      <c r="B185" t="s">
        <v>1968</v>
      </c>
      <c r="C185" t="s">
        <v>1969</v>
      </c>
      <c r="D185" t="s">
        <v>1970</v>
      </c>
      <c r="E185" t="s">
        <v>1961</v>
      </c>
      <c r="F185" t="s">
        <v>50</v>
      </c>
      <c r="G185" t="s">
        <v>241</v>
      </c>
      <c r="H185">
        <v>3</v>
      </c>
      <c r="I185" t="b">
        <v>1</v>
      </c>
      <c r="J185" t="s">
        <v>1968</v>
      </c>
      <c r="K185">
        <v>1</v>
      </c>
      <c r="L185" t="s">
        <v>1781</v>
      </c>
      <c r="M185">
        <v>1</v>
      </c>
      <c r="N185">
        <v>1</v>
      </c>
      <c r="O185">
        <v>40932061.709999993</v>
      </c>
      <c r="P185" t="s">
        <v>4109</v>
      </c>
    </row>
    <row r="186" spans="1:16" x14ac:dyDescent="0.25">
      <c r="A186" t="s">
        <v>1348</v>
      </c>
      <c r="B186" t="s">
        <v>1347</v>
      </c>
      <c r="C186" t="s">
        <v>1348</v>
      </c>
      <c r="D186" t="s">
        <v>1349</v>
      </c>
      <c r="E186" t="s">
        <v>577</v>
      </c>
      <c r="F186" t="s">
        <v>112</v>
      </c>
      <c r="G186" t="s">
        <v>32</v>
      </c>
      <c r="H186">
        <v>3</v>
      </c>
      <c r="I186" t="b">
        <v>1</v>
      </c>
      <c r="J186" t="s">
        <v>4188</v>
      </c>
      <c r="K186">
        <v>2</v>
      </c>
      <c r="L186" t="s">
        <v>4170</v>
      </c>
      <c r="M186">
        <v>4</v>
      </c>
      <c r="N186">
        <v>4</v>
      </c>
      <c r="O186">
        <v>39575003.859999999</v>
      </c>
      <c r="P186" t="s">
        <v>4109</v>
      </c>
    </row>
    <row r="187" spans="1:16" x14ac:dyDescent="0.25">
      <c r="A187" t="s">
        <v>1225</v>
      </c>
      <c r="B187" t="s">
        <v>1224</v>
      </c>
      <c r="C187" t="s">
        <v>1225</v>
      </c>
      <c r="D187" t="s">
        <v>1226</v>
      </c>
      <c r="E187" t="s">
        <v>1227</v>
      </c>
      <c r="F187" t="s">
        <v>31</v>
      </c>
      <c r="G187" t="s">
        <v>32</v>
      </c>
      <c r="H187">
        <v>3</v>
      </c>
      <c r="I187" t="b">
        <v>1</v>
      </c>
      <c r="J187" t="s">
        <v>4189</v>
      </c>
      <c r="K187">
        <v>2</v>
      </c>
      <c r="L187" t="s">
        <v>4170</v>
      </c>
      <c r="M187">
        <v>4</v>
      </c>
      <c r="N187">
        <v>4</v>
      </c>
      <c r="O187">
        <v>39302662.219999999</v>
      </c>
      <c r="P187" t="s">
        <v>4109</v>
      </c>
    </row>
    <row r="188" spans="1:16" x14ac:dyDescent="0.25">
      <c r="A188" t="s">
        <v>1512</v>
      </c>
      <c r="B188" t="s">
        <v>1511</v>
      </c>
      <c r="C188" t="s">
        <v>1512</v>
      </c>
      <c r="D188" t="s">
        <v>1513</v>
      </c>
      <c r="E188" t="s">
        <v>1503</v>
      </c>
      <c r="F188" t="s">
        <v>112</v>
      </c>
      <c r="G188" t="s">
        <v>32</v>
      </c>
      <c r="H188">
        <v>3</v>
      </c>
      <c r="I188" t="b">
        <v>1</v>
      </c>
      <c r="J188" t="s">
        <v>4190</v>
      </c>
      <c r="K188">
        <v>2</v>
      </c>
      <c r="L188" t="s">
        <v>4170</v>
      </c>
      <c r="M188">
        <v>4</v>
      </c>
      <c r="N188">
        <v>4</v>
      </c>
      <c r="O188">
        <v>38376445.829999998</v>
      </c>
      <c r="P188" t="s">
        <v>4109</v>
      </c>
    </row>
    <row r="189" spans="1:16" x14ac:dyDescent="0.25">
      <c r="A189" t="s">
        <v>571</v>
      </c>
      <c r="B189" t="s">
        <v>570</v>
      </c>
      <c r="C189" t="s">
        <v>571</v>
      </c>
      <c r="D189" t="s">
        <v>572</v>
      </c>
      <c r="E189" t="s">
        <v>159</v>
      </c>
      <c r="F189" t="s">
        <v>81</v>
      </c>
      <c r="G189" t="s">
        <v>32</v>
      </c>
      <c r="H189">
        <v>3</v>
      </c>
      <c r="I189" t="b">
        <v>1</v>
      </c>
      <c r="J189" t="s">
        <v>570</v>
      </c>
      <c r="K189">
        <v>1</v>
      </c>
      <c r="L189" t="s">
        <v>4167</v>
      </c>
      <c r="M189">
        <v>5</v>
      </c>
      <c r="N189">
        <v>5</v>
      </c>
      <c r="O189">
        <v>38330372.229999997</v>
      </c>
      <c r="P189" t="s">
        <v>4109</v>
      </c>
    </row>
    <row r="190" spans="1:16" x14ac:dyDescent="0.25">
      <c r="A190" t="s">
        <v>1111</v>
      </c>
      <c r="B190" t="s">
        <v>1110</v>
      </c>
      <c r="C190" t="s">
        <v>1111</v>
      </c>
      <c r="D190" t="s">
        <v>1112</v>
      </c>
      <c r="E190" t="s">
        <v>43</v>
      </c>
      <c r="F190" t="s">
        <v>44</v>
      </c>
      <c r="G190" t="s">
        <v>32</v>
      </c>
      <c r="H190">
        <v>3</v>
      </c>
      <c r="I190" t="b">
        <v>1</v>
      </c>
      <c r="J190" t="s">
        <v>1110</v>
      </c>
      <c r="K190">
        <v>1</v>
      </c>
      <c r="L190" t="s">
        <v>4174</v>
      </c>
      <c r="M190">
        <v>5</v>
      </c>
      <c r="N190">
        <v>5</v>
      </c>
      <c r="O190">
        <v>36404390.829999998</v>
      </c>
      <c r="P190" t="s">
        <v>4109</v>
      </c>
    </row>
    <row r="191" spans="1:16" x14ac:dyDescent="0.25">
      <c r="A191" t="s">
        <v>924</v>
      </c>
      <c r="B191" t="s">
        <v>923</v>
      </c>
      <c r="C191" t="s">
        <v>924</v>
      </c>
      <c r="D191" t="s">
        <v>925</v>
      </c>
      <c r="E191" t="s">
        <v>920</v>
      </c>
      <c r="F191" t="s">
        <v>112</v>
      </c>
      <c r="G191" t="s">
        <v>32</v>
      </c>
      <c r="H191">
        <v>3</v>
      </c>
      <c r="I191" t="b">
        <v>1</v>
      </c>
      <c r="J191" t="s">
        <v>4191</v>
      </c>
      <c r="K191">
        <v>2</v>
      </c>
      <c r="L191" t="s">
        <v>4170</v>
      </c>
      <c r="M191">
        <v>4</v>
      </c>
      <c r="N191">
        <v>4</v>
      </c>
      <c r="O191">
        <v>35809279.420000002</v>
      </c>
      <c r="P191" t="s">
        <v>4109</v>
      </c>
    </row>
    <row r="192" spans="1:16" x14ac:dyDescent="0.25">
      <c r="A192" t="s">
        <v>1140</v>
      </c>
      <c r="B192" t="s">
        <v>1139</v>
      </c>
      <c r="C192" t="s">
        <v>1140</v>
      </c>
      <c r="D192" t="s">
        <v>1141</v>
      </c>
      <c r="E192" t="s">
        <v>1142</v>
      </c>
      <c r="F192" t="s">
        <v>81</v>
      </c>
      <c r="G192" t="s">
        <v>32</v>
      </c>
      <c r="H192">
        <v>3</v>
      </c>
      <c r="I192" t="b">
        <v>1</v>
      </c>
      <c r="J192" t="s">
        <v>1139</v>
      </c>
      <c r="K192">
        <v>1</v>
      </c>
      <c r="L192" t="s">
        <v>4170</v>
      </c>
      <c r="M192">
        <v>4</v>
      </c>
      <c r="N192">
        <v>4</v>
      </c>
      <c r="O192">
        <v>33138445.25</v>
      </c>
      <c r="P192" t="s">
        <v>4109</v>
      </c>
    </row>
    <row r="193" spans="1:16" x14ac:dyDescent="0.25">
      <c r="A193" t="s">
        <v>1251</v>
      </c>
      <c r="B193" t="s">
        <v>1250</v>
      </c>
      <c r="C193" t="s">
        <v>1251</v>
      </c>
      <c r="D193" t="s">
        <v>1252</v>
      </c>
      <c r="E193" t="s">
        <v>1253</v>
      </c>
      <c r="F193" t="s">
        <v>31</v>
      </c>
      <c r="G193" t="s">
        <v>32</v>
      </c>
      <c r="H193">
        <v>3</v>
      </c>
      <c r="I193" t="b">
        <v>1</v>
      </c>
      <c r="J193" t="s">
        <v>1250</v>
      </c>
      <c r="K193">
        <v>1</v>
      </c>
      <c r="L193" t="s">
        <v>4182</v>
      </c>
      <c r="M193">
        <v>5</v>
      </c>
      <c r="N193">
        <v>5</v>
      </c>
      <c r="O193">
        <v>32951088.050000001</v>
      </c>
      <c r="P193" t="s">
        <v>4109</v>
      </c>
    </row>
    <row r="194" spans="1:16" x14ac:dyDescent="0.25">
      <c r="A194" t="s">
        <v>691</v>
      </c>
      <c r="B194" t="s">
        <v>690</v>
      </c>
      <c r="C194" t="s">
        <v>691</v>
      </c>
      <c r="D194" t="s">
        <v>692</v>
      </c>
      <c r="E194" t="s">
        <v>686</v>
      </c>
      <c r="F194" t="s">
        <v>44</v>
      </c>
      <c r="G194" t="s">
        <v>180</v>
      </c>
      <c r="H194">
        <v>3</v>
      </c>
      <c r="I194" t="b">
        <v>1</v>
      </c>
      <c r="J194" t="s">
        <v>690</v>
      </c>
      <c r="K194">
        <v>1</v>
      </c>
      <c r="L194" t="s">
        <v>124</v>
      </c>
      <c r="M194">
        <v>1</v>
      </c>
      <c r="N194">
        <v>1</v>
      </c>
      <c r="O194">
        <v>32095706.280000001</v>
      </c>
      <c r="P194" t="s">
        <v>4109</v>
      </c>
    </row>
    <row r="195" spans="1:16" x14ac:dyDescent="0.25">
      <c r="A195" t="s">
        <v>545</v>
      </c>
      <c r="B195" t="s">
        <v>544</v>
      </c>
      <c r="C195" t="s">
        <v>545</v>
      </c>
      <c r="D195" t="s">
        <v>546</v>
      </c>
      <c r="E195" t="s">
        <v>547</v>
      </c>
      <c r="F195" t="s">
        <v>44</v>
      </c>
      <c r="G195" t="s">
        <v>32</v>
      </c>
      <c r="H195">
        <v>3</v>
      </c>
      <c r="I195" t="b">
        <v>1</v>
      </c>
      <c r="J195" t="s">
        <v>544</v>
      </c>
      <c r="K195">
        <v>1</v>
      </c>
      <c r="L195" t="s">
        <v>4167</v>
      </c>
      <c r="M195">
        <v>5</v>
      </c>
      <c r="N195">
        <v>5</v>
      </c>
      <c r="O195">
        <v>31543691.93</v>
      </c>
      <c r="P195" t="s">
        <v>4109</v>
      </c>
    </row>
    <row r="196" spans="1:16" x14ac:dyDescent="0.25">
      <c r="A196" t="s">
        <v>1171</v>
      </c>
      <c r="B196" t="s">
        <v>1170</v>
      </c>
      <c r="C196" t="s">
        <v>1171</v>
      </c>
      <c r="D196" t="s">
        <v>1172</v>
      </c>
      <c r="E196" t="s">
        <v>1168</v>
      </c>
      <c r="F196" t="s">
        <v>31</v>
      </c>
      <c r="G196" t="s">
        <v>32</v>
      </c>
      <c r="H196">
        <v>3</v>
      </c>
      <c r="I196" t="b">
        <v>1</v>
      </c>
      <c r="J196" t="s">
        <v>1170</v>
      </c>
      <c r="K196">
        <v>1</v>
      </c>
      <c r="L196" t="s">
        <v>4170</v>
      </c>
      <c r="M196">
        <v>4</v>
      </c>
      <c r="N196">
        <v>4</v>
      </c>
      <c r="O196">
        <v>30935770.75</v>
      </c>
      <c r="P196" t="s">
        <v>4109</v>
      </c>
    </row>
    <row r="197" spans="1:16" x14ac:dyDescent="0.25">
      <c r="A197" t="s">
        <v>918</v>
      </c>
      <c r="B197" t="s">
        <v>917</v>
      </c>
      <c r="C197" t="s">
        <v>918</v>
      </c>
      <c r="D197" t="s">
        <v>919</v>
      </c>
      <c r="E197" t="s">
        <v>920</v>
      </c>
      <c r="F197" t="s">
        <v>112</v>
      </c>
      <c r="G197" t="s">
        <v>32</v>
      </c>
      <c r="H197">
        <v>3</v>
      </c>
      <c r="I197" t="b">
        <v>1</v>
      </c>
      <c r="J197" t="s">
        <v>4192</v>
      </c>
      <c r="K197">
        <v>2</v>
      </c>
      <c r="L197" t="s">
        <v>4170</v>
      </c>
      <c r="M197">
        <v>4</v>
      </c>
      <c r="N197">
        <v>4</v>
      </c>
      <c r="O197">
        <v>30602330.149999999</v>
      </c>
      <c r="P197" t="s">
        <v>4109</v>
      </c>
    </row>
    <row r="198" spans="1:16" x14ac:dyDescent="0.25">
      <c r="A198" t="s">
        <v>376</v>
      </c>
      <c r="B198" t="s">
        <v>375</v>
      </c>
      <c r="C198" t="s">
        <v>376</v>
      </c>
      <c r="D198" t="s">
        <v>377</v>
      </c>
      <c r="E198" t="s">
        <v>378</v>
      </c>
      <c r="F198" t="s">
        <v>61</v>
      </c>
      <c r="G198" t="s">
        <v>32</v>
      </c>
      <c r="H198">
        <v>3</v>
      </c>
      <c r="I198" t="b">
        <v>1</v>
      </c>
      <c r="J198" t="s">
        <v>4193</v>
      </c>
      <c r="K198">
        <v>2</v>
      </c>
      <c r="L198" t="s">
        <v>4167</v>
      </c>
      <c r="M198">
        <v>5</v>
      </c>
      <c r="N198">
        <v>5</v>
      </c>
      <c r="O198">
        <v>30585274.32</v>
      </c>
      <c r="P198" t="s">
        <v>4109</v>
      </c>
    </row>
    <row r="199" spans="1:16" x14ac:dyDescent="0.25">
      <c r="A199" t="s">
        <v>809</v>
      </c>
      <c r="B199" t="s">
        <v>808</v>
      </c>
      <c r="C199" t="s">
        <v>809</v>
      </c>
      <c r="D199" t="s">
        <v>810</v>
      </c>
      <c r="E199" t="s">
        <v>806</v>
      </c>
      <c r="F199" t="s">
        <v>681</v>
      </c>
      <c r="G199" t="s">
        <v>32</v>
      </c>
      <c r="H199">
        <v>3</v>
      </c>
      <c r="I199" t="b">
        <v>1</v>
      </c>
      <c r="J199" t="s">
        <v>4194</v>
      </c>
      <c r="K199">
        <v>2</v>
      </c>
      <c r="L199" t="s">
        <v>4170</v>
      </c>
      <c r="M199">
        <v>4</v>
      </c>
      <c r="N199">
        <v>4</v>
      </c>
      <c r="O199">
        <v>30158909.84</v>
      </c>
      <c r="P199" t="s">
        <v>4109</v>
      </c>
    </row>
    <row r="200" spans="1:16" x14ac:dyDescent="0.25">
      <c r="A200" t="s">
        <v>897</v>
      </c>
      <c r="B200" t="s">
        <v>896</v>
      </c>
      <c r="C200" t="s">
        <v>897</v>
      </c>
      <c r="D200" t="s">
        <v>898</v>
      </c>
      <c r="E200" t="s">
        <v>404</v>
      </c>
      <c r="F200" t="s">
        <v>44</v>
      </c>
      <c r="G200" t="s">
        <v>32</v>
      </c>
      <c r="H200">
        <v>3</v>
      </c>
      <c r="I200" t="b">
        <v>1</v>
      </c>
      <c r="J200" t="s">
        <v>4195</v>
      </c>
      <c r="K200">
        <v>2</v>
      </c>
      <c r="L200" t="s">
        <v>4170</v>
      </c>
      <c r="M200">
        <v>4</v>
      </c>
      <c r="N200">
        <v>4</v>
      </c>
      <c r="O200">
        <v>29926497.109999999</v>
      </c>
      <c r="P200" t="s">
        <v>4109</v>
      </c>
    </row>
    <row r="201" spans="1:16" x14ac:dyDescent="0.25">
      <c r="A201" t="s">
        <v>1117</v>
      </c>
      <c r="B201" t="s">
        <v>1116</v>
      </c>
      <c r="C201" t="s">
        <v>1117</v>
      </c>
      <c r="D201" t="s">
        <v>1118</v>
      </c>
      <c r="E201" t="s">
        <v>43</v>
      </c>
      <c r="F201" t="s">
        <v>44</v>
      </c>
      <c r="G201" t="s">
        <v>32</v>
      </c>
      <c r="H201">
        <v>3</v>
      </c>
      <c r="I201" t="b">
        <v>1</v>
      </c>
      <c r="J201" t="s">
        <v>1116</v>
      </c>
      <c r="K201">
        <v>1</v>
      </c>
      <c r="L201" t="s">
        <v>4174</v>
      </c>
      <c r="M201">
        <v>5</v>
      </c>
      <c r="N201">
        <v>5</v>
      </c>
      <c r="O201">
        <v>28725151.5</v>
      </c>
      <c r="P201" t="s">
        <v>4109</v>
      </c>
    </row>
    <row r="202" spans="1:16" x14ac:dyDescent="0.25">
      <c r="A202" t="s">
        <v>646</v>
      </c>
      <c r="B202" t="s">
        <v>645</v>
      </c>
      <c r="C202" t="s">
        <v>646</v>
      </c>
      <c r="D202" t="s">
        <v>647</v>
      </c>
      <c r="E202" t="s">
        <v>638</v>
      </c>
      <c r="F202" t="s">
        <v>31</v>
      </c>
      <c r="G202" t="s">
        <v>358</v>
      </c>
      <c r="H202">
        <v>3</v>
      </c>
      <c r="I202" t="b">
        <v>1</v>
      </c>
      <c r="J202" t="s">
        <v>645</v>
      </c>
      <c r="K202">
        <v>1</v>
      </c>
      <c r="L202" t="s">
        <v>124</v>
      </c>
      <c r="M202">
        <v>1</v>
      </c>
      <c r="N202">
        <v>1</v>
      </c>
      <c r="O202">
        <v>28625397.489999991</v>
      </c>
      <c r="P202" t="s">
        <v>4109</v>
      </c>
    </row>
    <row r="203" spans="1:16" x14ac:dyDescent="0.25">
      <c r="A203" t="s">
        <v>581</v>
      </c>
      <c r="B203" t="s">
        <v>580</v>
      </c>
      <c r="C203" t="s">
        <v>581</v>
      </c>
      <c r="D203" t="s">
        <v>582</v>
      </c>
      <c r="E203" t="s">
        <v>583</v>
      </c>
      <c r="F203" t="s">
        <v>81</v>
      </c>
      <c r="G203" t="s">
        <v>32</v>
      </c>
      <c r="H203">
        <v>3</v>
      </c>
      <c r="I203" t="b">
        <v>1</v>
      </c>
      <c r="J203" t="s">
        <v>4196</v>
      </c>
      <c r="K203">
        <v>2</v>
      </c>
      <c r="L203" t="s">
        <v>4167</v>
      </c>
      <c r="M203">
        <v>5</v>
      </c>
      <c r="N203">
        <v>5</v>
      </c>
      <c r="O203">
        <v>28375639.579999998</v>
      </c>
      <c r="P203" t="s">
        <v>4109</v>
      </c>
    </row>
    <row r="204" spans="1:16" x14ac:dyDescent="0.25">
      <c r="A204" t="s">
        <v>935</v>
      </c>
      <c r="B204" t="s">
        <v>934</v>
      </c>
      <c r="C204" t="s">
        <v>935</v>
      </c>
      <c r="D204" t="s">
        <v>936</v>
      </c>
      <c r="E204" t="s">
        <v>931</v>
      </c>
      <c r="F204" t="s">
        <v>44</v>
      </c>
      <c r="G204" t="s">
        <v>32</v>
      </c>
      <c r="H204">
        <v>3</v>
      </c>
      <c r="I204" t="b">
        <v>1</v>
      </c>
      <c r="J204" t="s">
        <v>4197</v>
      </c>
      <c r="K204">
        <v>2</v>
      </c>
      <c r="L204" t="s">
        <v>4170</v>
      </c>
      <c r="M204">
        <v>4</v>
      </c>
      <c r="N204">
        <v>4</v>
      </c>
      <c r="O204">
        <v>27789156.039999999</v>
      </c>
      <c r="P204" t="s">
        <v>4109</v>
      </c>
    </row>
    <row r="205" spans="1:16" x14ac:dyDescent="0.25">
      <c r="A205" t="s">
        <v>1009</v>
      </c>
      <c r="B205" t="s">
        <v>1008</v>
      </c>
      <c r="C205" t="s">
        <v>1009</v>
      </c>
      <c r="D205" t="s">
        <v>1010</v>
      </c>
      <c r="E205" t="s">
        <v>517</v>
      </c>
      <c r="F205" t="s">
        <v>31</v>
      </c>
      <c r="G205" t="s">
        <v>32</v>
      </c>
      <c r="H205">
        <v>3</v>
      </c>
      <c r="I205" t="b">
        <v>1</v>
      </c>
      <c r="J205" t="s">
        <v>1008</v>
      </c>
      <c r="K205">
        <v>1</v>
      </c>
      <c r="L205" t="s">
        <v>4170</v>
      </c>
      <c r="M205">
        <v>4</v>
      </c>
      <c r="N205">
        <v>4</v>
      </c>
      <c r="O205">
        <v>26998540.210000001</v>
      </c>
      <c r="P205" t="s">
        <v>4109</v>
      </c>
    </row>
    <row r="206" spans="1:16" x14ac:dyDescent="0.25">
      <c r="A206" t="s">
        <v>741</v>
      </c>
      <c r="B206" t="s">
        <v>746</v>
      </c>
      <c r="C206" t="s">
        <v>745</v>
      </c>
      <c r="D206" t="s">
        <v>744</v>
      </c>
      <c r="E206" t="s">
        <v>743</v>
      </c>
      <c r="F206" t="s">
        <v>31</v>
      </c>
      <c r="G206" t="s">
        <v>32</v>
      </c>
      <c r="H206">
        <v>3</v>
      </c>
      <c r="I206" t="b">
        <v>1</v>
      </c>
      <c r="J206" t="s">
        <v>4198</v>
      </c>
      <c r="K206">
        <v>2</v>
      </c>
      <c r="L206" t="s">
        <v>4170</v>
      </c>
      <c r="M206">
        <v>4</v>
      </c>
      <c r="N206">
        <v>5</v>
      </c>
      <c r="O206">
        <v>26785722.75</v>
      </c>
      <c r="P206" t="s">
        <v>4109</v>
      </c>
    </row>
    <row r="207" spans="1:16" x14ac:dyDescent="0.25">
      <c r="A207" t="s">
        <v>1745</v>
      </c>
      <c r="B207" t="s">
        <v>1744</v>
      </c>
      <c r="C207" t="s">
        <v>1745</v>
      </c>
      <c r="D207" t="s">
        <v>1746</v>
      </c>
      <c r="E207" t="s">
        <v>1747</v>
      </c>
      <c r="F207" t="s">
        <v>112</v>
      </c>
      <c r="G207" t="s">
        <v>32</v>
      </c>
      <c r="H207">
        <v>3</v>
      </c>
      <c r="I207" t="b">
        <v>1</v>
      </c>
      <c r="J207" t="s">
        <v>4199</v>
      </c>
      <c r="K207">
        <v>2</v>
      </c>
      <c r="L207" t="s">
        <v>4170</v>
      </c>
      <c r="M207">
        <v>4</v>
      </c>
      <c r="N207">
        <v>4</v>
      </c>
      <c r="O207">
        <v>26663773.640000001</v>
      </c>
      <c r="P207" t="s">
        <v>4109</v>
      </c>
    </row>
    <row r="208" spans="1:16" x14ac:dyDescent="0.25">
      <c r="A208" t="s">
        <v>1211</v>
      </c>
      <c r="B208" t="s">
        <v>1210</v>
      </c>
      <c r="C208" t="s">
        <v>1211</v>
      </c>
      <c r="D208" t="s">
        <v>1212</v>
      </c>
      <c r="E208" t="s">
        <v>1213</v>
      </c>
      <c r="F208" t="s">
        <v>112</v>
      </c>
      <c r="G208" t="s">
        <v>32</v>
      </c>
      <c r="H208">
        <v>3</v>
      </c>
      <c r="I208" t="b">
        <v>1</v>
      </c>
      <c r="J208" t="s">
        <v>4200</v>
      </c>
      <c r="K208">
        <v>2</v>
      </c>
      <c r="L208" t="s">
        <v>4170</v>
      </c>
      <c r="M208">
        <v>4</v>
      </c>
      <c r="N208">
        <v>4</v>
      </c>
      <c r="O208">
        <v>26591225.100000001</v>
      </c>
      <c r="P208" t="s">
        <v>4109</v>
      </c>
    </row>
    <row r="209" spans="1:16" x14ac:dyDescent="0.25">
      <c r="A209" t="s">
        <v>2176</v>
      </c>
      <c r="B209" t="s">
        <v>2175</v>
      </c>
      <c r="C209" t="s">
        <v>2176</v>
      </c>
      <c r="D209" t="s">
        <v>2177</v>
      </c>
      <c r="E209" t="s">
        <v>835</v>
      </c>
      <c r="F209" t="s">
        <v>50</v>
      </c>
      <c r="G209" t="s">
        <v>32</v>
      </c>
      <c r="H209">
        <v>3</v>
      </c>
      <c r="I209" t="b">
        <v>1</v>
      </c>
      <c r="J209" t="s">
        <v>2175</v>
      </c>
      <c r="K209">
        <v>1</v>
      </c>
      <c r="L209" t="s">
        <v>4201</v>
      </c>
      <c r="M209">
        <v>2</v>
      </c>
      <c r="N209">
        <v>2</v>
      </c>
      <c r="O209">
        <v>26266509.719999999</v>
      </c>
      <c r="P209" t="s">
        <v>4109</v>
      </c>
    </row>
    <row r="210" spans="1:16" x14ac:dyDescent="0.25">
      <c r="A210" t="s">
        <v>1124</v>
      </c>
      <c r="B210" t="s">
        <v>1123</v>
      </c>
      <c r="C210" t="s">
        <v>1124</v>
      </c>
      <c r="D210" t="s">
        <v>1125</v>
      </c>
      <c r="E210" t="s">
        <v>1126</v>
      </c>
      <c r="F210" t="s">
        <v>112</v>
      </c>
      <c r="G210" t="s">
        <v>32</v>
      </c>
      <c r="H210">
        <v>3</v>
      </c>
      <c r="I210" t="b">
        <v>1</v>
      </c>
      <c r="J210" t="s">
        <v>4202</v>
      </c>
      <c r="K210">
        <v>2</v>
      </c>
      <c r="L210" t="s">
        <v>4170</v>
      </c>
      <c r="M210">
        <v>4</v>
      </c>
      <c r="N210">
        <v>4</v>
      </c>
      <c r="O210">
        <v>26181206.539999999</v>
      </c>
      <c r="P210" t="s">
        <v>4109</v>
      </c>
    </row>
    <row r="211" spans="1:16" x14ac:dyDescent="0.25">
      <c r="A211" t="s">
        <v>1719</v>
      </c>
      <c r="B211" t="s">
        <v>1718</v>
      </c>
      <c r="C211" t="s">
        <v>1719</v>
      </c>
      <c r="D211" t="s">
        <v>1720</v>
      </c>
      <c r="E211" t="s">
        <v>600</v>
      </c>
      <c r="F211" t="s">
        <v>31</v>
      </c>
      <c r="G211" t="s">
        <v>32</v>
      </c>
      <c r="H211">
        <v>3</v>
      </c>
      <c r="I211" t="b">
        <v>1</v>
      </c>
      <c r="J211" t="s">
        <v>4203</v>
      </c>
      <c r="K211">
        <v>2</v>
      </c>
      <c r="L211" t="s">
        <v>4170</v>
      </c>
      <c r="M211">
        <v>4</v>
      </c>
      <c r="N211">
        <v>4</v>
      </c>
      <c r="O211">
        <v>26177906.199999999</v>
      </c>
      <c r="P211" t="s">
        <v>4109</v>
      </c>
    </row>
    <row r="212" spans="1:16" x14ac:dyDescent="0.25">
      <c r="A212" t="s">
        <v>980</v>
      </c>
      <c r="B212" t="s">
        <v>979</v>
      </c>
      <c r="C212" t="s">
        <v>980</v>
      </c>
      <c r="D212" t="s">
        <v>981</v>
      </c>
      <c r="E212" t="s">
        <v>494</v>
      </c>
      <c r="F212" t="s">
        <v>112</v>
      </c>
      <c r="G212" t="s">
        <v>32</v>
      </c>
      <c r="H212">
        <v>3</v>
      </c>
      <c r="I212" t="b">
        <v>1</v>
      </c>
      <c r="J212" t="s">
        <v>4204</v>
      </c>
      <c r="K212">
        <v>2</v>
      </c>
      <c r="L212" t="s">
        <v>4170</v>
      </c>
      <c r="M212">
        <v>4</v>
      </c>
      <c r="N212">
        <v>4</v>
      </c>
      <c r="O212">
        <v>26078066.989999998</v>
      </c>
      <c r="P212" t="s">
        <v>4109</v>
      </c>
    </row>
    <row r="213" spans="1:16" x14ac:dyDescent="0.25">
      <c r="A213" t="s">
        <v>913</v>
      </c>
      <c r="B213" t="s">
        <v>912</v>
      </c>
      <c r="C213" t="s">
        <v>913</v>
      </c>
      <c r="D213" t="s">
        <v>914</v>
      </c>
      <c r="E213" t="s">
        <v>915</v>
      </c>
      <c r="F213" t="s">
        <v>61</v>
      </c>
      <c r="G213" t="s">
        <v>32</v>
      </c>
      <c r="H213">
        <v>3</v>
      </c>
      <c r="I213" t="b">
        <v>1</v>
      </c>
      <c r="J213" t="s">
        <v>912</v>
      </c>
      <c r="K213">
        <v>1</v>
      </c>
      <c r="L213" t="s">
        <v>4205</v>
      </c>
      <c r="M213">
        <v>3</v>
      </c>
      <c r="N213">
        <v>3</v>
      </c>
      <c r="O213">
        <v>25237957.18</v>
      </c>
      <c r="P213" t="s">
        <v>4109</v>
      </c>
    </row>
    <row r="214" spans="1:16" x14ac:dyDescent="0.25">
      <c r="A214" t="s">
        <v>929</v>
      </c>
      <c r="B214" t="s">
        <v>928</v>
      </c>
      <c r="C214" t="s">
        <v>929</v>
      </c>
      <c r="D214" t="s">
        <v>930</v>
      </c>
      <c r="E214" t="s">
        <v>931</v>
      </c>
      <c r="F214" t="s">
        <v>44</v>
      </c>
      <c r="G214" t="s">
        <v>32</v>
      </c>
      <c r="H214">
        <v>3</v>
      </c>
      <c r="I214" t="b">
        <v>1</v>
      </c>
      <c r="J214" t="s">
        <v>4206</v>
      </c>
      <c r="K214">
        <v>2</v>
      </c>
      <c r="L214" t="s">
        <v>4170</v>
      </c>
      <c r="M214">
        <v>4</v>
      </c>
      <c r="N214">
        <v>4</v>
      </c>
      <c r="O214">
        <v>23794695.899999999</v>
      </c>
      <c r="P214" t="s">
        <v>4109</v>
      </c>
    </row>
    <row r="215" spans="1:16" x14ac:dyDescent="0.25">
      <c r="A215" t="s">
        <v>1772</v>
      </c>
      <c r="B215" t="s">
        <v>1771</v>
      </c>
      <c r="C215" t="s">
        <v>1772</v>
      </c>
      <c r="D215" t="s">
        <v>1773</v>
      </c>
      <c r="E215" t="s">
        <v>1774</v>
      </c>
      <c r="F215" t="s">
        <v>112</v>
      </c>
      <c r="G215" t="s">
        <v>32</v>
      </c>
      <c r="H215">
        <v>3</v>
      </c>
      <c r="I215" t="b">
        <v>1</v>
      </c>
      <c r="J215" t="s">
        <v>1771</v>
      </c>
      <c r="K215">
        <v>1</v>
      </c>
      <c r="L215" t="s">
        <v>4170</v>
      </c>
      <c r="M215">
        <v>4</v>
      </c>
      <c r="N215">
        <v>4</v>
      </c>
      <c r="O215">
        <v>23588850.5</v>
      </c>
      <c r="P215" t="s">
        <v>4109</v>
      </c>
    </row>
    <row r="216" spans="1:16" x14ac:dyDescent="0.25">
      <c r="A216" t="s">
        <v>1665</v>
      </c>
      <c r="B216" t="s">
        <v>1664</v>
      </c>
      <c r="C216" t="s">
        <v>1665</v>
      </c>
      <c r="D216" t="s">
        <v>1666</v>
      </c>
      <c r="E216" t="s">
        <v>1667</v>
      </c>
      <c r="F216" t="s">
        <v>31</v>
      </c>
      <c r="G216" t="s">
        <v>32</v>
      </c>
      <c r="H216">
        <v>3</v>
      </c>
      <c r="I216" t="b">
        <v>1</v>
      </c>
      <c r="J216" t="s">
        <v>4207</v>
      </c>
      <c r="K216">
        <v>2</v>
      </c>
      <c r="L216" t="s">
        <v>4170</v>
      </c>
      <c r="M216">
        <v>4</v>
      </c>
      <c r="N216">
        <v>4</v>
      </c>
      <c r="O216">
        <v>22849150.289999999</v>
      </c>
      <c r="P216" t="s">
        <v>4109</v>
      </c>
    </row>
    <row r="217" spans="1:16" x14ac:dyDescent="0.25">
      <c r="A217" t="s">
        <v>1353</v>
      </c>
      <c r="B217" t="s">
        <v>1352</v>
      </c>
      <c r="C217" t="s">
        <v>1353</v>
      </c>
      <c r="D217" t="s">
        <v>1354</v>
      </c>
      <c r="E217" t="s">
        <v>1355</v>
      </c>
      <c r="F217" t="s">
        <v>61</v>
      </c>
      <c r="G217" t="s">
        <v>32</v>
      </c>
      <c r="H217">
        <v>3</v>
      </c>
      <c r="I217" t="b">
        <v>1</v>
      </c>
      <c r="J217" t="s">
        <v>4208</v>
      </c>
      <c r="K217">
        <v>2</v>
      </c>
      <c r="L217" t="s">
        <v>4170</v>
      </c>
      <c r="M217">
        <v>4</v>
      </c>
      <c r="N217">
        <v>5</v>
      </c>
      <c r="O217">
        <v>22290569.280000001</v>
      </c>
      <c r="P217" t="s">
        <v>4109</v>
      </c>
    </row>
    <row r="218" spans="1:16" x14ac:dyDescent="0.25">
      <c r="A218" t="s">
        <v>1046</v>
      </c>
      <c r="B218" t="s">
        <v>1045</v>
      </c>
      <c r="C218" t="s">
        <v>1046</v>
      </c>
      <c r="D218" t="s">
        <v>1047</v>
      </c>
      <c r="E218" t="s">
        <v>531</v>
      </c>
      <c r="F218" t="s">
        <v>81</v>
      </c>
      <c r="G218" t="s">
        <v>32</v>
      </c>
      <c r="H218">
        <v>3</v>
      </c>
      <c r="I218" t="b">
        <v>1</v>
      </c>
      <c r="J218" t="s">
        <v>1045</v>
      </c>
      <c r="K218">
        <v>1</v>
      </c>
      <c r="L218" t="s">
        <v>4170</v>
      </c>
      <c r="M218">
        <v>4</v>
      </c>
      <c r="N218">
        <v>4</v>
      </c>
      <c r="O218">
        <v>22273706.629999999</v>
      </c>
      <c r="P218" t="s">
        <v>4109</v>
      </c>
    </row>
    <row r="219" spans="1:16" x14ac:dyDescent="0.25">
      <c r="A219" t="s">
        <v>1295</v>
      </c>
      <c r="B219" t="s">
        <v>1294</v>
      </c>
      <c r="C219" t="s">
        <v>1295</v>
      </c>
      <c r="D219" t="s">
        <v>1296</v>
      </c>
      <c r="E219" t="s">
        <v>1297</v>
      </c>
      <c r="F219" t="s">
        <v>31</v>
      </c>
      <c r="G219" t="s">
        <v>358</v>
      </c>
      <c r="H219">
        <v>3</v>
      </c>
      <c r="I219" t="b">
        <v>1</v>
      </c>
      <c r="J219" t="s">
        <v>1294</v>
      </c>
      <c r="K219">
        <v>1</v>
      </c>
      <c r="L219" t="s">
        <v>4111</v>
      </c>
      <c r="M219">
        <v>2</v>
      </c>
      <c r="N219">
        <v>2</v>
      </c>
      <c r="O219">
        <v>22266913.09</v>
      </c>
      <c r="P219" t="s">
        <v>4109</v>
      </c>
    </row>
    <row r="220" spans="1:16" x14ac:dyDescent="0.25">
      <c r="A220" t="s">
        <v>1685</v>
      </c>
      <c r="B220" t="s">
        <v>1684</v>
      </c>
      <c r="C220" t="s">
        <v>1685</v>
      </c>
      <c r="D220" t="s">
        <v>1686</v>
      </c>
      <c r="E220" t="s">
        <v>605</v>
      </c>
      <c r="F220" t="s">
        <v>112</v>
      </c>
      <c r="G220" t="s">
        <v>32</v>
      </c>
      <c r="H220">
        <v>3</v>
      </c>
      <c r="I220" t="b">
        <v>1</v>
      </c>
      <c r="J220" t="s">
        <v>1684</v>
      </c>
      <c r="K220">
        <v>1</v>
      </c>
      <c r="L220" t="s">
        <v>4170</v>
      </c>
      <c r="M220">
        <v>4</v>
      </c>
      <c r="N220">
        <v>4</v>
      </c>
      <c r="O220">
        <v>22266085.100000001</v>
      </c>
      <c r="P220" t="s">
        <v>4109</v>
      </c>
    </row>
    <row r="221" spans="1:16" x14ac:dyDescent="0.25">
      <c r="A221" t="s">
        <v>785</v>
      </c>
      <c r="B221" t="s">
        <v>784</v>
      </c>
      <c r="C221" t="s">
        <v>785</v>
      </c>
      <c r="D221" t="s">
        <v>786</v>
      </c>
      <c r="E221" t="s">
        <v>787</v>
      </c>
      <c r="F221" t="s">
        <v>112</v>
      </c>
      <c r="G221" t="s">
        <v>32</v>
      </c>
      <c r="H221">
        <v>3</v>
      </c>
      <c r="I221" t="b">
        <v>1</v>
      </c>
      <c r="J221" t="s">
        <v>784</v>
      </c>
      <c r="K221">
        <v>1</v>
      </c>
      <c r="L221" t="s">
        <v>4167</v>
      </c>
      <c r="M221">
        <v>5</v>
      </c>
      <c r="N221">
        <v>5</v>
      </c>
      <c r="O221">
        <v>21622549.199999999</v>
      </c>
      <c r="P221" t="s">
        <v>4109</v>
      </c>
    </row>
    <row r="222" spans="1:16" x14ac:dyDescent="0.25">
      <c r="A222" t="s">
        <v>1343</v>
      </c>
      <c r="B222" t="s">
        <v>1342</v>
      </c>
      <c r="C222" t="s">
        <v>1343</v>
      </c>
      <c r="D222" t="s">
        <v>1344</v>
      </c>
      <c r="E222" t="s">
        <v>1345</v>
      </c>
      <c r="F222" t="s">
        <v>112</v>
      </c>
      <c r="G222" t="s">
        <v>32</v>
      </c>
      <c r="H222">
        <v>3</v>
      </c>
      <c r="I222" t="b">
        <v>1</v>
      </c>
      <c r="J222" t="s">
        <v>1342</v>
      </c>
      <c r="K222">
        <v>1</v>
      </c>
      <c r="L222" t="s">
        <v>4170</v>
      </c>
      <c r="M222">
        <v>4</v>
      </c>
      <c r="N222">
        <v>4</v>
      </c>
      <c r="O222">
        <v>21519064.690000001</v>
      </c>
      <c r="P222" t="s">
        <v>4109</v>
      </c>
    </row>
    <row r="223" spans="1:16" x14ac:dyDescent="0.25">
      <c r="A223" t="s">
        <v>370</v>
      </c>
      <c r="B223" t="s">
        <v>369</v>
      </c>
      <c r="C223" t="s">
        <v>370</v>
      </c>
      <c r="D223" t="s">
        <v>371</v>
      </c>
      <c r="E223" t="s">
        <v>372</v>
      </c>
      <c r="F223" t="s">
        <v>81</v>
      </c>
      <c r="G223" t="s">
        <v>32</v>
      </c>
      <c r="H223">
        <v>3</v>
      </c>
      <c r="I223" t="b">
        <v>1</v>
      </c>
      <c r="J223" t="s">
        <v>4209</v>
      </c>
      <c r="K223">
        <v>2</v>
      </c>
      <c r="L223" t="s">
        <v>4167</v>
      </c>
      <c r="M223">
        <v>5</v>
      </c>
      <c r="N223">
        <v>5</v>
      </c>
      <c r="O223">
        <v>21212156.850000001</v>
      </c>
      <c r="P223" t="s">
        <v>4109</v>
      </c>
    </row>
    <row r="224" spans="1:16" x14ac:dyDescent="0.25">
      <c r="A224" t="s">
        <v>1713</v>
      </c>
      <c r="B224" t="s">
        <v>1712</v>
      </c>
      <c r="C224" t="s">
        <v>1713</v>
      </c>
      <c r="D224" t="s">
        <v>1714</v>
      </c>
      <c r="E224" t="s">
        <v>1715</v>
      </c>
      <c r="F224" t="s">
        <v>112</v>
      </c>
      <c r="G224" t="s">
        <v>32</v>
      </c>
      <c r="H224">
        <v>3</v>
      </c>
      <c r="I224" t="b">
        <v>1</v>
      </c>
      <c r="J224" t="s">
        <v>4210</v>
      </c>
      <c r="K224">
        <v>2</v>
      </c>
      <c r="L224" t="s">
        <v>4170</v>
      </c>
      <c r="M224">
        <v>4</v>
      </c>
      <c r="N224">
        <v>4</v>
      </c>
      <c r="O224">
        <v>21207874.489999998</v>
      </c>
      <c r="P224" t="s">
        <v>4109</v>
      </c>
    </row>
    <row r="225" spans="1:16" x14ac:dyDescent="0.25">
      <c r="A225" t="s">
        <v>1740</v>
      </c>
      <c r="B225" t="s">
        <v>1739</v>
      </c>
      <c r="C225" t="s">
        <v>1740</v>
      </c>
      <c r="D225" t="s">
        <v>1741</v>
      </c>
      <c r="E225" t="s">
        <v>1732</v>
      </c>
      <c r="F225" t="s">
        <v>112</v>
      </c>
      <c r="G225" t="s">
        <v>32</v>
      </c>
      <c r="H225">
        <v>3</v>
      </c>
      <c r="I225" t="b">
        <v>1</v>
      </c>
      <c r="J225" t="s">
        <v>4211</v>
      </c>
      <c r="K225">
        <v>2</v>
      </c>
      <c r="L225" t="s">
        <v>4170</v>
      </c>
      <c r="M225">
        <v>4</v>
      </c>
      <c r="N225">
        <v>4</v>
      </c>
      <c r="O225">
        <v>21205275.82</v>
      </c>
      <c r="P225" t="s">
        <v>4109</v>
      </c>
    </row>
    <row r="226" spans="1:16" x14ac:dyDescent="0.25">
      <c r="A226" t="s">
        <v>1021</v>
      </c>
      <c r="B226" t="s">
        <v>1020</v>
      </c>
      <c r="C226" t="s">
        <v>1021</v>
      </c>
      <c r="D226" t="s">
        <v>1022</v>
      </c>
      <c r="E226" t="s">
        <v>526</v>
      </c>
      <c r="F226" t="s">
        <v>81</v>
      </c>
      <c r="G226" t="s">
        <v>32</v>
      </c>
      <c r="H226">
        <v>3</v>
      </c>
      <c r="I226" t="b">
        <v>1</v>
      </c>
      <c r="J226" t="s">
        <v>1020</v>
      </c>
      <c r="K226">
        <v>1</v>
      </c>
      <c r="L226" t="s">
        <v>4170</v>
      </c>
      <c r="M226">
        <v>4</v>
      </c>
      <c r="N226">
        <v>4</v>
      </c>
      <c r="O226">
        <v>21058208.460000001</v>
      </c>
      <c r="P226" t="s">
        <v>4109</v>
      </c>
    </row>
    <row r="227" spans="1:16" x14ac:dyDescent="0.25">
      <c r="A227" t="s">
        <v>829</v>
      </c>
      <c r="B227" t="s">
        <v>828</v>
      </c>
      <c r="C227" t="s">
        <v>829</v>
      </c>
      <c r="D227" t="s">
        <v>830</v>
      </c>
      <c r="E227" t="s">
        <v>826</v>
      </c>
      <c r="F227" t="s">
        <v>81</v>
      </c>
      <c r="G227" t="s">
        <v>32</v>
      </c>
      <c r="H227">
        <v>3</v>
      </c>
      <c r="I227" t="b">
        <v>1</v>
      </c>
      <c r="J227" t="s">
        <v>828</v>
      </c>
      <c r="K227">
        <v>1</v>
      </c>
      <c r="L227" t="s">
        <v>4170</v>
      </c>
      <c r="M227">
        <v>4</v>
      </c>
      <c r="N227">
        <v>4</v>
      </c>
      <c r="O227">
        <v>20932761.73</v>
      </c>
      <c r="P227" t="s">
        <v>4109</v>
      </c>
    </row>
    <row r="228" spans="1:16" x14ac:dyDescent="0.25">
      <c r="A228" t="s">
        <v>550</v>
      </c>
      <c r="B228" t="s">
        <v>549</v>
      </c>
      <c r="C228" t="s">
        <v>550</v>
      </c>
      <c r="D228" t="s">
        <v>551</v>
      </c>
      <c r="E228" t="s">
        <v>547</v>
      </c>
      <c r="F228" t="s">
        <v>44</v>
      </c>
      <c r="G228" t="s">
        <v>32</v>
      </c>
      <c r="H228">
        <v>3</v>
      </c>
      <c r="I228" t="b">
        <v>1</v>
      </c>
      <c r="J228" t="s">
        <v>4212</v>
      </c>
      <c r="K228">
        <v>2</v>
      </c>
      <c r="L228" t="s">
        <v>4167</v>
      </c>
      <c r="M228">
        <v>5</v>
      </c>
      <c r="N228">
        <v>5</v>
      </c>
      <c r="O228">
        <v>20900256.460000001</v>
      </c>
      <c r="P228" t="s">
        <v>4109</v>
      </c>
    </row>
    <row r="229" spans="1:16" x14ac:dyDescent="0.25">
      <c r="A229" t="s">
        <v>860</v>
      </c>
      <c r="B229" t="s">
        <v>859</v>
      </c>
      <c r="C229" t="s">
        <v>860</v>
      </c>
      <c r="D229" t="s">
        <v>861</v>
      </c>
      <c r="E229" t="s">
        <v>862</v>
      </c>
      <c r="F229" t="s">
        <v>31</v>
      </c>
      <c r="G229" t="s">
        <v>32</v>
      </c>
      <c r="H229">
        <v>3</v>
      </c>
      <c r="I229" t="b">
        <v>1</v>
      </c>
      <c r="J229" t="s">
        <v>4213</v>
      </c>
      <c r="K229">
        <v>2</v>
      </c>
      <c r="L229" t="s">
        <v>4170</v>
      </c>
      <c r="M229">
        <v>4</v>
      </c>
      <c r="N229">
        <v>4</v>
      </c>
      <c r="O229">
        <v>20452134.300000001</v>
      </c>
      <c r="P229" t="s">
        <v>4109</v>
      </c>
    </row>
    <row r="230" spans="1:16" x14ac:dyDescent="0.25">
      <c r="A230" t="s">
        <v>1145</v>
      </c>
      <c r="B230" t="s">
        <v>1144</v>
      </c>
      <c r="C230" t="s">
        <v>1145</v>
      </c>
      <c r="D230" t="s">
        <v>1146</v>
      </c>
      <c r="E230" t="s">
        <v>245</v>
      </c>
      <c r="F230" t="s">
        <v>44</v>
      </c>
      <c r="G230" t="s">
        <v>32</v>
      </c>
      <c r="H230">
        <v>3</v>
      </c>
      <c r="I230" t="b">
        <v>1</v>
      </c>
      <c r="J230" t="s">
        <v>1144</v>
      </c>
      <c r="K230">
        <v>1</v>
      </c>
      <c r="L230" t="s">
        <v>4170</v>
      </c>
      <c r="M230">
        <v>4</v>
      </c>
      <c r="N230">
        <v>4</v>
      </c>
      <c r="O230">
        <v>20093044.41</v>
      </c>
      <c r="P230" t="s">
        <v>4109</v>
      </c>
    </row>
    <row r="231" spans="1:16" x14ac:dyDescent="0.25">
      <c r="A231" t="s">
        <v>1183</v>
      </c>
      <c r="B231" t="s">
        <v>1182</v>
      </c>
      <c r="C231" t="s">
        <v>1183</v>
      </c>
      <c r="D231" t="s">
        <v>1184</v>
      </c>
      <c r="E231" t="s">
        <v>1180</v>
      </c>
      <c r="F231" t="s">
        <v>31</v>
      </c>
      <c r="G231" t="s">
        <v>32</v>
      </c>
      <c r="H231">
        <v>3</v>
      </c>
      <c r="I231" t="b">
        <v>1</v>
      </c>
      <c r="J231" t="s">
        <v>1182</v>
      </c>
      <c r="K231">
        <v>1</v>
      </c>
      <c r="L231" t="s">
        <v>4214</v>
      </c>
      <c r="M231">
        <v>3</v>
      </c>
      <c r="N231">
        <v>3</v>
      </c>
      <c r="O231">
        <v>19541466.41</v>
      </c>
      <c r="P231" t="s">
        <v>4109</v>
      </c>
    </row>
    <row r="232" spans="1:16" x14ac:dyDescent="0.25">
      <c r="A232" t="s">
        <v>519</v>
      </c>
      <c r="B232" t="s">
        <v>518</v>
      </c>
      <c r="C232" t="s">
        <v>519</v>
      </c>
      <c r="D232" t="s">
        <v>520</v>
      </c>
      <c r="E232" t="s">
        <v>517</v>
      </c>
      <c r="F232" t="s">
        <v>31</v>
      </c>
      <c r="G232" t="s">
        <v>32</v>
      </c>
      <c r="H232">
        <v>3</v>
      </c>
      <c r="I232" t="b">
        <v>1</v>
      </c>
      <c r="J232" t="s">
        <v>4215</v>
      </c>
      <c r="K232">
        <v>2</v>
      </c>
      <c r="L232" t="s">
        <v>4167</v>
      </c>
      <c r="M232">
        <v>5</v>
      </c>
      <c r="N232">
        <v>5</v>
      </c>
      <c r="O232">
        <v>19410532.93</v>
      </c>
      <c r="P232" t="s">
        <v>4109</v>
      </c>
    </row>
    <row r="233" spans="1:16" x14ac:dyDescent="0.25">
      <c r="A233" t="s">
        <v>1698</v>
      </c>
      <c r="B233" t="s">
        <v>1697</v>
      </c>
      <c r="C233" t="s">
        <v>1698</v>
      </c>
      <c r="D233" t="s">
        <v>1699</v>
      </c>
      <c r="E233" t="s">
        <v>605</v>
      </c>
      <c r="F233" t="s">
        <v>112</v>
      </c>
      <c r="G233" t="s">
        <v>32</v>
      </c>
      <c r="H233">
        <v>3</v>
      </c>
      <c r="I233" t="b">
        <v>1</v>
      </c>
      <c r="J233" t="s">
        <v>1697</v>
      </c>
      <c r="K233">
        <v>1</v>
      </c>
      <c r="L233" t="s">
        <v>4170</v>
      </c>
      <c r="M233">
        <v>4</v>
      </c>
      <c r="N233">
        <v>4</v>
      </c>
      <c r="O233">
        <v>19389843.489999998</v>
      </c>
      <c r="P233" t="s">
        <v>4109</v>
      </c>
    </row>
    <row r="234" spans="1:16" x14ac:dyDescent="0.25">
      <c r="A234" t="s">
        <v>970</v>
      </c>
      <c r="B234" t="s">
        <v>969</v>
      </c>
      <c r="C234" t="s">
        <v>970</v>
      </c>
      <c r="D234" t="s">
        <v>971</v>
      </c>
      <c r="E234" t="s">
        <v>210</v>
      </c>
      <c r="F234" t="s">
        <v>44</v>
      </c>
      <c r="G234" t="s">
        <v>32</v>
      </c>
      <c r="H234">
        <v>3</v>
      </c>
      <c r="I234" t="b">
        <v>1</v>
      </c>
      <c r="J234" t="s">
        <v>4216</v>
      </c>
      <c r="K234">
        <v>2</v>
      </c>
      <c r="L234" t="s">
        <v>4170</v>
      </c>
      <c r="M234">
        <v>4</v>
      </c>
      <c r="N234">
        <v>4</v>
      </c>
      <c r="O234">
        <v>19109985.530000001</v>
      </c>
      <c r="P234" t="s">
        <v>4109</v>
      </c>
    </row>
    <row r="235" spans="1:16" x14ac:dyDescent="0.25">
      <c r="A235" t="s">
        <v>1536</v>
      </c>
      <c r="B235" t="s">
        <v>1535</v>
      </c>
      <c r="C235" t="s">
        <v>1536</v>
      </c>
      <c r="D235" t="s">
        <v>1537</v>
      </c>
      <c r="E235" t="s">
        <v>1533</v>
      </c>
      <c r="F235" t="s">
        <v>112</v>
      </c>
      <c r="G235" t="s">
        <v>32</v>
      </c>
      <c r="H235">
        <v>3</v>
      </c>
      <c r="I235" t="b">
        <v>1</v>
      </c>
      <c r="J235" t="s">
        <v>4217</v>
      </c>
      <c r="K235">
        <v>2</v>
      </c>
      <c r="L235" t="s">
        <v>4170</v>
      </c>
      <c r="M235">
        <v>4</v>
      </c>
      <c r="N235">
        <v>4</v>
      </c>
      <c r="O235">
        <v>18607459.420000002</v>
      </c>
      <c r="P235" t="s">
        <v>4109</v>
      </c>
    </row>
    <row r="236" spans="1:16" x14ac:dyDescent="0.25">
      <c r="A236" t="s">
        <v>1379</v>
      </c>
      <c r="B236" t="s">
        <v>1378</v>
      </c>
      <c r="C236" t="s">
        <v>1379</v>
      </c>
      <c r="D236" t="s">
        <v>1380</v>
      </c>
      <c r="E236" t="s">
        <v>356</v>
      </c>
      <c r="F236" t="s">
        <v>31</v>
      </c>
      <c r="G236" t="s">
        <v>32</v>
      </c>
      <c r="H236">
        <v>3</v>
      </c>
      <c r="I236" t="b">
        <v>1</v>
      </c>
      <c r="J236" t="s">
        <v>1378</v>
      </c>
      <c r="K236">
        <v>1</v>
      </c>
      <c r="L236" t="s">
        <v>4214</v>
      </c>
      <c r="M236">
        <v>3</v>
      </c>
      <c r="N236">
        <v>3</v>
      </c>
      <c r="O236">
        <v>18407007.620000001</v>
      </c>
      <c r="P236" t="s">
        <v>4109</v>
      </c>
    </row>
    <row r="237" spans="1:16" x14ac:dyDescent="0.25">
      <c r="A237" t="s">
        <v>407</v>
      </c>
      <c r="B237" t="s">
        <v>406</v>
      </c>
      <c r="C237" t="s">
        <v>407</v>
      </c>
      <c r="D237" t="s">
        <v>408</v>
      </c>
      <c r="E237" t="s">
        <v>404</v>
      </c>
      <c r="F237" t="s">
        <v>44</v>
      </c>
      <c r="G237" t="s">
        <v>32</v>
      </c>
      <c r="H237">
        <v>3</v>
      </c>
      <c r="I237" t="b">
        <v>1</v>
      </c>
      <c r="J237" t="s">
        <v>406</v>
      </c>
      <c r="K237">
        <v>1</v>
      </c>
      <c r="L237" t="s">
        <v>4218</v>
      </c>
      <c r="M237">
        <v>4</v>
      </c>
      <c r="N237">
        <v>4</v>
      </c>
      <c r="O237">
        <v>18034706.98</v>
      </c>
      <c r="P237" t="s">
        <v>4109</v>
      </c>
    </row>
    <row r="238" spans="1:16" x14ac:dyDescent="0.25">
      <c r="A238" t="s">
        <v>1043</v>
      </c>
      <c r="B238" t="s">
        <v>1042</v>
      </c>
      <c r="C238" t="s">
        <v>1043</v>
      </c>
      <c r="D238" t="s">
        <v>1044</v>
      </c>
      <c r="E238" t="s">
        <v>531</v>
      </c>
      <c r="F238" t="s">
        <v>81</v>
      </c>
      <c r="G238" t="s">
        <v>32</v>
      </c>
      <c r="H238">
        <v>3</v>
      </c>
      <c r="I238" t="b">
        <v>1</v>
      </c>
      <c r="J238" t="s">
        <v>1042</v>
      </c>
      <c r="K238">
        <v>1</v>
      </c>
      <c r="L238" t="s">
        <v>4170</v>
      </c>
      <c r="M238">
        <v>4</v>
      </c>
      <c r="N238">
        <v>4</v>
      </c>
      <c r="O238">
        <v>18017544.260000002</v>
      </c>
      <c r="P238" t="s">
        <v>4109</v>
      </c>
    </row>
    <row r="239" spans="1:16" x14ac:dyDescent="0.25">
      <c r="A239" t="s">
        <v>1192</v>
      </c>
      <c r="B239" t="s">
        <v>1191</v>
      </c>
      <c r="C239" t="s">
        <v>1192</v>
      </c>
      <c r="D239" t="s">
        <v>1193</v>
      </c>
      <c r="E239" t="s">
        <v>1194</v>
      </c>
      <c r="F239" t="s">
        <v>61</v>
      </c>
      <c r="G239" t="s">
        <v>32</v>
      </c>
      <c r="H239">
        <v>3</v>
      </c>
      <c r="I239" t="b">
        <v>1</v>
      </c>
      <c r="J239" t="s">
        <v>4219</v>
      </c>
      <c r="K239">
        <v>2</v>
      </c>
      <c r="L239" t="s">
        <v>4170</v>
      </c>
      <c r="M239">
        <v>4</v>
      </c>
      <c r="N239">
        <v>4</v>
      </c>
      <c r="O239">
        <v>17650797.510000002</v>
      </c>
      <c r="P239" t="s">
        <v>4109</v>
      </c>
    </row>
    <row r="240" spans="1:16" x14ac:dyDescent="0.25">
      <c r="A240" t="s">
        <v>172</v>
      </c>
      <c r="B240" t="s">
        <v>171</v>
      </c>
      <c r="C240" t="s">
        <v>172</v>
      </c>
      <c r="D240" t="s">
        <v>173</v>
      </c>
      <c r="E240" t="s">
        <v>174</v>
      </c>
      <c r="F240" t="s">
        <v>81</v>
      </c>
      <c r="G240" t="s">
        <v>151</v>
      </c>
      <c r="H240">
        <v>3</v>
      </c>
      <c r="I240" t="b">
        <v>1</v>
      </c>
      <c r="J240" t="s">
        <v>171</v>
      </c>
      <c r="K240">
        <v>1</v>
      </c>
      <c r="L240" t="s">
        <v>124</v>
      </c>
      <c r="M240">
        <v>1</v>
      </c>
      <c r="N240">
        <v>1</v>
      </c>
      <c r="O240">
        <v>17385930.489999998</v>
      </c>
      <c r="P240" t="s">
        <v>4109</v>
      </c>
    </row>
    <row r="241" spans="1:16" x14ac:dyDescent="0.25">
      <c r="A241" t="s">
        <v>1376</v>
      </c>
      <c r="B241" t="s">
        <v>1375</v>
      </c>
      <c r="C241" t="s">
        <v>1376</v>
      </c>
      <c r="D241" t="s">
        <v>1377</v>
      </c>
      <c r="E241" t="s">
        <v>356</v>
      </c>
      <c r="F241" t="s">
        <v>31</v>
      </c>
      <c r="G241" t="s">
        <v>32</v>
      </c>
      <c r="H241">
        <v>3</v>
      </c>
      <c r="I241" t="b">
        <v>1</v>
      </c>
      <c r="J241" t="s">
        <v>1375</v>
      </c>
      <c r="K241">
        <v>1</v>
      </c>
      <c r="L241" t="s">
        <v>4214</v>
      </c>
      <c r="M241">
        <v>3</v>
      </c>
      <c r="N241">
        <v>3</v>
      </c>
      <c r="O241">
        <v>17133357.07</v>
      </c>
      <c r="P241" t="s">
        <v>4109</v>
      </c>
    </row>
    <row r="242" spans="1:16" x14ac:dyDescent="0.25">
      <c r="A242" t="s">
        <v>769</v>
      </c>
      <c r="B242" t="s">
        <v>768</v>
      </c>
      <c r="C242" t="s">
        <v>769</v>
      </c>
      <c r="D242" t="s">
        <v>770</v>
      </c>
      <c r="E242" t="s">
        <v>761</v>
      </c>
      <c r="F242" t="s">
        <v>112</v>
      </c>
      <c r="G242" t="s">
        <v>32</v>
      </c>
      <c r="H242">
        <v>3</v>
      </c>
      <c r="I242" t="b">
        <v>1</v>
      </c>
      <c r="J242" t="s">
        <v>768</v>
      </c>
      <c r="K242">
        <v>1</v>
      </c>
      <c r="L242" t="s">
        <v>4173</v>
      </c>
      <c r="M242">
        <v>2</v>
      </c>
      <c r="N242">
        <v>2</v>
      </c>
      <c r="O242">
        <v>17111066.629999999</v>
      </c>
      <c r="P242" t="s">
        <v>4109</v>
      </c>
    </row>
    <row r="243" spans="1:16" x14ac:dyDescent="0.25">
      <c r="A243" t="s">
        <v>748</v>
      </c>
      <c r="B243" t="s">
        <v>747</v>
      </c>
      <c r="C243" t="s">
        <v>748</v>
      </c>
      <c r="D243" t="s">
        <v>749</v>
      </c>
      <c r="E243" t="s">
        <v>750</v>
      </c>
      <c r="F243" t="s">
        <v>31</v>
      </c>
      <c r="G243" t="s">
        <v>32</v>
      </c>
      <c r="H243">
        <v>3</v>
      </c>
      <c r="I243" t="b">
        <v>1</v>
      </c>
      <c r="J243" t="s">
        <v>747</v>
      </c>
      <c r="K243">
        <v>1</v>
      </c>
      <c r="L243" t="s">
        <v>4170</v>
      </c>
      <c r="M243">
        <v>4</v>
      </c>
      <c r="N243">
        <v>4</v>
      </c>
      <c r="O243">
        <v>17104492.620000001</v>
      </c>
      <c r="P243" t="s">
        <v>4109</v>
      </c>
    </row>
    <row r="244" spans="1:16" x14ac:dyDescent="0.25">
      <c r="A244" t="s">
        <v>1289</v>
      </c>
      <c r="B244" t="s">
        <v>1288</v>
      </c>
      <c r="C244" t="s">
        <v>1289</v>
      </c>
      <c r="D244" t="s">
        <v>1290</v>
      </c>
      <c r="E244" t="s">
        <v>1291</v>
      </c>
      <c r="F244" t="s">
        <v>31</v>
      </c>
      <c r="G244" t="s">
        <v>32</v>
      </c>
      <c r="H244">
        <v>3</v>
      </c>
      <c r="I244" t="b">
        <v>1</v>
      </c>
      <c r="J244" t="s">
        <v>4220</v>
      </c>
      <c r="K244">
        <v>2</v>
      </c>
      <c r="L244" t="s">
        <v>4170</v>
      </c>
      <c r="M244">
        <v>4</v>
      </c>
      <c r="N244">
        <v>4</v>
      </c>
      <c r="O244">
        <v>16587108.90000001</v>
      </c>
      <c r="P244" t="s">
        <v>4109</v>
      </c>
    </row>
    <row r="245" spans="1:16" x14ac:dyDescent="0.25">
      <c r="A245" t="s">
        <v>954</v>
      </c>
      <c r="B245" t="s">
        <v>953</v>
      </c>
      <c r="C245" t="s">
        <v>954</v>
      </c>
      <c r="D245" t="s">
        <v>955</v>
      </c>
      <c r="E245" t="s">
        <v>478</v>
      </c>
      <c r="F245" t="s">
        <v>31</v>
      </c>
      <c r="G245" t="s">
        <v>32</v>
      </c>
      <c r="H245">
        <v>3</v>
      </c>
      <c r="I245" t="b">
        <v>1</v>
      </c>
      <c r="J245" t="s">
        <v>953</v>
      </c>
      <c r="K245">
        <v>1</v>
      </c>
      <c r="L245" t="s">
        <v>4170</v>
      </c>
      <c r="M245">
        <v>4</v>
      </c>
      <c r="N245">
        <v>4</v>
      </c>
      <c r="O245">
        <v>16574381.249999991</v>
      </c>
      <c r="P245" t="s">
        <v>4109</v>
      </c>
    </row>
    <row r="246" spans="1:16" x14ac:dyDescent="0.25">
      <c r="A246" t="s">
        <v>866</v>
      </c>
      <c r="B246" t="s">
        <v>865</v>
      </c>
      <c r="C246" t="s">
        <v>866</v>
      </c>
      <c r="D246" t="s">
        <v>867</v>
      </c>
      <c r="E246" t="s">
        <v>868</v>
      </c>
      <c r="F246" t="s">
        <v>44</v>
      </c>
      <c r="G246" t="s">
        <v>32</v>
      </c>
      <c r="H246">
        <v>3</v>
      </c>
      <c r="I246" t="b">
        <v>1</v>
      </c>
      <c r="J246" t="s">
        <v>865</v>
      </c>
      <c r="K246">
        <v>1</v>
      </c>
      <c r="L246" t="s">
        <v>4214</v>
      </c>
      <c r="M246">
        <v>3</v>
      </c>
      <c r="N246">
        <v>3</v>
      </c>
      <c r="O246">
        <v>16186831.76</v>
      </c>
      <c r="P246" t="s">
        <v>4109</v>
      </c>
    </row>
    <row r="247" spans="1:16" x14ac:dyDescent="0.25">
      <c r="A247" t="s">
        <v>994</v>
      </c>
      <c r="B247" t="s">
        <v>993</v>
      </c>
      <c r="C247" t="s">
        <v>994</v>
      </c>
      <c r="D247" t="s">
        <v>995</v>
      </c>
      <c r="E247" t="s">
        <v>218</v>
      </c>
      <c r="F247" t="s">
        <v>50</v>
      </c>
      <c r="G247" t="s">
        <v>32</v>
      </c>
      <c r="H247">
        <v>3</v>
      </c>
      <c r="I247" t="b">
        <v>1</v>
      </c>
      <c r="J247" t="s">
        <v>4221</v>
      </c>
      <c r="K247">
        <v>2</v>
      </c>
      <c r="L247" t="s">
        <v>4170</v>
      </c>
      <c r="M247">
        <v>4</v>
      </c>
      <c r="N247">
        <v>4</v>
      </c>
      <c r="O247">
        <v>15749996.98</v>
      </c>
      <c r="P247" t="s">
        <v>4109</v>
      </c>
    </row>
    <row r="248" spans="1:16" x14ac:dyDescent="0.25">
      <c r="A248" t="s">
        <v>1523</v>
      </c>
      <c r="B248" t="s">
        <v>1522</v>
      </c>
      <c r="C248" t="s">
        <v>1523</v>
      </c>
      <c r="D248" t="s">
        <v>1524</v>
      </c>
      <c r="E248" t="s">
        <v>1519</v>
      </c>
      <c r="F248" t="s">
        <v>112</v>
      </c>
      <c r="G248" t="s">
        <v>32</v>
      </c>
      <c r="H248">
        <v>3</v>
      </c>
      <c r="I248" t="b">
        <v>1</v>
      </c>
      <c r="J248" t="s">
        <v>1522</v>
      </c>
      <c r="K248">
        <v>1</v>
      </c>
      <c r="L248" t="s">
        <v>4205</v>
      </c>
      <c r="M248">
        <v>3</v>
      </c>
      <c r="N248">
        <v>3</v>
      </c>
      <c r="O248">
        <v>15734111.529999999</v>
      </c>
      <c r="P248" t="s">
        <v>4109</v>
      </c>
    </row>
    <row r="249" spans="1:16" x14ac:dyDescent="0.25">
      <c r="A249" t="s">
        <v>1361</v>
      </c>
      <c r="B249" t="s">
        <v>1360</v>
      </c>
      <c r="C249" t="s">
        <v>1361</v>
      </c>
      <c r="D249" t="s">
        <v>1362</v>
      </c>
      <c r="E249" t="s">
        <v>356</v>
      </c>
      <c r="F249" t="s">
        <v>31</v>
      </c>
      <c r="G249" t="s">
        <v>32</v>
      </c>
      <c r="H249">
        <v>3</v>
      </c>
      <c r="I249" t="b">
        <v>1</v>
      </c>
      <c r="J249" t="s">
        <v>1360</v>
      </c>
      <c r="K249">
        <v>1</v>
      </c>
      <c r="L249" t="s">
        <v>4205</v>
      </c>
      <c r="M249">
        <v>3</v>
      </c>
      <c r="N249">
        <v>3</v>
      </c>
      <c r="O249">
        <v>15543026.51</v>
      </c>
      <c r="P249" t="s">
        <v>4109</v>
      </c>
    </row>
    <row r="250" spans="1:16" x14ac:dyDescent="0.25">
      <c r="A250" t="s">
        <v>354</v>
      </c>
      <c r="B250" t="s">
        <v>353</v>
      </c>
      <c r="C250" t="s">
        <v>354</v>
      </c>
      <c r="D250" t="s">
        <v>355</v>
      </c>
      <c r="E250" t="s">
        <v>356</v>
      </c>
      <c r="F250" t="s">
        <v>31</v>
      </c>
      <c r="G250" t="s">
        <v>357</v>
      </c>
      <c r="H250">
        <v>3</v>
      </c>
      <c r="I250" t="b">
        <v>1</v>
      </c>
      <c r="J250" t="s">
        <v>353</v>
      </c>
      <c r="K250">
        <v>1</v>
      </c>
      <c r="L250" t="s">
        <v>124</v>
      </c>
      <c r="M250">
        <v>1</v>
      </c>
      <c r="N250">
        <v>1</v>
      </c>
      <c r="O250">
        <v>15488071.74</v>
      </c>
      <c r="P250" t="s">
        <v>4109</v>
      </c>
    </row>
    <row r="251" spans="1:16" x14ac:dyDescent="0.25">
      <c r="A251" t="s">
        <v>782</v>
      </c>
      <c r="B251" t="s">
        <v>781</v>
      </c>
      <c r="C251" t="s">
        <v>782</v>
      </c>
      <c r="D251" t="s">
        <v>783</v>
      </c>
      <c r="E251" t="s">
        <v>111</v>
      </c>
      <c r="F251" t="s">
        <v>112</v>
      </c>
      <c r="G251" t="s">
        <v>32</v>
      </c>
      <c r="H251">
        <v>3</v>
      </c>
      <c r="I251" t="b">
        <v>1</v>
      </c>
      <c r="J251" t="s">
        <v>781</v>
      </c>
      <c r="K251">
        <v>1</v>
      </c>
      <c r="L251" t="s">
        <v>124</v>
      </c>
      <c r="M251">
        <v>1</v>
      </c>
      <c r="N251">
        <v>1</v>
      </c>
      <c r="O251">
        <v>15437700</v>
      </c>
      <c r="P251" t="s">
        <v>4109</v>
      </c>
    </row>
    <row r="252" spans="1:16" x14ac:dyDescent="0.25">
      <c r="A252" t="s">
        <v>212</v>
      </c>
      <c r="B252" t="s">
        <v>211</v>
      </c>
      <c r="C252" t="s">
        <v>212</v>
      </c>
      <c r="D252" t="s">
        <v>213</v>
      </c>
      <c r="E252" t="s">
        <v>214</v>
      </c>
      <c r="F252" t="s">
        <v>44</v>
      </c>
      <c r="G252" t="s">
        <v>180</v>
      </c>
      <c r="H252">
        <v>3</v>
      </c>
      <c r="I252" t="b">
        <v>1</v>
      </c>
      <c r="J252" t="s">
        <v>211</v>
      </c>
      <c r="K252">
        <v>1</v>
      </c>
      <c r="L252" t="s">
        <v>124</v>
      </c>
      <c r="M252">
        <v>1</v>
      </c>
      <c r="N252">
        <v>1</v>
      </c>
      <c r="O252">
        <v>15274887.039999999</v>
      </c>
      <c r="P252" t="s">
        <v>4109</v>
      </c>
    </row>
    <row r="253" spans="1:16" x14ac:dyDescent="0.25">
      <c r="A253" t="s">
        <v>1709</v>
      </c>
      <c r="B253" t="s">
        <v>1708</v>
      </c>
      <c r="C253" t="s">
        <v>1709</v>
      </c>
      <c r="D253" t="s">
        <v>1710</v>
      </c>
      <c r="E253" t="s">
        <v>605</v>
      </c>
      <c r="F253" t="s">
        <v>112</v>
      </c>
      <c r="G253" t="s">
        <v>32</v>
      </c>
      <c r="H253">
        <v>3</v>
      </c>
      <c r="I253" t="b">
        <v>1</v>
      </c>
      <c r="J253" t="s">
        <v>1708</v>
      </c>
      <c r="K253">
        <v>1</v>
      </c>
      <c r="L253" t="s">
        <v>4170</v>
      </c>
      <c r="M253">
        <v>4</v>
      </c>
      <c r="N253">
        <v>4</v>
      </c>
      <c r="O253">
        <v>15244731.23</v>
      </c>
      <c r="P253" t="s">
        <v>4109</v>
      </c>
    </row>
    <row r="254" spans="1:16" x14ac:dyDescent="0.25">
      <c r="A254" t="s">
        <v>1149</v>
      </c>
      <c r="B254" t="s">
        <v>1148</v>
      </c>
      <c r="C254" t="s">
        <v>1149</v>
      </c>
      <c r="D254" t="s">
        <v>1150</v>
      </c>
      <c r="E254" t="s">
        <v>1151</v>
      </c>
      <c r="F254" t="s">
        <v>112</v>
      </c>
      <c r="G254" t="s">
        <v>32</v>
      </c>
      <c r="H254">
        <v>3</v>
      </c>
      <c r="I254" t="b">
        <v>1</v>
      </c>
      <c r="J254" t="s">
        <v>4222</v>
      </c>
      <c r="K254">
        <v>2</v>
      </c>
      <c r="L254" t="s">
        <v>4170</v>
      </c>
      <c r="M254">
        <v>4</v>
      </c>
      <c r="N254">
        <v>4</v>
      </c>
      <c r="O254">
        <v>15158701.25</v>
      </c>
      <c r="P254" t="s">
        <v>4109</v>
      </c>
    </row>
    <row r="255" spans="1:16" x14ac:dyDescent="0.25">
      <c r="A255" t="s">
        <v>1013</v>
      </c>
      <c r="B255" t="s">
        <v>1012</v>
      </c>
      <c r="C255" t="s">
        <v>1013</v>
      </c>
      <c r="D255" t="s">
        <v>1014</v>
      </c>
      <c r="E255" t="s">
        <v>517</v>
      </c>
      <c r="F255" t="s">
        <v>31</v>
      </c>
      <c r="G255" t="s">
        <v>32</v>
      </c>
      <c r="H255">
        <v>3</v>
      </c>
      <c r="I255" t="b">
        <v>1</v>
      </c>
      <c r="J255" t="s">
        <v>1012</v>
      </c>
      <c r="K255">
        <v>1</v>
      </c>
      <c r="L255" t="s">
        <v>4214</v>
      </c>
      <c r="M255">
        <v>3</v>
      </c>
      <c r="N255">
        <v>3</v>
      </c>
      <c r="O255">
        <v>15102481.640000001</v>
      </c>
      <c r="P255" t="s">
        <v>4109</v>
      </c>
    </row>
    <row r="256" spans="1:16" x14ac:dyDescent="0.25">
      <c r="A256" t="s">
        <v>1255</v>
      </c>
      <c r="B256" t="s">
        <v>1254</v>
      </c>
      <c r="C256" t="s">
        <v>1255</v>
      </c>
      <c r="D256" t="s">
        <v>1256</v>
      </c>
      <c r="E256" t="s">
        <v>1257</v>
      </c>
      <c r="F256" t="s">
        <v>1030</v>
      </c>
      <c r="G256" t="s">
        <v>32</v>
      </c>
      <c r="H256">
        <v>3</v>
      </c>
      <c r="I256" t="b">
        <v>1</v>
      </c>
      <c r="J256" t="s">
        <v>4223</v>
      </c>
      <c r="K256">
        <v>2</v>
      </c>
      <c r="L256" t="s">
        <v>4170</v>
      </c>
      <c r="M256">
        <v>4</v>
      </c>
      <c r="N256">
        <v>4</v>
      </c>
      <c r="O256">
        <v>14929520</v>
      </c>
      <c r="P256" t="s">
        <v>4109</v>
      </c>
    </row>
    <row r="257" spans="1:16" x14ac:dyDescent="0.25">
      <c r="A257" t="s">
        <v>1084</v>
      </c>
      <c r="B257" t="s">
        <v>1083</v>
      </c>
      <c r="C257" t="s">
        <v>1084</v>
      </c>
      <c r="D257" t="s">
        <v>1085</v>
      </c>
      <c r="E257" t="s">
        <v>1086</v>
      </c>
      <c r="F257" t="s">
        <v>81</v>
      </c>
      <c r="G257" t="s">
        <v>32</v>
      </c>
      <c r="H257">
        <v>3</v>
      </c>
      <c r="I257" t="b">
        <v>1</v>
      </c>
      <c r="J257" t="s">
        <v>4224</v>
      </c>
      <c r="K257">
        <v>2</v>
      </c>
      <c r="L257" t="s">
        <v>4170</v>
      </c>
      <c r="M257">
        <v>4</v>
      </c>
      <c r="N257">
        <v>4</v>
      </c>
      <c r="O257">
        <v>14747774.279999999</v>
      </c>
      <c r="P257" t="s">
        <v>4109</v>
      </c>
    </row>
    <row r="258" spans="1:16" x14ac:dyDescent="0.25">
      <c r="A258" t="s">
        <v>1481</v>
      </c>
      <c r="B258" t="s">
        <v>1480</v>
      </c>
      <c r="C258" t="s">
        <v>1481</v>
      </c>
      <c r="D258" t="s">
        <v>1482</v>
      </c>
      <c r="E258" t="s">
        <v>1483</v>
      </c>
      <c r="F258" t="s">
        <v>31</v>
      </c>
      <c r="G258" t="s">
        <v>32</v>
      </c>
      <c r="H258">
        <v>3</v>
      </c>
      <c r="I258" t="b">
        <v>1</v>
      </c>
      <c r="J258" t="s">
        <v>4225</v>
      </c>
      <c r="K258">
        <v>2</v>
      </c>
      <c r="L258" t="s">
        <v>4170</v>
      </c>
      <c r="M258">
        <v>4</v>
      </c>
      <c r="N258">
        <v>4</v>
      </c>
      <c r="O258">
        <v>14722844.939999999</v>
      </c>
      <c r="P258" t="s">
        <v>4109</v>
      </c>
    </row>
    <row r="259" spans="1:16" x14ac:dyDescent="0.25">
      <c r="A259" t="s">
        <v>940</v>
      </c>
      <c r="B259" t="s">
        <v>939</v>
      </c>
      <c r="C259" t="s">
        <v>940</v>
      </c>
      <c r="D259" t="s">
        <v>941</v>
      </c>
      <c r="E259" t="s">
        <v>942</v>
      </c>
      <c r="F259" t="s">
        <v>31</v>
      </c>
      <c r="G259" t="s">
        <v>32</v>
      </c>
      <c r="H259">
        <v>3</v>
      </c>
      <c r="I259" t="b">
        <v>1</v>
      </c>
      <c r="J259" t="s">
        <v>939</v>
      </c>
      <c r="K259">
        <v>1</v>
      </c>
      <c r="L259" t="s">
        <v>4173</v>
      </c>
      <c r="M259">
        <v>2</v>
      </c>
      <c r="N259">
        <v>2</v>
      </c>
      <c r="O259">
        <v>14318236.550000001</v>
      </c>
      <c r="P259" t="s">
        <v>4109</v>
      </c>
    </row>
    <row r="260" spans="1:16" x14ac:dyDescent="0.25">
      <c r="A260" t="s">
        <v>153</v>
      </c>
      <c r="B260" t="s">
        <v>152</v>
      </c>
      <c r="C260" t="s">
        <v>153</v>
      </c>
      <c r="D260" t="s">
        <v>154</v>
      </c>
      <c r="E260" t="s">
        <v>155</v>
      </c>
      <c r="F260" t="s">
        <v>81</v>
      </c>
      <c r="G260" t="s">
        <v>151</v>
      </c>
      <c r="H260">
        <v>3</v>
      </c>
      <c r="I260" t="b">
        <v>1</v>
      </c>
      <c r="J260" t="s">
        <v>152</v>
      </c>
      <c r="K260">
        <v>1</v>
      </c>
      <c r="L260" t="s">
        <v>124</v>
      </c>
      <c r="M260">
        <v>1</v>
      </c>
      <c r="N260">
        <v>1</v>
      </c>
      <c r="O260">
        <v>14179467.630000001</v>
      </c>
      <c r="P260" t="s">
        <v>4109</v>
      </c>
    </row>
    <row r="261" spans="1:16" x14ac:dyDescent="0.25">
      <c r="A261" t="s">
        <v>1049</v>
      </c>
      <c r="B261" t="s">
        <v>1048</v>
      </c>
      <c r="C261" t="s">
        <v>1049</v>
      </c>
      <c r="D261" t="s">
        <v>1050</v>
      </c>
      <c r="E261" t="s">
        <v>531</v>
      </c>
      <c r="F261" t="s">
        <v>81</v>
      </c>
      <c r="G261" t="s">
        <v>32</v>
      </c>
      <c r="H261">
        <v>3</v>
      </c>
      <c r="I261" t="b">
        <v>1</v>
      </c>
      <c r="J261" t="s">
        <v>1048</v>
      </c>
      <c r="K261">
        <v>1</v>
      </c>
      <c r="L261" t="s">
        <v>4170</v>
      </c>
      <c r="M261">
        <v>4</v>
      </c>
      <c r="N261">
        <v>4</v>
      </c>
      <c r="O261">
        <v>14101781.199999999</v>
      </c>
      <c r="P261" t="s">
        <v>4109</v>
      </c>
    </row>
    <row r="262" spans="1:16" x14ac:dyDescent="0.25">
      <c r="A262" t="s">
        <v>1055</v>
      </c>
      <c r="B262" t="s">
        <v>1054</v>
      </c>
      <c r="C262" t="s">
        <v>1055</v>
      </c>
      <c r="D262" t="s">
        <v>1056</v>
      </c>
      <c r="E262" t="s">
        <v>1057</v>
      </c>
      <c r="F262" t="s">
        <v>895</v>
      </c>
      <c r="G262" t="s">
        <v>32</v>
      </c>
      <c r="H262">
        <v>3</v>
      </c>
      <c r="I262" t="b">
        <v>1</v>
      </c>
      <c r="J262" t="s">
        <v>4226</v>
      </c>
      <c r="K262">
        <v>2</v>
      </c>
      <c r="L262" t="s">
        <v>4170</v>
      </c>
      <c r="M262">
        <v>4</v>
      </c>
      <c r="N262">
        <v>4</v>
      </c>
      <c r="O262">
        <v>14100329.220000001</v>
      </c>
      <c r="P262" t="s">
        <v>4109</v>
      </c>
    </row>
    <row r="263" spans="1:16" x14ac:dyDescent="0.25">
      <c r="A263" t="s">
        <v>871</v>
      </c>
      <c r="B263" t="s">
        <v>870</v>
      </c>
      <c r="C263" t="s">
        <v>871</v>
      </c>
      <c r="D263" t="s">
        <v>872</v>
      </c>
      <c r="E263" t="s">
        <v>868</v>
      </c>
      <c r="F263" t="s">
        <v>44</v>
      </c>
      <c r="G263" t="s">
        <v>32</v>
      </c>
      <c r="H263">
        <v>3</v>
      </c>
      <c r="I263" t="b">
        <v>1</v>
      </c>
      <c r="J263" t="s">
        <v>870</v>
      </c>
      <c r="K263">
        <v>1</v>
      </c>
      <c r="L263" t="s">
        <v>4214</v>
      </c>
      <c r="M263">
        <v>3</v>
      </c>
      <c r="N263">
        <v>3</v>
      </c>
      <c r="O263">
        <v>14054289.800000001</v>
      </c>
      <c r="P263" t="s">
        <v>4109</v>
      </c>
    </row>
    <row r="264" spans="1:16" x14ac:dyDescent="0.25">
      <c r="A264" t="s">
        <v>850</v>
      </c>
      <c r="B264" t="s">
        <v>849</v>
      </c>
      <c r="C264" t="s">
        <v>850</v>
      </c>
      <c r="D264" t="s">
        <v>851</v>
      </c>
      <c r="E264" t="s">
        <v>852</v>
      </c>
      <c r="F264" t="s">
        <v>81</v>
      </c>
      <c r="G264" t="s">
        <v>32</v>
      </c>
      <c r="H264">
        <v>3</v>
      </c>
      <c r="I264" t="b">
        <v>1</v>
      </c>
      <c r="J264" t="s">
        <v>849</v>
      </c>
      <c r="K264">
        <v>1</v>
      </c>
      <c r="L264" t="s">
        <v>4205</v>
      </c>
      <c r="M264">
        <v>3</v>
      </c>
      <c r="N264">
        <v>3</v>
      </c>
      <c r="O264">
        <v>13876414.16</v>
      </c>
      <c r="P264" t="s">
        <v>4109</v>
      </c>
    </row>
    <row r="265" spans="1:16" x14ac:dyDescent="0.25">
      <c r="A265" t="s">
        <v>1326</v>
      </c>
      <c r="B265" t="s">
        <v>1325</v>
      </c>
      <c r="C265" t="s">
        <v>1326</v>
      </c>
      <c r="D265" t="s">
        <v>1327</v>
      </c>
      <c r="E265" t="s">
        <v>1328</v>
      </c>
      <c r="F265" t="s">
        <v>31</v>
      </c>
      <c r="G265" t="s">
        <v>32</v>
      </c>
      <c r="H265">
        <v>3</v>
      </c>
      <c r="I265" t="b">
        <v>1</v>
      </c>
      <c r="J265" t="s">
        <v>1325</v>
      </c>
      <c r="K265">
        <v>1</v>
      </c>
      <c r="L265" t="s">
        <v>4205</v>
      </c>
      <c r="M265">
        <v>3</v>
      </c>
      <c r="N265">
        <v>3</v>
      </c>
      <c r="O265">
        <v>13796795.73</v>
      </c>
      <c r="P265" t="s">
        <v>4109</v>
      </c>
    </row>
    <row r="266" spans="1:16" x14ac:dyDescent="0.25">
      <c r="A266" t="s">
        <v>195</v>
      </c>
      <c r="B266" t="s">
        <v>194</v>
      </c>
      <c r="C266" t="s">
        <v>195</v>
      </c>
      <c r="D266" t="s">
        <v>196</v>
      </c>
      <c r="E266" t="s">
        <v>193</v>
      </c>
      <c r="F266" t="s">
        <v>44</v>
      </c>
      <c r="G266" t="s">
        <v>180</v>
      </c>
      <c r="H266">
        <v>3</v>
      </c>
      <c r="I266" t="b">
        <v>1</v>
      </c>
      <c r="J266" t="s">
        <v>194</v>
      </c>
      <c r="K266">
        <v>1</v>
      </c>
      <c r="L266" t="s">
        <v>4227</v>
      </c>
      <c r="M266">
        <v>2</v>
      </c>
      <c r="N266">
        <v>2</v>
      </c>
      <c r="O266">
        <v>13674668.74</v>
      </c>
      <c r="P266" t="s">
        <v>4109</v>
      </c>
    </row>
    <row r="267" spans="1:16" x14ac:dyDescent="0.25">
      <c r="A267" t="s">
        <v>1272</v>
      </c>
      <c r="B267" t="s">
        <v>1271</v>
      </c>
      <c r="C267" t="s">
        <v>1272</v>
      </c>
      <c r="D267" t="s">
        <v>1273</v>
      </c>
      <c r="E267" t="s">
        <v>1274</v>
      </c>
      <c r="F267" t="s">
        <v>452</v>
      </c>
      <c r="G267" t="s">
        <v>32</v>
      </c>
      <c r="H267">
        <v>3</v>
      </c>
      <c r="I267" t="b">
        <v>1</v>
      </c>
      <c r="J267" t="s">
        <v>1271</v>
      </c>
      <c r="K267">
        <v>1</v>
      </c>
      <c r="L267" t="s">
        <v>4205</v>
      </c>
      <c r="M267">
        <v>3</v>
      </c>
      <c r="N267">
        <v>3</v>
      </c>
      <c r="O267">
        <v>13576756.66</v>
      </c>
      <c r="P267" t="s">
        <v>4109</v>
      </c>
    </row>
    <row r="268" spans="1:16" x14ac:dyDescent="0.25">
      <c r="A268" t="s">
        <v>287</v>
      </c>
      <c r="B268" t="s">
        <v>286</v>
      </c>
      <c r="C268" t="s">
        <v>287</v>
      </c>
      <c r="D268" t="s">
        <v>288</v>
      </c>
      <c r="E268" t="s">
        <v>289</v>
      </c>
      <c r="F268" t="s">
        <v>44</v>
      </c>
      <c r="G268" t="s">
        <v>180</v>
      </c>
      <c r="H268">
        <v>3</v>
      </c>
      <c r="I268" t="b">
        <v>1</v>
      </c>
      <c r="J268" t="s">
        <v>286</v>
      </c>
      <c r="K268">
        <v>1</v>
      </c>
      <c r="L268" t="s">
        <v>124</v>
      </c>
      <c r="M268">
        <v>1</v>
      </c>
      <c r="N268">
        <v>1</v>
      </c>
      <c r="O268">
        <v>13524377.140000001</v>
      </c>
      <c r="P268" t="s">
        <v>4109</v>
      </c>
    </row>
    <row r="269" spans="1:16" x14ac:dyDescent="0.25">
      <c r="A269" t="s">
        <v>697</v>
      </c>
      <c r="B269" t="s">
        <v>696</v>
      </c>
      <c r="C269" t="s">
        <v>697</v>
      </c>
      <c r="D269" t="s">
        <v>698</v>
      </c>
      <c r="E269" t="s">
        <v>686</v>
      </c>
      <c r="F269" t="s">
        <v>44</v>
      </c>
      <c r="G269" t="s">
        <v>180</v>
      </c>
      <c r="H269">
        <v>3</v>
      </c>
      <c r="I269" t="b">
        <v>1</v>
      </c>
      <c r="J269" t="s">
        <v>696</v>
      </c>
      <c r="K269">
        <v>1</v>
      </c>
      <c r="L269" t="s">
        <v>124</v>
      </c>
      <c r="M269">
        <v>1</v>
      </c>
      <c r="N269">
        <v>1</v>
      </c>
      <c r="O269">
        <v>13338424.59</v>
      </c>
      <c r="P269" t="s">
        <v>4109</v>
      </c>
    </row>
    <row r="270" spans="1:16" x14ac:dyDescent="0.25">
      <c r="A270" t="s">
        <v>633</v>
      </c>
      <c r="B270" t="s">
        <v>632</v>
      </c>
      <c r="C270" t="s">
        <v>633</v>
      </c>
      <c r="D270" t="s">
        <v>634</v>
      </c>
      <c r="E270" t="s">
        <v>111</v>
      </c>
      <c r="F270" t="s">
        <v>112</v>
      </c>
      <c r="G270" t="s">
        <v>490</v>
      </c>
      <c r="H270">
        <v>3</v>
      </c>
      <c r="I270" t="b">
        <v>1</v>
      </c>
      <c r="J270" t="s">
        <v>632</v>
      </c>
      <c r="K270">
        <v>1</v>
      </c>
      <c r="L270" t="s">
        <v>124</v>
      </c>
      <c r="M270">
        <v>1</v>
      </c>
      <c r="N270">
        <v>1</v>
      </c>
      <c r="O270">
        <v>13224396.310000001</v>
      </c>
      <c r="P270" t="s">
        <v>4109</v>
      </c>
    </row>
    <row r="271" spans="1:16" x14ac:dyDescent="0.25">
      <c r="A271" t="s">
        <v>191</v>
      </c>
      <c r="B271" t="s">
        <v>190</v>
      </c>
      <c r="C271" t="s">
        <v>191</v>
      </c>
      <c r="D271" t="s">
        <v>192</v>
      </c>
      <c r="E271" t="s">
        <v>193</v>
      </c>
      <c r="F271" t="s">
        <v>44</v>
      </c>
      <c r="G271" t="s">
        <v>180</v>
      </c>
      <c r="H271">
        <v>3</v>
      </c>
      <c r="I271" t="b">
        <v>1</v>
      </c>
      <c r="J271" t="s">
        <v>190</v>
      </c>
      <c r="K271">
        <v>1</v>
      </c>
      <c r="L271" t="s">
        <v>124</v>
      </c>
      <c r="M271">
        <v>1</v>
      </c>
      <c r="N271">
        <v>1</v>
      </c>
      <c r="O271">
        <v>13110346.84</v>
      </c>
      <c r="P271" t="s">
        <v>4109</v>
      </c>
    </row>
    <row r="272" spans="1:16" x14ac:dyDescent="0.25">
      <c r="A272" t="s">
        <v>1235</v>
      </c>
      <c r="B272" t="s">
        <v>1234</v>
      </c>
      <c r="C272" t="s">
        <v>1235</v>
      </c>
      <c r="D272" t="s">
        <v>1236</v>
      </c>
      <c r="E272" t="s">
        <v>1233</v>
      </c>
      <c r="F272" t="s">
        <v>31</v>
      </c>
      <c r="G272" t="s">
        <v>32</v>
      </c>
      <c r="H272">
        <v>3</v>
      </c>
      <c r="I272" t="b">
        <v>1</v>
      </c>
      <c r="J272" t="s">
        <v>1234</v>
      </c>
      <c r="K272">
        <v>1</v>
      </c>
      <c r="L272" t="s">
        <v>4170</v>
      </c>
      <c r="M272">
        <v>4</v>
      </c>
      <c r="N272">
        <v>4</v>
      </c>
      <c r="O272">
        <v>13035708.93</v>
      </c>
      <c r="P272" t="s">
        <v>4109</v>
      </c>
    </row>
    <row r="273" spans="1:16" x14ac:dyDescent="0.25">
      <c r="A273" t="s">
        <v>1025</v>
      </c>
      <c r="B273" t="s">
        <v>1024</v>
      </c>
      <c r="C273" t="s">
        <v>1025</v>
      </c>
      <c r="D273" t="s">
        <v>1026</v>
      </c>
      <c r="E273" t="s">
        <v>1027</v>
      </c>
      <c r="F273" t="s">
        <v>1030</v>
      </c>
      <c r="G273" t="s">
        <v>32</v>
      </c>
      <c r="H273">
        <v>3</v>
      </c>
      <c r="I273" t="b">
        <v>1</v>
      </c>
      <c r="J273" t="s">
        <v>4228</v>
      </c>
      <c r="K273">
        <v>2</v>
      </c>
      <c r="L273" t="s">
        <v>4170</v>
      </c>
      <c r="M273">
        <v>4</v>
      </c>
      <c r="N273">
        <v>4</v>
      </c>
      <c r="O273">
        <v>12916140.779999999</v>
      </c>
      <c r="P273" t="s">
        <v>4109</v>
      </c>
    </row>
    <row r="274" spans="1:16" x14ac:dyDescent="0.25">
      <c r="A274" t="s">
        <v>880</v>
      </c>
      <c r="B274" t="s">
        <v>879</v>
      </c>
      <c r="C274" t="s">
        <v>880</v>
      </c>
      <c r="D274" t="s">
        <v>881</v>
      </c>
      <c r="E274" t="s">
        <v>882</v>
      </c>
      <c r="F274" t="s">
        <v>31</v>
      </c>
      <c r="G274" t="s">
        <v>32</v>
      </c>
      <c r="H274">
        <v>3</v>
      </c>
      <c r="I274" t="b">
        <v>1</v>
      </c>
      <c r="J274" t="s">
        <v>879</v>
      </c>
      <c r="K274">
        <v>1</v>
      </c>
      <c r="L274" t="s">
        <v>4173</v>
      </c>
      <c r="M274">
        <v>2</v>
      </c>
      <c r="N274">
        <v>2</v>
      </c>
      <c r="O274">
        <v>12374629.76</v>
      </c>
      <c r="P274" t="s">
        <v>4109</v>
      </c>
    </row>
    <row r="275" spans="1:16" x14ac:dyDescent="0.25">
      <c r="A275" t="s">
        <v>1382</v>
      </c>
      <c r="B275" t="s">
        <v>1381</v>
      </c>
      <c r="C275" t="s">
        <v>1382</v>
      </c>
      <c r="D275" t="s">
        <v>1383</v>
      </c>
      <c r="E275" t="s">
        <v>356</v>
      </c>
      <c r="F275" t="s">
        <v>31</v>
      </c>
      <c r="G275" t="s">
        <v>32</v>
      </c>
      <c r="H275">
        <v>3</v>
      </c>
      <c r="I275" t="b">
        <v>1</v>
      </c>
      <c r="J275" t="s">
        <v>1381</v>
      </c>
      <c r="K275">
        <v>1</v>
      </c>
      <c r="L275" t="s">
        <v>4214</v>
      </c>
      <c r="M275">
        <v>3</v>
      </c>
      <c r="N275">
        <v>3</v>
      </c>
      <c r="O275">
        <v>12268913.91</v>
      </c>
      <c r="P275" t="s">
        <v>4109</v>
      </c>
    </row>
    <row r="276" spans="1:16" x14ac:dyDescent="0.25">
      <c r="A276" t="s">
        <v>275</v>
      </c>
      <c r="B276" t="s">
        <v>274</v>
      </c>
      <c r="C276" t="s">
        <v>275</v>
      </c>
      <c r="D276" t="s">
        <v>276</v>
      </c>
      <c r="E276" t="s">
        <v>277</v>
      </c>
      <c r="F276" t="s">
        <v>44</v>
      </c>
      <c r="G276" t="s">
        <v>180</v>
      </c>
      <c r="H276">
        <v>3</v>
      </c>
      <c r="I276" t="b">
        <v>1</v>
      </c>
      <c r="J276" t="s">
        <v>274</v>
      </c>
      <c r="K276">
        <v>1</v>
      </c>
      <c r="L276" t="s">
        <v>124</v>
      </c>
      <c r="M276">
        <v>1</v>
      </c>
      <c r="N276">
        <v>1</v>
      </c>
      <c r="O276">
        <v>12235339.460000001</v>
      </c>
      <c r="P276" t="s">
        <v>4109</v>
      </c>
    </row>
    <row r="277" spans="1:16" x14ac:dyDescent="0.25">
      <c r="A277" t="s">
        <v>539</v>
      </c>
      <c r="B277" t="s">
        <v>538</v>
      </c>
      <c r="C277" t="s">
        <v>539</v>
      </c>
      <c r="D277" t="s">
        <v>540</v>
      </c>
      <c r="E277" t="s">
        <v>541</v>
      </c>
      <c r="F277" t="s">
        <v>44</v>
      </c>
      <c r="G277" t="s">
        <v>32</v>
      </c>
      <c r="H277">
        <v>3</v>
      </c>
      <c r="I277" t="b">
        <v>1</v>
      </c>
      <c r="J277" t="s">
        <v>4229</v>
      </c>
      <c r="K277">
        <v>2</v>
      </c>
      <c r="L277" t="s">
        <v>4167</v>
      </c>
      <c r="M277">
        <v>5</v>
      </c>
      <c r="N277">
        <v>5</v>
      </c>
      <c r="O277">
        <v>12195802.66</v>
      </c>
      <c r="P277" t="s">
        <v>4109</v>
      </c>
    </row>
    <row r="278" spans="1:16" x14ac:dyDescent="0.25">
      <c r="A278" t="s">
        <v>1681</v>
      </c>
      <c r="B278" t="s">
        <v>1680</v>
      </c>
      <c r="C278" t="s">
        <v>1681</v>
      </c>
      <c r="D278" t="s">
        <v>1682</v>
      </c>
      <c r="E278" t="s">
        <v>1683</v>
      </c>
      <c r="F278" t="s">
        <v>31</v>
      </c>
      <c r="G278" t="s">
        <v>32</v>
      </c>
      <c r="H278">
        <v>3</v>
      </c>
      <c r="I278" t="b">
        <v>1</v>
      </c>
      <c r="J278" t="s">
        <v>1680</v>
      </c>
      <c r="K278">
        <v>1</v>
      </c>
      <c r="L278" t="s">
        <v>4170</v>
      </c>
      <c r="M278">
        <v>4</v>
      </c>
      <c r="N278">
        <v>4</v>
      </c>
      <c r="O278">
        <v>12101159.460000001</v>
      </c>
      <c r="P278" t="s">
        <v>4109</v>
      </c>
    </row>
    <row r="279" spans="1:16" x14ac:dyDescent="0.25">
      <c r="A279" t="s">
        <v>684</v>
      </c>
      <c r="B279" t="s">
        <v>683</v>
      </c>
      <c r="C279" t="s">
        <v>684</v>
      </c>
      <c r="D279" t="s">
        <v>685</v>
      </c>
      <c r="E279" t="s">
        <v>686</v>
      </c>
      <c r="F279" t="s">
        <v>44</v>
      </c>
      <c r="G279" t="s">
        <v>180</v>
      </c>
      <c r="H279">
        <v>3</v>
      </c>
      <c r="I279" t="b">
        <v>1</v>
      </c>
      <c r="J279" t="s">
        <v>683</v>
      </c>
      <c r="K279">
        <v>1</v>
      </c>
      <c r="L279" t="s">
        <v>124</v>
      </c>
      <c r="M279">
        <v>1</v>
      </c>
      <c r="N279">
        <v>1</v>
      </c>
      <c r="O279">
        <v>11948789.130000001</v>
      </c>
      <c r="P279" t="s">
        <v>4109</v>
      </c>
    </row>
    <row r="280" spans="1:16" x14ac:dyDescent="0.25">
      <c r="A280" t="s">
        <v>1364</v>
      </c>
      <c r="B280" t="s">
        <v>1363</v>
      </c>
      <c r="C280" t="s">
        <v>1364</v>
      </c>
      <c r="D280" t="s">
        <v>1365</v>
      </c>
      <c r="E280" t="s">
        <v>356</v>
      </c>
      <c r="F280" t="s">
        <v>31</v>
      </c>
      <c r="G280" t="s">
        <v>32</v>
      </c>
      <c r="H280">
        <v>3</v>
      </c>
      <c r="I280" t="b">
        <v>1</v>
      </c>
      <c r="J280" t="s">
        <v>1363</v>
      </c>
      <c r="K280">
        <v>1</v>
      </c>
      <c r="L280" t="s">
        <v>4170</v>
      </c>
      <c r="M280">
        <v>4</v>
      </c>
      <c r="N280">
        <v>4</v>
      </c>
      <c r="O280">
        <v>11861309.529999999</v>
      </c>
      <c r="P280" t="s">
        <v>4109</v>
      </c>
    </row>
    <row r="281" spans="1:16" x14ac:dyDescent="0.25">
      <c r="A281" t="s">
        <v>844</v>
      </c>
      <c r="B281" t="s">
        <v>843</v>
      </c>
      <c r="C281" t="s">
        <v>844</v>
      </c>
      <c r="D281" t="s">
        <v>845</v>
      </c>
      <c r="E281" t="s">
        <v>846</v>
      </c>
      <c r="F281" t="s">
        <v>848</v>
      </c>
      <c r="G281" t="s">
        <v>32</v>
      </c>
      <c r="H281">
        <v>3</v>
      </c>
      <c r="I281" t="b">
        <v>1</v>
      </c>
      <c r="J281" t="s">
        <v>843</v>
      </c>
      <c r="K281">
        <v>1</v>
      </c>
      <c r="L281" t="s">
        <v>4170</v>
      </c>
      <c r="M281">
        <v>4</v>
      </c>
      <c r="N281">
        <v>4</v>
      </c>
      <c r="O281">
        <v>11774575.539999999</v>
      </c>
      <c r="P281" t="s">
        <v>4109</v>
      </c>
    </row>
    <row r="282" spans="1:16" x14ac:dyDescent="0.25">
      <c r="A282" t="s">
        <v>1531</v>
      </c>
      <c r="B282" t="s">
        <v>1530</v>
      </c>
      <c r="C282" t="s">
        <v>1531</v>
      </c>
      <c r="D282" t="s">
        <v>1532</v>
      </c>
      <c r="E282" t="s">
        <v>1533</v>
      </c>
      <c r="F282" t="s">
        <v>112</v>
      </c>
      <c r="G282" t="s">
        <v>32</v>
      </c>
      <c r="H282">
        <v>3</v>
      </c>
      <c r="I282" t="b">
        <v>1</v>
      </c>
      <c r="J282" t="s">
        <v>1530</v>
      </c>
      <c r="K282">
        <v>1</v>
      </c>
      <c r="L282" t="s">
        <v>4205</v>
      </c>
      <c r="M282">
        <v>3</v>
      </c>
      <c r="N282">
        <v>3</v>
      </c>
      <c r="O282">
        <v>11573117.970000001</v>
      </c>
      <c r="P282" t="s">
        <v>4109</v>
      </c>
    </row>
    <row r="283" spans="1:16" x14ac:dyDescent="0.25">
      <c r="A283" t="s">
        <v>327</v>
      </c>
      <c r="B283" t="s">
        <v>326</v>
      </c>
      <c r="C283" t="s">
        <v>327</v>
      </c>
      <c r="D283" t="s">
        <v>328</v>
      </c>
      <c r="E283" t="s">
        <v>329</v>
      </c>
      <c r="F283" t="s">
        <v>61</v>
      </c>
      <c r="G283" t="s">
        <v>331</v>
      </c>
      <c r="H283">
        <v>3</v>
      </c>
      <c r="I283" t="b">
        <v>1</v>
      </c>
      <c r="J283" t="s">
        <v>326</v>
      </c>
      <c r="K283">
        <v>1</v>
      </c>
      <c r="L283" t="s">
        <v>124</v>
      </c>
      <c r="M283">
        <v>1</v>
      </c>
      <c r="N283">
        <v>1</v>
      </c>
      <c r="O283">
        <v>11015022.15</v>
      </c>
      <c r="P283" t="s">
        <v>4109</v>
      </c>
    </row>
    <row r="284" spans="1:16" x14ac:dyDescent="0.25">
      <c r="A284" t="s">
        <v>804</v>
      </c>
      <c r="B284" t="s">
        <v>803</v>
      </c>
      <c r="C284" t="s">
        <v>804</v>
      </c>
      <c r="D284" t="s">
        <v>805</v>
      </c>
      <c r="E284" t="s">
        <v>806</v>
      </c>
      <c r="F284" t="s">
        <v>681</v>
      </c>
      <c r="G284" t="s">
        <v>32</v>
      </c>
      <c r="H284">
        <v>3</v>
      </c>
      <c r="I284" t="b">
        <v>1</v>
      </c>
      <c r="J284" t="s">
        <v>803</v>
      </c>
      <c r="K284">
        <v>1</v>
      </c>
      <c r="L284" t="s">
        <v>4205</v>
      </c>
      <c r="M284">
        <v>3</v>
      </c>
      <c r="N284">
        <v>3</v>
      </c>
      <c r="O284">
        <v>10977848.1</v>
      </c>
      <c r="P284" t="s">
        <v>4109</v>
      </c>
    </row>
    <row r="285" spans="1:16" x14ac:dyDescent="0.25">
      <c r="A285" t="s">
        <v>587</v>
      </c>
      <c r="B285" t="s">
        <v>586</v>
      </c>
      <c r="C285" t="s">
        <v>587</v>
      </c>
      <c r="D285" t="s">
        <v>588</v>
      </c>
      <c r="E285" t="s">
        <v>589</v>
      </c>
      <c r="F285" t="s">
        <v>31</v>
      </c>
      <c r="G285" t="s">
        <v>32</v>
      </c>
      <c r="H285">
        <v>3</v>
      </c>
      <c r="I285" t="b">
        <v>1</v>
      </c>
      <c r="J285" t="s">
        <v>586</v>
      </c>
      <c r="K285">
        <v>1</v>
      </c>
      <c r="L285" t="s">
        <v>4218</v>
      </c>
      <c r="M285">
        <v>4</v>
      </c>
      <c r="N285">
        <v>4</v>
      </c>
      <c r="O285">
        <v>10809713.77</v>
      </c>
      <c r="P285" t="s">
        <v>4109</v>
      </c>
    </row>
    <row r="286" spans="1:16" x14ac:dyDescent="0.25">
      <c r="A286" t="s">
        <v>1671</v>
      </c>
      <c r="B286" t="s">
        <v>1670</v>
      </c>
      <c r="C286" t="s">
        <v>1671</v>
      </c>
      <c r="D286" t="s">
        <v>1672</v>
      </c>
      <c r="E286" t="s">
        <v>1673</v>
      </c>
      <c r="F286" t="s">
        <v>112</v>
      </c>
      <c r="G286" t="s">
        <v>32</v>
      </c>
      <c r="H286">
        <v>3</v>
      </c>
      <c r="I286" t="b">
        <v>1</v>
      </c>
      <c r="J286" t="s">
        <v>4230</v>
      </c>
      <c r="K286">
        <v>2</v>
      </c>
      <c r="L286" t="s">
        <v>4214</v>
      </c>
      <c r="M286">
        <v>3</v>
      </c>
      <c r="N286">
        <v>3</v>
      </c>
      <c r="O286">
        <v>10631060.42</v>
      </c>
      <c r="P286" t="s">
        <v>4109</v>
      </c>
    </row>
    <row r="287" spans="1:16" x14ac:dyDescent="0.25">
      <c r="A287" t="s">
        <v>147</v>
      </c>
      <c r="B287" t="s">
        <v>146</v>
      </c>
      <c r="C287" t="s">
        <v>147</v>
      </c>
      <c r="D287" t="s">
        <v>148</v>
      </c>
      <c r="E287" t="s">
        <v>149</v>
      </c>
      <c r="F287" t="s">
        <v>81</v>
      </c>
      <c r="G287" t="s">
        <v>151</v>
      </c>
      <c r="H287">
        <v>3</v>
      </c>
      <c r="I287" t="b">
        <v>1</v>
      </c>
      <c r="J287" t="s">
        <v>146</v>
      </c>
      <c r="K287">
        <v>1</v>
      </c>
      <c r="L287" t="s">
        <v>124</v>
      </c>
      <c r="M287">
        <v>1</v>
      </c>
      <c r="N287">
        <v>1</v>
      </c>
      <c r="O287">
        <v>10608028.140000001</v>
      </c>
      <c r="P287" t="s">
        <v>4109</v>
      </c>
    </row>
    <row r="288" spans="1:16" x14ac:dyDescent="0.25">
      <c r="A288" t="s">
        <v>333</v>
      </c>
      <c r="B288" t="s">
        <v>332</v>
      </c>
      <c r="C288" t="s">
        <v>333</v>
      </c>
      <c r="D288" t="s">
        <v>334</v>
      </c>
      <c r="E288" t="s">
        <v>335</v>
      </c>
      <c r="F288" t="s">
        <v>61</v>
      </c>
      <c r="G288" t="s">
        <v>331</v>
      </c>
      <c r="H288">
        <v>3</v>
      </c>
      <c r="I288" t="b">
        <v>1</v>
      </c>
      <c r="J288" t="s">
        <v>332</v>
      </c>
      <c r="K288">
        <v>1</v>
      </c>
      <c r="L288" t="s">
        <v>124</v>
      </c>
      <c r="M288">
        <v>1</v>
      </c>
      <c r="N288">
        <v>1</v>
      </c>
      <c r="O288">
        <v>10581097.58</v>
      </c>
      <c r="P288" t="s">
        <v>4109</v>
      </c>
    </row>
    <row r="289" spans="1:16" x14ac:dyDescent="0.25">
      <c r="A289" t="s">
        <v>1330</v>
      </c>
      <c r="B289" t="s">
        <v>1329</v>
      </c>
      <c r="C289" t="s">
        <v>1330</v>
      </c>
      <c r="D289" t="s">
        <v>1331</v>
      </c>
      <c r="E289" t="s">
        <v>1328</v>
      </c>
      <c r="F289" t="s">
        <v>31</v>
      </c>
      <c r="G289" t="s">
        <v>32</v>
      </c>
      <c r="H289">
        <v>3</v>
      </c>
      <c r="I289" t="b">
        <v>1</v>
      </c>
      <c r="J289" t="s">
        <v>1329</v>
      </c>
      <c r="K289">
        <v>1</v>
      </c>
      <c r="L289" t="s">
        <v>4214</v>
      </c>
      <c r="M289">
        <v>3</v>
      </c>
      <c r="N289">
        <v>3</v>
      </c>
      <c r="O289">
        <v>10503295.66</v>
      </c>
      <c r="P289" t="s">
        <v>4109</v>
      </c>
    </row>
    <row r="290" spans="1:16" x14ac:dyDescent="0.25">
      <c r="A290" t="s">
        <v>753</v>
      </c>
      <c r="B290" t="s">
        <v>752</v>
      </c>
      <c r="C290" t="s">
        <v>753</v>
      </c>
      <c r="D290" t="s">
        <v>754</v>
      </c>
      <c r="E290" t="s">
        <v>755</v>
      </c>
      <c r="F290" t="s">
        <v>681</v>
      </c>
      <c r="G290" t="s">
        <v>32</v>
      </c>
      <c r="H290">
        <v>3</v>
      </c>
      <c r="I290" t="b">
        <v>1</v>
      </c>
      <c r="J290" t="s">
        <v>4231</v>
      </c>
      <c r="K290">
        <v>2</v>
      </c>
      <c r="L290" t="s">
        <v>4170</v>
      </c>
      <c r="M290">
        <v>4</v>
      </c>
      <c r="N290">
        <v>4</v>
      </c>
      <c r="O290">
        <v>10325395.720000001</v>
      </c>
      <c r="P290" t="s">
        <v>4109</v>
      </c>
    </row>
    <row r="291" spans="1:16" x14ac:dyDescent="0.25">
      <c r="A291" t="s">
        <v>1659</v>
      </c>
      <c r="B291" t="s">
        <v>1658</v>
      </c>
      <c r="C291" t="s">
        <v>1659</v>
      </c>
      <c r="D291" t="s">
        <v>1660</v>
      </c>
      <c r="E291" t="s">
        <v>1661</v>
      </c>
      <c r="F291" t="s">
        <v>31</v>
      </c>
      <c r="G291" t="s">
        <v>32</v>
      </c>
      <c r="H291">
        <v>3</v>
      </c>
      <c r="I291" t="b">
        <v>1</v>
      </c>
      <c r="J291" t="s">
        <v>4232</v>
      </c>
      <c r="K291">
        <v>2</v>
      </c>
      <c r="L291" t="s">
        <v>4170</v>
      </c>
      <c r="M291">
        <v>4</v>
      </c>
      <c r="N291">
        <v>4</v>
      </c>
      <c r="O291">
        <v>10296139.23</v>
      </c>
      <c r="P291" t="s">
        <v>4109</v>
      </c>
    </row>
    <row r="292" spans="1:16" x14ac:dyDescent="0.25">
      <c r="A292" t="s">
        <v>411</v>
      </c>
      <c r="B292" t="s">
        <v>410</v>
      </c>
      <c r="C292" t="s">
        <v>411</v>
      </c>
      <c r="D292" t="s">
        <v>412</v>
      </c>
      <c r="E292" t="s">
        <v>404</v>
      </c>
      <c r="F292" t="s">
        <v>44</v>
      </c>
      <c r="G292" t="s">
        <v>32</v>
      </c>
      <c r="H292">
        <v>3</v>
      </c>
      <c r="I292" t="b">
        <v>1</v>
      </c>
      <c r="J292" t="s">
        <v>410</v>
      </c>
      <c r="K292">
        <v>1</v>
      </c>
      <c r="L292" t="s">
        <v>4233</v>
      </c>
      <c r="M292">
        <v>3</v>
      </c>
      <c r="N292">
        <v>3</v>
      </c>
      <c r="O292">
        <v>10226716.359999999</v>
      </c>
      <c r="P292" t="s">
        <v>4109</v>
      </c>
    </row>
    <row r="293" spans="1:16" x14ac:dyDescent="0.25">
      <c r="A293" t="s">
        <v>1918</v>
      </c>
      <c r="B293" t="s">
        <v>1917</v>
      </c>
      <c r="C293" t="s">
        <v>1918</v>
      </c>
      <c r="D293" t="s">
        <v>1919</v>
      </c>
      <c r="E293" t="s">
        <v>1920</v>
      </c>
      <c r="F293" t="s">
        <v>452</v>
      </c>
      <c r="G293" t="s">
        <v>32</v>
      </c>
      <c r="H293">
        <v>3</v>
      </c>
      <c r="I293" t="b">
        <v>1</v>
      </c>
      <c r="J293" t="s">
        <v>1917</v>
      </c>
      <c r="K293">
        <v>1</v>
      </c>
      <c r="L293" t="s">
        <v>1545</v>
      </c>
      <c r="M293">
        <v>1</v>
      </c>
      <c r="N293">
        <v>1</v>
      </c>
      <c r="O293">
        <v>10175626.109999999</v>
      </c>
      <c r="P293" t="s">
        <v>4109</v>
      </c>
    </row>
    <row r="294" spans="1:16" x14ac:dyDescent="0.25">
      <c r="A294" t="s">
        <v>655</v>
      </c>
      <c r="B294" t="s">
        <v>654</v>
      </c>
      <c r="C294" t="s">
        <v>655</v>
      </c>
      <c r="D294" t="s">
        <v>656</v>
      </c>
      <c r="E294" t="s">
        <v>657</v>
      </c>
      <c r="F294" t="s">
        <v>81</v>
      </c>
      <c r="G294" t="s">
        <v>129</v>
      </c>
      <c r="H294">
        <v>3</v>
      </c>
      <c r="I294" t="b">
        <v>1</v>
      </c>
      <c r="J294" t="s">
        <v>654</v>
      </c>
      <c r="K294">
        <v>1</v>
      </c>
      <c r="L294" t="s">
        <v>124</v>
      </c>
      <c r="M294">
        <v>1</v>
      </c>
      <c r="N294">
        <v>1</v>
      </c>
      <c r="O294">
        <v>10069981.810000001</v>
      </c>
      <c r="P294" t="s">
        <v>4109</v>
      </c>
    </row>
    <row r="295" spans="1:16" x14ac:dyDescent="0.25">
      <c r="A295" t="s">
        <v>429</v>
      </c>
      <c r="B295" t="s">
        <v>428</v>
      </c>
      <c r="C295" t="s">
        <v>429</v>
      </c>
      <c r="D295" t="s">
        <v>430</v>
      </c>
      <c r="E295" t="s">
        <v>422</v>
      </c>
      <c r="F295" t="s">
        <v>44</v>
      </c>
      <c r="G295" t="s">
        <v>32</v>
      </c>
      <c r="H295">
        <v>3</v>
      </c>
      <c r="I295" t="b">
        <v>1</v>
      </c>
      <c r="J295" t="s">
        <v>4234</v>
      </c>
      <c r="K295">
        <v>2</v>
      </c>
      <c r="L295" t="s">
        <v>4167</v>
      </c>
      <c r="M295">
        <v>5</v>
      </c>
      <c r="N295">
        <v>5</v>
      </c>
      <c r="O295">
        <v>9917330.6099999994</v>
      </c>
      <c r="P295" t="s">
        <v>4109</v>
      </c>
    </row>
    <row r="296" spans="1:16" x14ac:dyDescent="0.25">
      <c r="A296" t="s">
        <v>958</v>
      </c>
      <c r="B296" t="s">
        <v>957</v>
      </c>
      <c r="C296" t="s">
        <v>958</v>
      </c>
      <c r="D296" t="s">
        <v>959</v>
      </c>
      <c r="E296" t="s">
        <v>960</v>
      </c>
      <c r="F296" t="s">
        <v>31</v>
      </c>
      <c r="G296" t="s">
        <v>32</v>
      </c>
      <c r="H296">
        <v>3</v>
      </c>
      <c r="I296" t="b">
        <v>1</v>
      </c>
      <c r="J296" t="s">
        <v>957</v>
      </c>
      <c r="K296">
        <v>1</v>
      </c>
      <c r="L296" t="s">
        <v>4173</v>
      </c>
      <c r="M296">
        <v>2</v>
      </c>
      <c r="N296">
        <v>2</v>
      </c>
      <c r="O296">
        <v>9810657.7299999986</v>
      </c>
      <c r="P296" t="s">
        <v>4109</v>
      </c>
    </row>
    <row r="297" spans="1:16" x14ac:dyDescent="0.25">
      <c r="A297" t="s">
        <v>1070</v>
      </c>
      <c r="B297" t="s">
        <v>1069</v>
      </c>
      <c r="C297" t="s">
        <v>1070</v>
      </c>
      <c r="D297" t="s">
        <v>1071</v>
      </c>
      <c r="E297" t="s">
        <v>1067</v>
      </c>
      <c r="F297" t="s">
        <v>31</v>
      </c>
      <c r="G297" t="s">
        <v>32</v>
      </c>
      <c r="H297">
        <v>3</v>
      </c>
      <c r="I297" t="b">
        <v>1</v>
      </c>
      <c r="J297" t="s">
        <v>1069</v>
      </c>
      <c r="K297">
        <v>1</v>
      </c>
      <c r="L297" t="s">
        <v>4205</v>
      </c>
      <c r="M297">
        <v>3</v>
      </c>
      <c r="N297">
        <v>3</v>
      </c>
      <c r="O297">
        <v>9685720.5899999999</v>
      </c>
      <c r="P297" t="s">
        <v>4109</v>
      </c>
    </row>
    <row r="298" spans="1:16" x14ac:dyDescent="0.25">
      <c r="A298" t="s">
        <v>1217</v>
      </c>
      <c r="B298" t="s">
        <v>1216</v>
      </c>
      <c r="C298" t="s">
        <v>1217</v>
      </c>
      <c r="D298" t="s">
        <v>1218</v>
      </c>
      <c r="E298" t="s">
        <v>1219</v>
      </c>
      <c r="F298" t="s">
        <v>31</v>
      </c>
      <c r="G298" t="s">
        <v>32</v>
      </c>
      <c r="H298">
        <v>3</v>
      </c>
      <c r="I298" t="b">
        <v>1</v>
      </c>
      <c r="J298" t="s">
        <v>4235</v>
      </c>
      <c r="K298">
        <v>2</v>
      </c>
      <c r="L298" t="s">
        <v>4173</v>
      </c>
      <c r="M298">
        <v>2</v>
      </c>
      <c r="N298">
        <v>3</v>
      </c>
      <c r="O298">
        <v>9662155.9499999993</v>
      </c>
      <c r="P298" t="s">
        <v>4109</v>
      </c>
    </row>
    <row r="299" spans="1:16" x14ac:dyDescent="0.25">
      <c r="A299" t="s">
        <v>1487</v>
      </c>
      <c r="B299" t="s">
        <v>1486</v>
      </c>
      <c r="C299" t="s">
        <v>1487</v>
      </c>
      <c r="D299" t="s">
        <v>1488</v>
      </c>
      <c r="E299" t="s">
        <v>1483</v>
      </c>
      <c r="F299" t="s">
        <v>31</v>
      </c>
      <c r="G299" t="s">
        <v>32</v>
      </c>
      <c r="H299">
        <v>3</v>
      </c>
      <c r="I299" t="b">
        <v>1</v>
      </c>
      <c r="J299" t="s">
        <v>4236</v>
      </c>
      <c r="K299">
        <v>2</v>
      </c>
      <c r="L299" t="s">
        <v>4170</v>
      </c>
      <c r="M299">
        <v>4</v>
      </c>
      <c r="N299">
        <v>4</v>
      </c>
      <c r="O299">
        <v>9481830.8900000006</v>
      </c>
      <c r="P299" t="s">
        <v>4109</v>
      </c>
    </row>
    <row r="300" spans="1:16" x14ac:dyDescent="0.25">
      <c r="A300" t="s">
        <v>420</v>
      </c>
      <c r="B300" t="s">
        <v>419</v>
      </c>
      <c r="C300" t="s">
        <v>420</v>
      </c>
      <c r="D300" t="s">
        <v>421</v>
      </c>
      <c r="E300" t="s">
        <v>422</v>
      </c>
      <c r="F300" t="s">
        <v>44</v>
      </c>
      <c r="G300" t="s">
        <v>32</v>
      </c>
      <c r="H300">
        <v>3</v>
      </c>
      <c r="I300" t="b">
        <v>1</v>
      </c>
      <c r="J300" t="s">
        <v>419</v>
      </c>
      <c r="K300">
        <v>1</v>
      </c>
      <c r="L300" t="s">
        <v>4237</v>
      </c>
      <c r="M300">
        <v>2</v>
      </c>
      <c r="N300">
        <v>2</v>
      </c>
      <c r="O300">
        <v>9126982.1100000013</v>
      </c>
      <c r="P300" t="s">
        <v>4109</v>
      </c>
    </row>
    <row r="301" spans="1:16" x14ac:dyDescent="0.25">
      <c r="A301" t="s">
        <v>2196</v>
      </c>
      <c r="B301" t="s">
        <v>2195</v>
      </c>
      <c r="C301" t="s">
        <v>2196</v>
      </c>
      <c r="D301" t="s">
        <v>2197</v>
      </c>
      <c r="E301" t="s">
        <v>638</v>
      </c>
      <c r="F301" t="s">
        <v>31</v>
      </c>
      <c r="G301" t="s">
        <v>32</v>
      </c>
      <c r="H301">
        <v>3</v>
      </c>
      <c r="I301" t="b">
        <v>1</v>
      </c>
      <c r="J301" t="s">
        <v>2195</v>
      </c>
      <c r="K301">
        <v>1</v>
      </c>
      <c r="L301" t="s">
        <v>4238</v>
      </c>
      <c r="M301">
        <v>2</v>
      </c>
      <c r="N301">
        <v>2</v>
      </c>
      <c r="O301">
        <v>8833695.3100000005</v>
      </c>
      <c r="P301" t="s">
        <v>4109</v>
      </c>
    </row>
    <row r="302" spans="1:16" x14ac:dyDescent="0.25">
      <c r="A302" t="s">
        <v>824</v>
      </c>
      <c r="B302" t="s">
        <v>823</v>
      </c>
      <c r="C302" t="s">
        <v>824</v>
      </c>
      <c r="D302" t="s">
        <v>825</v>
      </c>
      <c r="E302" t="s">
        <v>826</v>
      </c>
      <c r="F302" t="s">
        <v>81</v>
      </c>
      <c r="G302" t="s">
        <v>32</v>
      </c>
      <c r="H302">
        <v>3</v>
      </c>
      <c r="I302" t="b">
        <v>1</v>
      </c>
      <c r="J302" t="s">
        <v>823</v>
      </c>
      <c r="K302">
        <v>1</v>
      </c>
      <c r="L302" t="s">
        <v>4173</v>
      </c>
      <c r="M302">
        <v>2</v>
      </c>
      <c r="N302">
        <v>2</v>
      </c>
      <c r="O302">
        <v>8714887.8000000007</v>
      </c>
      <c r="P302" t="s">
        <v>4109</v>
      </c>
    </row>
    <row r="303" spans="1:16" x14ac:dyDescent="0.25">
      <c r="A303" t="s">
        <v>694</v>
      </c>
      <c r="B303" t="s">
        <v>693</v>
      </c>
      <c r="C303" t="s">
        <v>694</v>
      </c>
      <c r="D303" t="s">
        <v>695</v>
      </c>
      <c r="E303" t="s">
        <v>686</v>
      </c>
      <c r="F303" t="s">
        <v>44</v>
      </c>
      <c r="G303" t="s">
        <v>180</v>
      </c>
      <c r="H303">
        <v>3</v>
      </c>
      <c r="I303" t="b">
        <v>1</v>
      </c>
      <c r="J303" t="s">
        <v>693</v>
      </c>
      <c r="K303">
        <v>1</v>
      </c>
      <c r="L303" t="s">
        <v>124</v>
      </c>
      <c r="M303">
        <v>1</v>
      </c>
      <c r="N303">
        <v>1</v>
      </c>
      <c r="O303">
        <v>8530393.3600000013</v>
      </c>
      <c r="P303" t="s">
        <v>4109</v>
      </c>
    </row>
    <row r="304" spans="1:16" x14ac:dyDescent="0.25">
      <c r="A304" t="s">
        <v>840</v>
      </c>
      <c r="B304" t="s">
        <v>839</v>
      </c>
      <c r="C304" t="s">
        <v>840</v>
      </c>
      <c r="D304" t="s">
        <v>841</v>
      </c>
      <c r="E304" t="s">
        <v>378</v>
      </c>
      <c r="F304" t="s">
        <v>61</v>
      </c>
      <c r="G304" t="s">
        <v>32</v>
      </c>
      <c r="H304">
        <v>3</v>
      </c>
      <c r="I304" t="b">
        <v>1</v>
      </c>
      <c r="J304" t="s">
        <v>839</v>
      </c>
      <c r="K304">
        <v>1</v>
      </c>
      <c r="L304" t="s">
        <v>4170</v>
      </c>
      <c r="M304">
        <v>4</v>
      </c>
      <c r="N304">
        <v>4</v>
      </c>
      <c r="O304">
        <v>8261558.1999999993</v>
      </c>
      <c r="P304" t="s">
        <v>4109</v>
      </c>
    </row>
    <row r="305" spans="1:16" x14ac:dyDescent="0.25">
      <c r="A305" t="s">
        <v>949</v>
      </c>
      <c r="B305" t="s">
        <v>948</v>
      </c>
      <c r="C305" t="s">
        <v>949</v>
      </c>
      <c r="D305" t="s">
        <v>950</v>
      </c>
      <c r="E305" t="s">
        <v>478</v>
      </c>
      <c r="F305" t="s">
        <v>31</v>
      </c>
      <c r="G305" t="s">
        <v>32</v>
      </c>
      <c r="H305">
        <v>3</v>
      </c>
      <c r="I305" t="b">
        <v>1</v>
      </c>
      <c r="J305" t="s">
        <v>4239</v>
      </c>
      <c r="K305">
        <v>2</v>
      </c>
      <c r="L305" t="s">
        <v>4170</v>
      </c>
      <c r="M305">
        <v>4</v>
      </c>
      <c r="N305">
        <v>4</v>
      </c>
      <c r="O305">
        <v>8154661.1600000001</v>
      </c>
      <c r="P305" t="s">
        <v>4109</v>
      </c>
    </row>
    <row r="306" spans="1:16" x14ac:dyDescent="0.25">
      <c r="A306" t="s">
        <v>1243</v>
      </c>
      <c r="B306" t="s">
        <v>1242</v>
      </c>
      <c r="C306" t="s">
        <v>1243</v>
      </c>
      <c r="D306" t="s">
        <v>1244</v>
      </c>
      <c r="E306" t="s">
        <v>1245</v>
      </c>
      <c r="F306" t="s">
        <v>31</v>
      </c>
      <c r="G306" t="s">
        <v>32</v>
      </c>
      <c r="H306">
        <v>3</v>
      </c>
      <c r="I306" t="b">
        <v>1</v>
      </c>
      <c r="J306" t="s">
        <v>1242</v>
      </c>
      <c r="K306">
        <v>1</v>
      </c>
      <c r="L306" t="s">
        <v>4205</v>
      </c>
      <c r="M306">
        <v>3</v>
      </c>
      <c r="N306">
        <v>3</v>
      </c>
      <c r="O306">
        <v>7954121.0800000001</v>
      </c>
      <c r="P306" t="s">
        <v>4109</v>
      </c>
    </row>
    <row r="307" spans="1:16" x14ac:dyDescent="0.25">
      <c r="A307" t="s">
        <v>1367</v>
      </c>
      <c r="B307" t="s">
        <v>1366</v>
      </c>
      <c r="C307" t="s">
        <v>1367</v>
      </c>
      <c r="D307" t="s">
        <v>1368</v>
      </c>
      <c r="E307" t="s">
        <v>356</v>
      </c>
      <c r="F307" t="s">
        <v>31</v>
      </c>
      <c r="G307" t="s">
        <v>32</v>
      </c>
      <c r="H307">
        <v>3</v>
      </c>
      <c r="I307" t="b">
        <v>1</v>
      </c>
      <c r="J307" t="s">
        <v>1366</v>
      </c>
      <c r="K307">
        <v>1</v>
      </c>
      <c r="L307" t="s">
        <v>4214</v>
      </c>
      <c r="M307">
        <v>3</v>
      </c>
      <c r="N307">
        <v>3</v>
      </c>
      <c r="O307">
        <v>7781270.0600000015</v>
      </c>
      <c r="P307" t="s">
        <v>4109</v>
      </c>
    </row>
    <row r="308" spans="1:16" x14ac:dyDescent="0.25">
      <c r="A308" t="s">
        <v>677</v>
      </c>
      <c r="B308" t="s">
        <v>676</v>
      </c>
      <c r="C308" t="s">
        <v>677</v>
      </c>
      <c r="D308" t="s">
        <v>678</v>
      </c>
      <c r="E308" t="s">
        <v>679</v>
      </c>
      <c r="F308" t="s">
        <v>681</v>
      </c>
      <c r="G308" t="s">
        <v>682</v>
      </c>
      <c r="H308">
        <v>3</v>
      </c>
      <c r="I308" t="b">
        <v>1</v>
      </c>
      <c r="J308" t="s">
        <v>676</v>
      </c>
      <c r="K308">
        <v>1</v>
      </c>
      <c r="L308" t="s">
        <v>124</v>
      </c>
      <c r="M308">
        <v>1</v>
      </c>
      <c r="N308">
        <v>1</v>
      </c>
      <c r="O308">
        <v>7750029.2300000004</v>
      </c>
      <c r="P308" t="s">
        <v>4109</v>
      </c>
    </row>
    <row r="309" spans="1:16" x14ac:dyDescent="0.25">
      <c r="A309" t="s">
        <v>703</v>
      </c>
      <c r="B309" t="s">
        <v>702</v>
      </c>
      <c r="C309" t="s">
        <v>703</v>
      </c>
      <c r="D309" t="s">
        <v>704</v>
      </c>
      <c r="E309" t="s">
        <v>705</v>
      </c>
      <c r="F309" t="s">
        <v>707</v>
      </c>
      <c r="G309" t="s">
        <v>708</v>
      </c>
      <c r="H309">
        <v>3</v>
      </c>
      <c r="I309" t="b">
        <v>1</v>
      </c>
      <c r="J309" t="s">
        <v>702</v>
      </c>
      <c r="K309">
        <v>1</v>
      </c>
      <c r="L309" t="s">
        <v>124</v>
      </c>
      <c r="M309">
        <v>1</v>
      </c>
      <c r="N309">
        <v>1</v>
      </c>
      <c r="O309">
        <v>7621604.0700000012</v>
      </c>
      <c r="P309" t="s">
        <v>4109</v>
      </c>
    </row>
    <row r="310" spans="1:16" x14ac:dyDescent="0.25">
      <c r="A310" t="s">
        <v>963</v>
      </c>
      <c r="B310" t="s">
        <v>962</v>
      </c>
      <c r="C310" t="s">
        <v>963</v>
      </c>
      <c r="D310" t="s">
        <v>964</v>
      </c>
      <c r="E310" t="s">
        <v>965</v>
      </c>
      <c r="F310" t="s">
        <v>968</v>
      </c>
      <c r="G310" t="s">
        <v>32</v>
      </c>
      <c r="H310">
        <v>3</v>
      </c>
      <c r="I310" t="b">
        <v>1</v>
      </c>
      <c r="J310" t="s">
        <v>4240</v>
      </c>
      <c r="K310">
        <v>2</v>
      </c>
      <c r="L310" t="s">
        <v>4170</v>
      </c>
      <c r="M310">
        <v>4</v>
      </c>
      <c r="N310">
        <v>4</v>
      </c>
      <c r="O310">
        <v>7529222.6799999997</v>
      </c>
      <c r="P310" t="s">
        <v>4109</v>
      </c>
    </row>
    <row r="311" spans="1:16" x14ac:dyDescent="0.25">
      <c r="A311" t="s">
        <v>1541</v>
      </c>
      <c r="B311" t="s">
        <v>1540</v>
      </c>
      <c r="C311" t="s">
        <v>1541</v>
      </c>
      <c r="D311" t="s">
        <v>1542</v>
      </c>
      <c r="E311" t="s">
        <v>1543</v>
      </c>
      <c r="F311" t="s">
        <v>1030</v>
      </c>
      <c r="G311" t="s">
        <v>32</v>
      </c>
      <c r="H311">
        <v>3</v>
      </c>
      <c r="I311" t="b">
        <v>1</v>
      </c>
      <c r="J311" t="s">
        <v>1540</v>
      </c>
      <c r="K311">
        <v>1</v>
      </c>
      <c r="L311" t="s">
        <v>4170</v>
      </c>
      <c r="M311">
        <v>4</v>
      </c>
      <c r="N311">
        <v>4</v>
      </c>
      <c r="O311">
        <v>7372185.4200000009</v>
      </c>
      <c r="P311" t="s">
        <v>4109</v>
      </c>
    </row>
    <row r="312" spans="1:16" x14ac:dyDescent="0.25">
      <c r="A312" t="s">
        <v>216</v>
      </c>
      <c r="B312" t="s">
        <v>215</v>
      </c>
      <c r="C312" t="s">
        <v>216</v>
      </c>
      <c r="D312" t="s">
        <v>217</v>
      </c>
      <c r="E312" t="s">
        <v>218</v>
      </c>
      <c r="F312" t="s">
        <v>50</v>
      </c>
      <c r="G312" t="s">
        <v>180</v>
      </c>
      <c r="H312">
        <v>3</v>
      </c>
      <c r="I312" t="b">
        <v>1</v>
      </c>
      <c r="J312" t="s">
        <v>215</v>
      </c>
      <c r="K312">
        <v>1</v>
      </c>
      <c r="L312" t="s">
        <v>124</v>
      </c>
      <c r="M312">
        <v>1</v>
      </c>
      <c r="N312">
        <v>1</v>
      </c>
      <c r="O312">
        <v>7339642.1499999994</v>
      </c>
      <c r="P312" t="s">
        <v>4109</v>
      </c>
    </row>
    <row r="313" spans="1:16" x14ac:dyDescent="0.25">
      <c r="A313" t="s">
        <v>999</v>
      </c>
      <c r="B313" t="s">
        <v>998</v>
      </c>
      <c r="C313" t="s">
        <v>999</v>
      </c>
      <c r="D313" t="s">
        <v>1000</v>
      </c>
      <c r="E313" t="s">
        <v>1001</v>
      </c>
      <c r="F313" t="s">
        <v>895</v>
      </c>
      <c r="G313" t="s">
        <v>32</v>
      </c>
      <c r="H313">
        <v>3</v>
      </c>
      <c r="I313" t="b">
        <v>1</v>
      </c>
      <c r="J313" t="s">
        <v>998</v>
      </c>
      <c r="K313">
        <v>1</v>
      </c>
      <c r="L313" t="s">
        <v>4173</v>
      </c>
      <c r="M313">
        <v>2</v>
      </c>
      <c r="N313">
        <v>2</v>
      </c>
      <c r="O313">
        <v>7211656.2699999996</v>
      </c>
      <c r="P313" t="s">
        <v>4109</v>
      </c>
    </row>
    <row r="314" spans="1:16" x14ac:dyDescent="0.25">
      <c r="A314" t="s">
        <v>1451</v>
      </c>
      <c r="B314" t="s">
        <v>1450</v>
      </c>
      <c r="C314" t="s">
        <v>1451</v>
      </c>
      <c r="D314" t="s">
        <v>1452</v>
      </c>
      <c r="E314" t="s">
        <v>1453</v>
      </c>
      <c r="F314" t="s">
        <v>50</v>
      </c>
      <c r="G314" t="s">
        <v>241</v>
      </c>
      <c r="H314">
        <v>3</v>
      </c>
      <c r="I314" t="b">
        <v>1</v>
      </c>
      <c r="J314" t="s">
        <v>1450</v>
      </c>
      <c r="K314">
        <v>1</v>
      </c>
      <c r="L314" t="s">
        <v>25</v>
      </c>
      <c r="M314">
        <v>1</v>
      </c>
      <c r="N314">
        <v>1</v>
      </c>
      <c r="O314">
        <v>6724857.4000001037</v>
      </c>
      <c r="P314" t="s">
        <v>4109</v>
      </c>
    </row>
    <row r="315" spans="1:16" x14ac:dyDescent="0.25">
      <c r="A315" t="s">
        <v>1078</v>
      </c>
      <c r="B315" t="s">
        <v>1077</v>
      </c>
      <c r="C315" t="s">
        <v>1078</v>
      </c>
      <c r="D315" t="s">
        <v>1079</v>
      </c>
      <c r="E315" t="s">
        <v>1080</v>
      </c>
      <c r="F315" t="s">
        <v>44</v>
      </c>
      <c r="G315" t="s">
        <v>32</v>
      </c>
      <c r="H315">
        <v>3</v>
      </c>
      <c r="I315" t="b">
        <v>1</v>
      </c>
      <c r="J315" t="s">
        <v>4241</v>
      </c>
      <c r="K315">
        <v>2</v>
      </c>
      <c r="L315" t="s">
        <v>4170</v>
      </c>
      <c r="M315">
        <v>4</v>
      </c>
      <c r="N315">
        <v>4</v>
      </c>
      <c r="O315">
        <v>6580051.79</v>
      </c>
      <c r="P315" t="s">
        <v>4109</v>
      </c>
    </row>
    <row r="316" spans="1:16" x14ac:dyDescent="0.25">
      <c r="A316" t="s">
        <v>1389</v>
      </c>
      <c r="B316" t="s">
        <v>1388</v>
      </c>
      <c r="C316" t="s">
        <v>1389</v>
      </c>
      <c r="D316" t="s">
        <v>1390</v>
      </c>
      <c r="E316" t="s">
        <v>1297</v>
      </c>
      <c r="F316" t="s">
        <v>31</v>
      </c>
      <c r="G316" t="s">
        <v>32</v>
      </c>
      <c r="H316">
        <v>3</v>
      </c>
      <c r="I316" t="b">
        <v>1</v>
      </c>
      <c r="J316" t="s">
        <v>1388</v>
      </c>
      <c r="K316">
        <v>1</v>
      </c>
      <c r="L316" t="s">
        <v>4205</v>
      </c>
      <c r="M316">
        <v>3</v>
      </c>
      <c r="N316">
        <v>3</v>
      </c>
      <c r="O316">
        <v>6577890.3899999997</v>
      </c>
      <c r="P316" t="s">
        <v>4109</v>
      </c>
    </row>
    <row r="317" spans="1:16" x14ac:dyDescent="0.25">
      <c r="A317" t="s">
        <v>295</v>
      </c>
      <c r="B317" t="s">
        <v>294</v>
      </c>
      <c r="C317" t="s">
        <v>295</v>
      </c>
      <c r="D317" t="s">
        <v>296</v>
      </c>
      <c r="E317" t="s">
        <v>289</v>
      </c>
      <c r="F317" t="s">
        <v>44</v>
      </c>
      <c r="G317" t="s">
        <v>180</v>
      </c>
      <c r="H317">
        <v>3</v>
      </c>
      <c r="I317" t="b">
        <v>1</v>
      </c>
      <c r="J317" t="s">
        <v>294</v>
      </c>
      <c r="K317">
        <v>1</v>
      </c>
      <c r="L317" t="s">
        <v>124</v>
      </c>
      <c r="M317">
        <v>1</v>
      </c>
      <c r="N317">
        <v>1</v>
      </c>
      <c r="O317">
        <v>6545176.3300000001</v>
      </c>
      <c r="P317" t="s">
        <v>4109</v>
      </c>
    </row>
    <row r="318" spans="1:16" x14ac:dyDescent="0.25">
      <c r="A318" t="s">
        <v>425</v>
      </c>
      <c r="B318" t="s">
        <v>424</v>
      </c>
      <c r="C318" t="s">
        <v>425</v>
      </c>
      <c r="D318" t="s">
        <v>426</v>
      </c>
      <c r="E318" t="s">
        <v>422</v>
      </c>
      <c r="F318" t="s">
        <v>44</v>
      </c>
      <c r="G318" t="s">
        <v>32</v>
      </c>
      <c r="H318">
        <v>3</v>
      </c>
      <c r="I318" t="b">
        <v>1</v>
      </c>
      <c r="J318" t="s">
        <v>424</v>
      </c>
      <c r="K318">
        <v>1</v>
      </c>
      <c r="L318" t="s">
        <v>124</v>
      </c>
      <c r="M318">
        <v>1</v>
      </c>
      <c r="N318">
        <v>1</v>
      </c>
      <c r="O318">
        <v>6505737.9699999997</v>
      </c>
      <c r="P318" t="s">
        <v>4109</v>
      </c>
    </row>
    <row r="319" spans="1:16" x14ac:dyDescent="0.25">
      <c r="A319" t="s">
        <v>837</v>
      </c>
      <c r="B319" t="s">
        <v>836</v>
      </c>
      <c r="C319" t="s">
        <v>837</v>
      </c>
      <c r="D319" t="s">
        <v>838</v>
      </c>
      <c r="E319" t="s">
        <v>835</v>
      </c>
      <c r="F319" t="s">
        <v>50</v>
      </c>
      <c r="G319" t="s">
        <v>32</v>
      </c>
      <c r="H319">
        <v>3</v>
      </c>
      <c r="I319" t="b">
        <v>1</v>
      </c>
      <c r="J319" t="s">
        <v>836</v>
      </c>
      <c r="K319">
        <v>1</v>
      </c>
      <c r="L319" t="s">
        <v>4242</v>
      </c>
      <c r="M319">
        <v>3</v>
      </c>
      <c r="N319">
        <v>3</v>
      </c>
      <c r="O319">
        <v>6364485.5199999996</v>
      </c>
      <c r="P319" t="s">
        <v>4109</v>
      </c>
    </row>
    <row r="320" spans="1:16" x14ac:dyDescent="0.25">
      <c r="A320" t="s">
        <v>710</v>
      </c>
      <c r="B320" t="s">
        <v>709</v>
      </c>
      <c r="C320" t="s">
        <v>710</v>
      </c>
      <c r="D320" t="s">
        <v>711</v>
      </c>
      <c r="E320" t="s">
        <v>705</v>
      </c>
      <c r="F320" t="s">
        <v>707</v>
      </c>
      <c r="G320" t="s">
        <v>708</v>
      </c>
      <c r="H320">
        <v>3</v>
      </c>
      <c r="I320" t="b">
        <v>1</v>
      </c>
      <c r="J320" t="s">
        <v>709</v>
      </c>
      <c r="K320">
        <v>1</v>
      </c>
      <c r="L320" t="s">
        <v>124</v>
      </c>
      <c r="M320">
        <v>1</v>
      </c>
      <c r="N320">
        <v>1</v>
      </c>
      <c r="O320">
        <v>6362576.6299999999</v>
      </c>
      <c r="P320" t="s">
        <v>4109</v>
      </c>
    </row>
    <row r="321" spans="1:16" x14ac:dyDescent="0.25">
      <c r="A321" t="s">
        <v>1134</v>
      </c>
      <c r="B321" t="s">
        <v>1133</v>
      </c>
      <c r="C321" t="s">
        <v>1134</v>
      </c>
      <c r="D321" t="s">
        <v>1135</v>
      </c>
      <c r="E321" t="s">
        <v>1132</v>
      </c>
      <c r="F321" t="s">
        <v>112</v>
      </c>
      <c r="G321" t="s">
        <v>32</v>
      </c>
      <c r="H321">
        <v>3</v>
      </c>
      <c r="I321" t="b">
        <v>1</v>
      </c>
      <c r="J321" t="s">
        <v>1133</v>
      </c>
      <c r="K321">
        <v>1</v>
      </c>
      <c r="L321" t="s">
        <v>4214</v>
      </c>
      <c r="M321">
        <v>3</v>
      </c>
      <c r="N321">
        <v>3</v>
      </c>
      <c r="O321">
        <v>6353924.8299999991</v>
      </c>
      <c r="P321" t="s">
        <v>4109</v>
      </c>
    </row>
    <row r="322" spans="1:16" x14ac:dyDescent="0.25">
      <c r="A322" t="s">
        <v>1373</v>
      </c>
      <c r="B322" t="s">
        <v>1372</v>
      </c>
      <c r="C322" t="s">
        <v>1373</v>
      </c>
      <c r="D322" t="s">
        <v>1374</v>
      </c>
      <c r="E322" t="s">
        <v>356</v>
      </c>
      <c r="F322" t="s">
        <v>31</v>
      </c>
      <c r="G322" t="s">
        <v>32</v>
      </c>
      <c r="H322">
        <v>3</v>
      </c>
      <c r="I322" t="b">
        <v>1</v>
      </c>
      <c r="J322" t="s">
        <v>1372</v>
      </c>
      <c r="K322">
        <v>1</v>
      </c>
      <c r="L322" t="s">
        <v>4214</v>
      </c>
      <c r="M322">
        <v>3</v>
      </c>
      <c r="N322">
        <v>3</v>
      </c>
      <c r="O322">
        <v>6330050.7299999986</v>
      </c>
      <c r="P322" t="s">
        <v>4109</v>
      </c>
    </row>
    <row r="323" spans="1:16" x14ac:dyDescent="0.25">
      <c r="A323" t="s">
        <v>2422</v>
      </c>
      <c r="B323" t="s">
        <v>2421</v>
      </c>
      <c r="C323" t="s">
        <v>2422</v>
      </c>
      <c r="D323" t="s">
        <v>2423</v>
      </c>
      <c r="E323" t="s">
        <v>2424</v>
      </c>
      <c r="F323" t="s">
        <v>31</v>
      </c>
      <c r="G323" t="s">
        <v>358</v>
      </c>
      <c r="H323">
        <v>3</v>
      </c>
      <c r="I323" t="b">
        <v>1</v>
      </c>
      <c r="J323" t="s">
        <v>2421</v>
      </c>
      <c r="K323">
        <v>1</v>
      </c>
      <c r="L323" t="s">
        <v>124</v>
      </c>
      <c r="M323">
        <v>1</v>
      </c>
      <c r="N323">
        <v>1</v>
      </c>
      <c r="O323">
        <v>6276022.7199999997</v>
      </c>
      <c r="P323" t="s">
        <v>4109</v>
      </c>
    </row>
    <row r="324" spans="1:16" x14ac:dyDescent="0.25">
      <c r="A324" t="s">
        <v>319</v>
      </c>
      <c r="B324" t="s">
        <v>318</v>
      </c>
      <c r="C324" t="s">
        <v>319</v>
      </c>
      <c r="D324" t="s">
        <v>320</v>
      </c>
      <c r="E324" t="s">
        <v>214</v>
      </c>
      <c r="F324" t="s">
        <v>44</v>
      </c>
      <c r="G324" t="s">
        <v>317</v>
      </c>
      <c r="H324">
        <v>3</v>
      </c>
      <c r="I324" t="b">
        <v>1</v>
      </c>
      <c r="J324" t="s">
        <v>318</v>
      </c>
      <c r="K324">
        <v>1</v>
      </c>
      <c r="L324" t="s">
        <v>124</v>
      </c>
      <c r="M324">
        <v>1</v>
      </c>
      <c r="N324">
        <v>1</v>
      </c>
      <c r="O324">
        <v>6275255.6799999997</v>
      </c>
      <c r="P324" t="s">
        <v>4109</v>
      </c>
    </row>
    <row r="325" spans="1:16" x14ac:dyDescent="0.25">
      <c r="A325" t="s">
        <v>814</v>
      </c>
      <c r="B325" t="s">
        <v>813</v>
      </c>
      <c r="C325" t="s">
        <v>814</v>
      </c>
      <c r="D325" t="s">
        <v>815</v>
      </c>
      <c r="E325" t="s">
        <v>816</v>
      </c>
      <c r="F325" t="s">
        <v>112</v>
      </c>
      <c r="G325" t="s">
        <v>32</v>
      </c>
      <c r="H325">
        <v>3</v>
      </c>
      <c r="I325" t="b">
        <v>1</v>
      </c>
      <c r="J325" t="s">
        <v>813</v>
      </c>
      <c r="K325">
        <v>1</v>
      </c>
      <c r="L325" t="s">
        <v>4170</v>
      </c>
      <c r="M325">
        <v>4</v>
      </c>
      <c r="N325">
        <v>4</v>
      </c>
      <c r="O325">
        <v>6260685.8199999994</v>
      </c>
      <c r="P325" t="s">
        <v>4109</v>
      </c>
    </row>
    <row r="326" spans="1:16" x14ac:dyDescent="0.25">
      <c r="A326" t="s">
        <v>643</v>
      </c>
      <c r="B326" t="s">
        <v>642</v>
      </c>
      <c r="C326" t="s">
        <v>643</v>
      </c>
      <c r="D326" t="s">
        <v>644</v>
      </c>
      <c r="E326" t="s">
        <v>638</v>
      </c>
      <c r="F326" t="s">
        <v>31</v>
      </c>
      <c r="G326" t="s">
        <v>358</v>
      </c>
      <c r="H326">
        <v>3</v>
      </c>
      <c r="I326" t="b">
        <v>1</v>
      </c>
      <c r="J326" t="s">
        <v>642</v>
      </c>
      <c r="K326">
        <v>1</v>
      </c>
      <c r="L326" t="s">
        <v>124</v>
      </c>
      <c r="M326">
        <v>1</v>
      </c>
      <c r="N326">
        <v>1</v>
      </c>
      <c r="O326">
        <v>6220967.9899999984</v>
      </c>
      <c r="P326" t="s">
        <v>4109</v>
      </c>
    </row>
    <row r="327" spans="1:16" x14ac:dyDescent="0.25">
      <c r="A327" t="s">
        <v>524</v>
      </c>
      <c r="B327" t="s">
        <v>523</v>
      </c>
      <c r="C327" t="s">
        <v>524</v>
      </c>
      <c r="D327" t="s">
        <v>525</v>
      </c>
      <c r="E327" t="s">
        <v>526</v>
      </c>
      <c r="F327" t="s">
        <v>81</v>
      </c>
      <c r="G327" t="s">
        <v>32</v>
      </c>
      <c r="H327">
        <v>3</v>
      </c>
      <c r="I327" t="b">
        <v>1</v>
      </c>
      <c r="J327" t="s">
        <v>523</v>
      </c>
      <c r="K327">
        <v>1</v>
      </c>
      <c r="L327" t="s">
        <v>124</v>
      </c>
      <c r="M327">
        <v>1</v>
      </c>
      <c r="N327">
        <v>1</v>
      </c>
      <c r="O327">
        <v>6202916.6600000001</v>
      </c>
      <c r="P327" t="s">
        <v>4109</v>
      </c>
    </row>
    <row r="328" spans="1:16" x14ac:dyDescent="0.25">
      <c r="A328" t="s">
        <v>2408</v>
      </c>
      <c r="B328" t="s">
        <v>2407</v>
      </c>
      <c r="C328" t="s">
        <v>2408</v>
      </c>
      <c r="D328" t="s">
        <v>2409</v>
      </c>
      <c r="E328" t="s">
        <v>1471</v>
      </c>
      <c r="F328" t="s">
        <v>31</v>
      </c>
      <c r="G328" t="s">
        <v>358</v>
      </c>
      <c r="H328">
        <v>3</v>
      </c>
      <c r="I328" t="b">
        <v>1</v>
      </c>
      <c r="J328" t="s">
        <v>2407</v>
      </c>
      <c r="K328">
        <v>1</v>
      </c>
      <c r="L328" t="s">
        <v>124</v>
      </c>
      <c r="M328">
        <v>1</v>
      </c>
      <c r="N328">
        <v>1</v>
      </c>
      <c r="O328">
        <v>6178903.5899999999</v>
      </c>
      <c r="P328" t="s">
        <v>4109</v>
      </c>
    </row>
    <row r="329" spans="1:16" x14ac:dyDescent="0.25">
      <c r="A329" t="s">
        <v>511</v>
      </c>
      <c r="B329" t="s">
        <v>510</v>
      </c>
      <c r="C329" t="s">
        <v>511</v>
      </c>
      <c r="D329" t="s">
        <v>512</v>
      </c>
      <c r="E329" t="s">
        <v>149</v>
      </c>
      <c r="F329" t="s">
        <v>81</v>
      </c>
      <c r="G329" t="s">
        <v>32</v>
      </c>
      <c r="H329">
        <v>3</v>
      </c>
      <c r="I329" t="b">
        <v>1</v>
      </c>
      <c r="J329" t="s">
        <v>510</v>
      </c>
      <c r="K329">
        <v>1</v>
      </c>
      <c r="L329" t="s">
        <v>4243</v>
      </c>
      <c r="M329">
        <v>4</v>
      </c>
      <c r="N329">
        <v>4</v>
      </c>
      <c r="O329">
        <v>6101052.6099999975</v>
      </c>
      <c r="P329" t="s">
        <v>4109</v>
      </c>
    </row>
    <row r="330" spans="1:16" x14ac:dyDescent="0.25">
      <c r="A330" t="s">
        <v>1492</v>
      </c>
      <c r="B330" t="s">
        <v>1491</v>
      </c>
      <c r="C330" t="s">
        <v>1492</v>
      </c>
      <c r="D330" t="s">
        <v>1493</v>
      </c>
      <c r="E330" t="s">
        <v>1494</v>
      </c>
      <c r="F330" t="s">
        <v>112</v>
      </c>
      <c r="G330" t="s">
        <v>32</v>
      </c>
      <c r="H330">
        <v>3</v>
      </c>
      <c r="I330" t="b">
        <v>1</v>
      </c>
      <c r="J330" t="s">
        <v>1491</v>
      </c>
      <c r="K330">
        <v>1</v>
      </c>
      <c r="L330" t="s">
        <v>4214</v>
      </c>
      <c r="M330">
        <v>3</v>
      </c>
      <c r="N330">
        <v>3</v>
      </c>
      <c r="O330">
        <v>5921806.0499999989</v>
      </c>
      <c r="P330" t="s">
        <v>4109</v>
      </c>
    </row>
    <row r="331" spans="1:16" x14ac:dyDescent="0.25">
      <c r="A331" t="s">
        <v>1198</v>
      </c>
      <c r="B331" t="s">
        <v>1197</v>
      </c>
      <c r="C331" t="s">
        <v>1198</v>
      </c>
      <c r="D331" t="s">
        <v>1199</v>
      </c>
      <c r="E331" t="s">
        <v>1200</v>
      </c>
      <c r="F331" t="s">
        <v>112</v>
      </c>
      <c r="G331" t="s">
        <v>32</v>
      </c>
      <c r="H331">
        <v>3</v>
      </c>
      <c r="I331" t="b">
        <v>1</v>
      </c>
      <c r="J331" t="s">
        <v>4244</v>
      </c>
      <c r="K331">
        <v>2</v>
      </c>
      <c r="L331" t="s">
        <v>4173</v>
      </c>
      <c r="M331">
        <v>2</v>
      </c>
      <c r="N331">
        <v>3</v>
      </c>
      <c r="O331">
        <v>5891657.5800000001</v>
      </c>
      <c r="P331" t="s">
        <v>4109</v>
      </c>
    </row>
    <row r="332" spans="1:16" x14ac:dyDescent="0.25">
      <c r="A332" t="s">
        <v>471</v>
      </c>
      <c r="B332" t="s">
        <v>470</v>
      </c>
      <c r="C332" t="s">
        <v>471</v>
      </c>
      <c r="D332" t="s">
        <v>472</v>
      </c>
      <c r="E332" t="s">
        <v>473</v>
      </c>
      <c r="F332" t="s">
        <v>61</v>
      </c>
      <c r="G332" t="s">
        <v>32</v>
      </c>
      <c r="H332">
        <v>3</v>
      </c>
      <c r="I332" t="b">
        <v>1</v>
      </c>
      <c r="J332" t="s">
        <v>470</v>
      </c>
      <c r="K332">
        <v>1</v>
      </c>
      <c r="L332" t="s">
        <v>4237</v>
      </c>
      <c r="M332">
        <v>2</v>
      </c>
      <c r="N332">
        <v>2</v>
      </c>
      <c r="O332">
        <v>5678265.4499999993</v>
      </c>
      <c r="P332" t="s">
        <v>4109</v>
      </c>
    </row>
    <row r="333" spans="1:16" x14ac:dyDescent="0.25">
      <c r="A333" t="s">
        <v>1868</v>
      </c>
      <c r="B333" t="s">
        <v>1867</v>
      </c>
      <c r="C333" t="s">
        <v>1868</v>
      </c>
      <c r="D333" t="s">
        <v>1869</v>
      </c>
      <c r="E333" t="s">
        <v>1870</v>
      </c>
      <c r="F333" t="s">
        <v>50</v>
      </c>
      <c r="G333" t="s">
        <v>32</v>
      </c>
      <c r="H333">
        <v>3</v>
      </c>
      <c r="I333" t="b">
        <v>1</v>
      </c>
      <c r="J333" t="s">
        <v>1867</v>
      </c>
      <c r="K333">
        <v>1</v>
      </c>
      <c r="L333" t="s">
        <v>1545</v>
      </c>
      <c r="M333">
        <v>1</v>
      </c>
      <c r="N333">
        <v>1</v>
      </c>
      <c r="O333">
        <v>5641115.04</v>
      </c>
      <c r="P333" t="s">
        <v>4109</v>
      </c>
    </row>
    <row r="334" spans="1:16" x14ac:dyDescent="0.25">
      <c r="A334" t="s">
        <v>1052</v>
      </c>
      <c r="B334" t="s">
        <v>1051</v>
      </c>
      <c r="C334" t="s">
        <v>1052</v>
      </c>
      <c r="D334" t="s">
        <v>1053</v>
      </c>
      <c r="E334" t="s">
        <v>531</v>
      </c>
      <c r="F334" t="s">
        <v>81</v>
      </c>
      <c r="G334" t="s">
        <v>32</v>
      </c>
      <c r="H334">
        <v>3</v>
      </c>
      <c r="I334" t="b">
        <v>1</v>
      </c>
      <c r="J334" t="s">
        <v>1051</v>
      </c>
      <c r="K334">
        <v>1</v>
      </c>
      <c r="L334" t="s">
        <v>4170</v>
      </c>
      <c r="M334">
        <v>4</v>
      </c>
      <c r="N334">
        <v>4</v>
      </c>
      <c r="O334">
        <v>5638761.2000000002</v>
      </c>
      <c r="P334" t="s">
        <v>4109</v>
      </c>
    </row>
    <row r="335" spans="1:16" x14ac:dyDescent="0.25">
      <c r="A335" t="s">
        <v>776</v>
      </c>
      <c r="B335" t="s">
        <v>775</v>
      </c>
      <c r="C335" t="s">
        <v>776</v>
      </c>
      <c r="D335" t="s">
        <v>777</v>
      </c>
      <c r="E335" t="s">
        <v>111</v>
      </c>
      <c r="F335" t="s">
        <v>112</v>
      </c>
      <c r="G335" t="s">
        <v>32</v>
      </c>
      <c r="H335">
        <v>3</v>
      </c>
      <c r="I335" t="b">
        <v>1</v>
      </c>
      <c r="J335" t="s">
        <v>775</v>
      </c>
      <c r="K335">
        <v>1</v>
      </c>
      <c r="L335" t="s">
        <v>124</v>
      </c>
      <c r="M335">
        <v>1</v>
      </c>
      <c r="N335">
        <v>1</v>
      </c>
      <c r="O335">
        <v>5528625.1400000006</v>
      </c>
      <c r="P335" t="s">
        <v>4109</v>
      </c>
    </row>
    <row r="336" spans="1:16" x14ac:dyDescent="0.25">
      <c r="A336" t="s">
        <v>598</v>
      </c>
      <c r="B336" t="s">
        <v>597</v>
      </c>
      <c r="C336" t="s">
        <v>598</v>
      </c>
      <c r="D336" t="s">
        <v>599</v>
      </c>
      <c r="E336" t="s">
        <v>600</v>
      </c>
      <c r="F336" t="s">
        <v>31</v>
      </c>
      <c r="G336" t="s">
        <v>32</v>
      </c>
      <c r="H336">
        <v>3</v>
      </c>
      <c r="I336" t="b">
        <v>1</v>
      </c>
      <c r="J336" t="s">
        <v>597</v>
      </c>
      <c r="K336">
        <v>1</v>
      </c>
      <c r="L336" t="s">
        <v>124</v>
      </c>
      <c r="M336">
        <v>1</v>
      </c>
      <c r="N336">
        <v>1</v>
      </c>
      <c r="O336">
        <v>5380927.7400000002</v>
      </c>
      <c r="P336" t="s">
        <v>4109</v>
      </c>
    </row>
    <row r="337" spans="1:16" x14ac:dyDescent="0.25">
      <c r="A337" t="s">
        <v>338</v>
      </c>
      <c r="B337" t="s">
        <v>337</v>
      </c>
      <c r="C337" t="s">
        <v>338</v>
      </c>
      <c r="D337" t="s">
        <v>339</v>
      </c>
      <c r="E337" t="s">
        <v>340</v>
      </c>
      <c r="F337" t="s">
        <v>61</v>
      </c>
      <c r="G337" t="s">
        <v>331</v>
      </c>
      <c r="H337">
        <v>3</v>
      </c>
      <c r="I337" t="b">
        <v>1</v>
      </c>
      <c r="J337" t="s">
        <v>337</v>
      </c>
      <c r="K337">
        <v>1</v>
      </c>
      <c r="L337" t="s">
        <v>124</v>
      </c>
      <c r="M337">
        <v>1</v>
      </c>
      <c r="N337">
        <v>1</v>
      </c>
      <c r="O337">
        <v>5300785.2700000014</v>
      </c>
      <c r="P337" t="s">
        <v>4109</v>
      </c>
    </row>
    <row r="338" spans="1:16" x14ac:dyDescent="0.25">
      <c r="A338" t="s">
        <v>664</v>
      </c>
      <c r="B338" t="s">
        <v>663</v>
      </c>
      <c r="C338" t="s">
        <v>664</v>
      </c>
      <c r="D338" t="s">
        <v>665</v>
      </c>
      <c r="E338" t="s">
        <v>666</v>
      </c>
      <c r="F338" t="s">
        <v>81</v>
      </c>
      <c r="G338" t="s">
        <v>129</v>
      </c>
      <c r="H338">
        <v>3</v>
      </c>
      <c r="I338" t="b">
        <v>1</v>
      </c>
      <c r="J338" t="s">
        <v>663</v>
      </c>
      <c r="K338">
        <v>1</v>
      </c>
      <c r="L338" t="s">
        <v>124</v>
      </c>
      <c r="M338">
        <v>1</v>
      </c>
      <c r="N338">
        <v>1</v>
      </c>
      <c r="O338">
        <v>5256298.1199999992</v>
      </c>
      <c r="P338" t="s">
        <v>4109</v>
      </c>
    </row>
    <row r="339" spans="1:16" x14ac:dyDescent="0.25">
      <c r="A339" t="s">
        <v>1238</v>
      </c>
      <c r="B339" t="s">
        <v>1237</v>
      </c>
      <c r="C339" t="s">
        <v>1238</v>
      </c>
      <c r="D339" t="s">
        <v>1239</v>
      </c>
      <c r="E339" t="s">
        <v>1240</v>
      </c>
      <c r="F339" t="s">
        <v>31</v>
      </c>
      <c r="G339" t="s">
        <v>32</v>
      </c>
      <c r="H339">
        <v>3</v>
      </c>
      <c r="I339" t="b">
        <v>1</v>
      </c>
      <c r="J339" t="s">
        <v>1237</v>
      </c>
      <c r="K339">
        <v>1</v>
      </c>
      <c r="L339" t="s">
        <v>4173</v>
      </c>
      <c r="M339">
        <v>2</v>
      </c>
      <c r="N339">
        <v>2</v>
      </c>
      <c r="O339">
        <v>5214913.26</v>
      </c>
      <c r="P339" t="s">
        <v>4109</v>
      </c>
    </row>
    <row r="340" spans="1:16" x14ac:dyDescent="0.25">
      <c r="A340" t="s">
        <v>1065</v>
      </c>
      <c r="B340" t="s">
        <v>1064</v>
      </c>
      <c r="C340" t="s">
        <v>1065</v>
      </c>
      <c r="D340" t="s">
        <v>1066</v>
      </c>
      <c r="E340" t="s">
        <v>1067</v>
      </c>
      <c r="F340" t="s">
        <v>31</v>
      </c>
      <c r="G340" t="s">
        <v>32</v>
      </c>
      <c r="H340">
        <v>3</v>
      </c>
      <c r="I340" t="b">
        <v>1</v>
      </c>
      <c r="J340" t="s">
        <v>1064</v>
      </c>
      <c r="K340">
        <v>1</v>
      </c>
      <c r="L340" t="s">
        <v>4173</v>
      </c>
      <c r="M340">
        <v>2</v>
      </c>
      <c r="N340">
        <v>2</v>
      </c>
      <c r="O340">
        <v>5213694.0600000015</v>
      </c>
      <c r="P340" t="s">
        <v>4109</v>
      </c>
    </row>
    <row r="341" spans="1:16" x14ac:dyDescent="0.25">
      <c r="A341" t="s">
        <v>260</v>
      </c>
      <c r="B341" t="s">
        <v>259</v>
      </c>
      <c r="C341" t="s">
        <v>260</v>
      </c>
      <c r="D341" t="s">
        <v>261</v>
      </c>
      <c r="E341" t="s">
        <v>262</v>
      </c>
      <c r="F341" t="s">
        <v>44</v>
      </c>
      <c r="G341" t="s">
        <v>180</v>
      </c>
      <c r="H341">
        <v>3</v>
      </c>
      <c r="I341" t="b">
        <v>1</v>
      </c>
      <c r="J341" t="s">
        <v>259</v>
      </c>
      <c r="K341">
        <v>1</v>
      </c>
      <c r="L341" t="s">
        <v>124</v>
      </c>
      <c r="M341">
        <v>1</v>
      </c>
      <c r="N341">
        <v>1</v>
      </c>
      <c r="O341">
        <v>5106608.2499999991</v>
      </c>
      <c r="P341" t="s">
        <v>4109</v>
      </c>
    </row>
    <row r="342" spans="1:16" x14ac:dyDescent="0.25">
      <c r="A342" t="s">
        <v>139</v>
      </c>
      <c r="B342" t="s">
        <v>138</v>
      </c>
      <c r="C342" t="s">
        <v>139</v>
      </c>
      <c r="D342" t="s">
        <v>140</v>
      </c>
      <c r="E342" t="s">
        <v>141</v>
      </c>
      <c r="F342" t="s">
        <v>81</v>
      </c>
      <c r="G342" t="s">
        <v>129</v>
      </c>
      <c r="H342">
        <v>3</v>
      </c>
      <c r="I342" t="b">
        <v>1</v>
      </c>
      <c r="J342" t="s">
        <v>138</v>
      </c>
      <c r="K342">
        <v>1</v>
      </c>
      <c r="L342" t="s">
        <v>124</v>
      </c>
      <c r="M342">
        <v>1</v>
      </c>
      <c r="N342">
        <v>1</v>
      </c>
      <c r="O342">
        <v>5071503.3600000013</v>
      </c>
      <c r="P342" t="s">
        <v>4109</v>
      </c>
    </row>
    <row r="343" spans="1:16" x14ac:dyDescent="0.25">
      <c r="A343" t="s">
        <v>1247</v>
      </c>
      <c r="B343" t="s">
        <v>1246</v>
      </c>
      <c r="C343" t="s">
        <v>1247</v>
      </c>
      <c r="D343" t="s">
        <v>1248</v>
      </c>
      <c r="E343" t="s">
        <v>1249</v>
      </c>
      <c r="F343" t="s">
        <v>31</v>
      </c>
      <c r="G343" t="s">
        <v>32</v>
      </c>
      <c r="H343">
        <v>3</v>
      </c>
      <c r="I343" t="b">
        <v>1</v>
      </c>
      <c r="J343" t="s">
        <v>1246</v>
      </c>
      <c r="K343">
        <v>1</v>
      </c>
      <c r="L343" t="s">
        <v>4173</v>
      </c>
      <c r="M343">
        <v>2</v>
      </c>
      <c r="N343">
        <v>2</v>
      </c>
      <c r="O343">
        <v>5027213.82</v>
      </c>
      <c r="P343" t="s">
        <v>4109</v>
      </c>
    </row>
    <row r="344" spans="1:16" x14ac:dyDescent="0.25">
      <c r="A344" t="s">
        <v>2130</v>
      </c>
      <c r="B344" t="s">
        <v>2129</v>
      </c>
      <c r="C344" t="s">
        <v>2130</v>
      </c>
      <c r="D344" t="s">
        <v>2131</v>
      </c>
      <c r="E344" t="s">
        <v>2132</v>
      </c>
      <c r="F344" t="s">
        <v>50</v>
      </c>
      <c r="G344" t="s">
        <v>32</v>
      </c>
      <c r="H344">
        <v>3</v>
      </c>
      <c r="I344" t="b">
        <v>1</v>
      </c>
      <c r="J344" t="s">
        <v>2129</v>
      </c>
      <c r="K344">
        <v>1</v>
      </c>
      <c r="L344" t="s">
        <v>1545</v>
      </c>
      <c r="M344">
        <v>1</v>
      </c>
      <c r="N344">
        <v>1</v>
      </c>
      <c r="O344">
        <v>5017056.25</v>
      </c>
      <c r="P344" t="s">
        <v>4109</v>
      </c>
    </row>
    <row r="345" spans="1:16" x14ac:dyDescent="0.25">
      <c r="A345" t="s">
        <v>1735</v>
      </c>
      <c r="B345" t="s">
        <v>1734</v>
      </c>
      <c r="C345" t="s">
        <v>1735</v>
      </c>
      <c r="D345" t="s">
        <v>1736</v>
      </c>
      <c r="E345" t="s">
        <v>1732</v>
      </c>
      <c r="F345" t="s">
        <v>112</v>
      </c>
      <c r="G345" t="s">
        <v>32</v>
      </c>
      <c r="H345">
        <v>3</v>
      </c>
      <c r="I345" t="b">
        <v>1</v>
      </c>
      <c r="J345" t="s">
        <v>4245</v>
      </c>
      <c r="K345">
        <v>2</v>
      </c>
      <c r="L345" t="s">
        <v>4170</v>
      </c>
      <c r="M345">
        <v>4</v>
      </c>
      <c r="N345">
        <v>4</v>
      </c>
      <c r="O345">
        <v>4967715.25</v>
      </c>
      <c r="P345" t="s">
        <v>4109</v>
      </c>
    </row>
    <row r="346" spans="1:16" x14ac:dyDescent="0.25">
      <c r="A346" t="s">
        <v>220</v>
      </c>
      <c r="B346" t="s">
        <v>219</v>
      </c>
      <c r="C346" t="s">
        <v>220</v>
      </c>
      <c r="D346" t="s">
        <v>221</v>
      </c>
      <c r="E346" t="s">
        <v>222</v>
      </c>
      <c r="F346" t="s">
        <v>44</v>
      </c>
      <c r="G346" t="s">
        <v>180</v>
      </c>
      <c r="H346">
        <v>3</v>
      </c>
      <c r="I346" t="b">
        <v>1</v>
      </c>
      <c r="J346" t="s">
        <v>219</v>
      </c>
      <c r="K346">
        <v>1</v>
      </c>
      <c r="L346" t="s">
        <v>124</v>
      </c>
      <c r="M346">
        <v>1</v>
      </c>
      <c r="N346">
        <v>1</v>
      </c>
      <c r="O346">
        <v>4902554.4099999992</v>
      </c>
      <c r="P346" t="s">
        <v>4109</v>
      </c>
    </row>
    <row r="347" spans="1:16" x14ac:dyDescent="0.25">
      <c r="A347" t="s">
        <v>1755</v>
      </c>
      <c r="B347" t="s">
        <v>1754</v>
      </c>
      <c r="C347" t="s">
        <v>1755</v>
      </c>
      <c r="D347" t="s">
        <v>1756</v>
      </c>
      <c r="E347" t="s">
        <v>1757</v>
      </c>
      <c r="F347" t="s">
        <v>112</v>
      </c>
      <c r="G347" t="s">
        <v>32</v>
      </c>
      <c r="H347">
        <v>3</v>
      </c>
      <c r="I347" t="b">
        <v>1</v>
      </c>
      <c r="J347" t="s">
        <v>1754</v>
      </c>
      <c r="K347">
        <v>1</v>
      </c>
      <c r="L347" t="s">
        <v>4214</v>
      </c>
      <c r="M347">
        <v>3</v>
      </c>
      <c r="N347">
        <v>3</v>
      </c>
      <c r="O347">
        <v>4812794.6000000006</v>
      </c>
      <c r="P347" t="s">
        <v>4109</v>
      </c>
    </row>
    <row r="348" spans="1:16" x14ac:dyDescent="0.25">
      <c r="A348" t="s">
        <v>1155</v>
      </c>
      <c r="B348" t="s">
        <v>1154</v>
      </c>
      <c r="C348" t="s">
        <v>1155</v>
      </c>
      <c r="D348" t="s">
        <v>1156</v>
      </c>
      <c r="E348" t="s">
        <v>1157</v>
      </c>
      <c r="F348" t="s">
        <v>31</v>
      </c>
      <c r="G348" t="s">
        <v>32</v>
      </c>
      <c r="H348">
        <v>3</v>
      </c>
      <c r="I348" t="b">
        <v>1</v>
      </c>
      <c r="J348" t="s">
        <v>1154</v>
      </c>
      <c r="K348">
        <v>1</v>
      </c>
      <c r="L348" t="s">
        <v>4173</v>
      </c>
      <c r="M348">
        <v>2</v>
      </c>
      <c r="N348">
        <v>2</v>
      </c>
      <c r="O348">
        <v>4805081.47</v>
      </c>
      <c r="P348" t="s">
        <v>4109</v>
      </c>
    </row>
    <row r="349" spans="1:16" x14ac:dyDescent="0.25">
      <c r="A349" t="s">
        <v>630</v>
      </c>
      <c r="B349" t="s">
        <v>629</v>
      </c>
      <c r="C349" t="s">
        <v>630</v>
      </c>
      <c r="D349" t="s">
        <v>631</v>
      </c>
      <c r="E349" t="s">
        <v>111</v>
      </c>
      <c r="F349" t="s">
        <v>112</v>
      </c>
      <c r="G349" t="s">
        <v>490</v>
      </c>
      <c r="H349">
        <v>3</v>
      </c>
      <c r="I349" t="b">
        <v>1</v>
      </c>
      <c r="J349" t="s">
        <v>629</v>
      </c>
      <c r="K349">
        <v>1</v>
      </c>
      <c r="L349" t="s">
        <v>124</v>
      </c>
      <c r="M349">
        <v>1</v>
      </c>
      <c r="N349">
        <v>1</v>
      </c>
      <c r="O349">
        <v>4714012.8599999994</v>
      </c>
      <c r="P349" t="s">
        <v>4109</v>
      </c>
    </row>
    <row r="350" spans="1:16" x14ac:dyDescent="0.25">
      <c r="A350" t="s">
        <v>204</v>
      </c>
      <c r="B350" t="s">
        <v>203</v>
      </c>
      <c r="C350" t="s">
        <v>204</v>
      </c>
      <c r="D350" t="s">
        <v>205</v>
      </c>
      <c r="E350" t="s">
        <v>206</v>
      </c>
      <c r="F350" t="s">
        <v>44</v>
      </c>
      <c r="G350" t="s">
        <v>180</v>
      </c>
      <c r="H350">
        <v>3</v>
      </c>
      <c r="I350" t="b">
        <v>1</v>
      </c>
      <c r="J350" t="s">
        <v>203</v>
      </c>
      <c r="K350">
        <v>1</v>
      </c>
      <c r="L350" t="s">
        <v>124</v>
      </c>
      <c r="M350">
        <v>1</v>
      </c>
      <c r="N350">
        <v>1</v>
      </c>
      <c r="O350">
        <v>4663983.5300000012</v>
      </c>
      <c r="P350" t="s">
        <v>4109</v>
      </c>
    </row>
    <row r="351" spans="1:16" x14ac:dyDescent="0.25">
      <c r="A351" t="s">
        <v>232</v>
      </c>
      <c r="B351" t="s">
        <v>231</v>
      </c>
      <c r="C351" t="s">
        <v>232</v>
      </c>
      <c r="D351" t="s">
        <v>233</v>
      </c>
      <c r="E351" t="s">
        <v>230</v>
      </c>
      <c r="F351" t="s">
        <v>44</v>
      </c>
      <c r="G351" t="s">
        <v>180</v>
      </c>
      <c r="H351">
        <v>3</v>
      </c>
      <c r="I351" t="b">
        <v>1</v>
      </c>
      <c r="J351" t="s">
        <v>231</v>
      </c>
      <c r="K351">
        <v>1</v>
      </c>
      <c r="L351" t="s">
        <v>124</v>
      </c>
      <c r="M351">
        <v>1</v>
      </c>
      <c r="N351">
        <v>1</v>
      </c>
      <c r="O351">
        <v>4657876.66</v>
      </c>
      <c r="P351" t="s">
        <v>4109</v>
      </c>
    </row>
    <row r="352" spans="1:16" x14ac:dyDescent="0.25">
      <c r="A352" t="s">
        <v>1677</v>
      </c>
      <c r="B352" t="s">
        <v>1676</v>
      </c>
      <c r="C352" t="s">
        <v>1677</v>
      </c>
      <c r="D352" t="s">
        <v>1678</v>
      </c>
      <c r="E352" t="s">
        <v>1673</v>
      </c>
      <c r="F352" t="s">
        <v>112</v>
      </c>
      <c r="G352" t="s">
        <v>32</v>
      </c>
      <c r="H352">
        <v>3</v>
      </c>
      <c r="I352" t="b">
        <v>1</v>
      </c>
      <c r="J352" t="s">
        <v>1676</v>
      </c>
      <c r="K352">
        <v>1</v>
      </c>
      <c r="L352" t="s">
        <v>4205</v>
      </c>
      <c r="M352">
        <v>3</v>
      </c>
      <c r="N352">
        <v>3</v>
      </c>
      <c r="O352">
        <v>4606859.08</v>
      </c>
      <c r="P352" t="s">
        <v>4109</v>
      </c>
    </row>
    <row r="353" spans="1:16" x14ac:dyDescent="0.25">
      <c r="A353" t="s">
        <v>2237</v>
      </c>
      <c r="B353" t="s">
        <v>2236</v>
      </c>
      <c r="C353" t="s">
        <v>2237</v>
      </c>
      <c r="D353" t="s">
        <v>2238</v>
      </c>
      <c r="E353" t="s">
        <v>638</v>
      </c>
      <c r="F353" t="s">
        <v>31</v>
      </c>
      <c r="G353" t="s">
        <v>32</v>
      </c>
      <c r="H353">
        <v>3</v>
      </c>
      <c r="I353" t="b">
        <v>1</v>
      </c>
      <c r="J353" t="s">
        <v>2236</v>
      </c>
      <c r="K353">
        <v>1</v>
      </c>
      <c r="L353" t="s">
        <v>2200</v>
      </c>
      <c r="M353">
        <v>1</v>
      </c>
      <c r="N353">
        <v>1</v>
      </c>
      <c r="O353">
        <v>4567359.38</v>
      </c>
      <c r="P353" t="s">
        <v>4109</v>
      </c>
    </row>
    <row r="354" spans="1:16" x14ac:dyDescent="0.25">
      <c r="A354" t="s">
        <v>833</v>
      </c>
      <c r="B354" t="s">
        <v>832</v>
      </c>
      <c r="C354" t="s">
        <v>833</v>
      </c>
      <c r="D354" t="s">
        <v>834</v>
      </c>
      <c r="E354" t="s">
        <v>835</v>
      </c>
      <c r="F354" t="s">
        <v>50</v>
      </c>
      <c r="G354" t="s">
        <v>32</v>
      </c>
      <c r="H354">
        <v>3</v>
      </c>
      <c r="I354" t="b">
        <v>1</v>
      </c>
      <c r="J354" t="s">
        <v>832</v>
      </c>
      <c r="K354">
        <v>1</v>
      </c>
      <c r="L354" t="s">
        <v>4246</v>
      </c>
      <c r="M354">
        <v>4</v>
      </c>
      <c r="N354">
        <v>4</v>
      </c>
      <c r="O354">
        <v>4517301.6300000008</v>
      </c>
      <c r="P354" t="s">
        <v>4109</v>
      </c>
    </row>
    <row r="355" spans="1:16" x14ac:dyDescent="0.25">
      <c r="A355" t="s">
        <v>1527</v>
      </c>
      <c r="B355" t="s">
        <v>1526</v>
      </c>
      <c r="C355" t="s">
        <v>1527</v>
      </c>
      <c r="D355" t="s">
        <v>1528</v>
      </c>
      <c r="E355" t="s">
        <v>141</v>
      </c>
      <c r="F355" t="s">
        <v>81</v>
      </c>
      <c r="G355" t="s">
        <v>32</v>
      </c>
      <c r="H355">
        <v>3</v>
      </c>
      <c r="I355" t="b">
        <v>1</v>
      </c>
      <c r="J355" t="s">
        <v>1526</v>
      </c>
      <c r="K355">
        <v>1</v>
      </c>
      <c r="L355" t="s">
        <v>4173</v>
      </c>
      <c r="M355">
        <v>2</v>
      </c>
      <c r="N355">
        <v>2</v>
      </c>
      <c r="O355">
        <v>4473672.7300000014</v>
      </c>
      <c r="P355" t="s">
        <v>4109</v>
      </c>
    </row>
    <row r="356" spans="1:16" x14ac:dyDescent="0.25">
      <c r="A356" t="s">
        <v>1401</v>
      </c>
      <c r="B356" t="s">
        <v>1400</v>
      </c>
      <c r="C356" t="s">
        <v>1401</v>
      </c>
      <c r="D356" t="s">
        <v>1402</v>
      </c>
      <c r="E356" t="s">
        <v>1297</v>
      </c>
      <c r="F356" t="s">
        <v>31</v>
      </c>
      <c r="G356" t="s">
        <v>32</v>
      </c>
      <c r="H356">
        <v>3</v>
      </c>
      <c r="I356" t="b">
        <v>1</v>
      </c>
      <c r="J356" t="s">
        <v>4247</v>
      </c>
      <c r="K356">
        <v>2</v>
      </c>
      <c r="L356" t="s">
        <v>4214</v>
      </c>
      <c r="M356">
        <v>3</v>
      </c>
      <c r="N356">
        <v>4</v>
      </c>
      <c r="O356">
        <v>4402800.88</v>
      </c>
      <c r="P356" t="s">
        <v>4109</v>
      </c>
    </row>
    <row r="357" spans="1:16" x14ac:dyDescent="0.25">
      <c r="A357" t="s">
        <v>1689</v>
      </c>
      <c r="B357" t="s">
        <v>1688</v>
      </c>
      <c r="C357" t="s">
        <v>1689</v>
      </c>
      <c r="D357" t="s">
        <v>1690</v>
      </c>
      <c r="E357" t="s">
        <v>605</v>
      </c>
      <c r="F357" t="s">
        <v>112</v>
      </c>
      <c r="G357" t="s">
        <v>32</v>
      </c>
      <c r="H357">
        <v>3</v>
      </c>
      <c r="I357" t="b">
        <v>1</v>
      </c>
      <c r="J357" t="s">
        <v>1688</v>
      </c>
      <c r="K357">
        <v>1</v>
      </c>
      <c r="L357" t="s">
        <v>4214</v>
      </c>
      <c r="M357">
        <v>3</v>
      </c>
      <c r="N357">
        <v>3</v>
      </c>
      <c r="O357">
        <v>4333327.46</v>
      </c>
      <c r="P357" t="s">
        <v>4109</v>
      </c>
    </row>
    <row r="358" spans="1:16" x14ac:dyDescent="0.25">
      <c r="A358" t="s">
        <v>2393</v>
      </c>
      <c r="B358" t="s">
        <v>2392</v>
      </c>
      <c r="C358" t="s">
        <v>2393</v>
      </c>
      <c r="D358" t="s">
        <v>2394</v>
      </c>
      <c r="E358" t="s">
        <v>2395</v>
      </c>
      <c r="F358" t="s">
        <v>31</v>
      </c>
      <c r="G358" t="s">
        <v>358</v>
      </c>
      <c r="H358">
        <v>3</v>
      </c>
      <c r="I358" t="b">
        <v>1</v>
      </c>
      <c r="J358" t="s">
        <v>2392</v>
      </c>
      <c r="K358">
        <v>1</v>
      </c>
      <c r="L358" t="s">
        <v>124</v>
      </c>
      <c r="M358">
        <v>1</v>
      </c>
      <c r="N358">
        <v>1</v>
      </c>
      <c r="O358">
        <v>4109816.28</v>
      </c>
      <c r="P358" t="s">
        <v>4109</v>
      </c>
    </row>
    <row r="359" spans="1:16" x14ac:dyDescent="0.25">
      <c r="A359" t="s">
        <v>2182</v>
      </c>
      <c r="B359" t="s">
        <v>2181</v>
      </c>
      <c r="C359" t="s">
        <v>2182</v>
      </c>
      <c r="D359" t="s">
        <v>2183</v>
      </c>
      <c r="E359" t="s">
        <v>2170</v>
      </c>
      <c r="F359" t="s">
        <v>31</v>
      </c>
      <c r="G359" t="s">
        <v>32</v>
      </c>
      <c r="H359">
        <v>3</v>
      </c>
      <c r="I359" t="b">
        <v>1</v>
      </c>
      <c r="J359" t="s">
        <v>2181</v>
      </c>
      <c r="K359">
        <v>1</v>
      </c>
      <c r="L359" t="s">
        <v>1545</v>
      </c>
      <c r="M359">
        <v>1</v>
      </c>
      <c r="N359">
        <v>1</v>
      </c>
      <c r="O359">
        <v>4096933.33</v>
      </c>
      <c r="P359" t="s">
        <v>4109</v>
      </c>
    </row>
    <row r="360" spans="1:16" x14ac:dyDescent="0.25">
      <c r="A360" t="s">
        <v>989</v>
      </c>
      <c r="B360" t="s">
        <v>988</v>
      </c>
      <c r="C360" t="s">
        <v>989</v>
      </c>
      <c r="D360" t="s">
        <v>990</v>
      </c>
      <c r="E360" t="s">
        <v>991</v>
      </c>
      <c r="F360" t="s">
        <v>895</v>
      </c>
      <c r="G360" t="s">
        <v>32</v>
      </c>
      <c r="H360">
        <v>3</v>
      </c>
      <c r="I360" t="b">
        <v>1</v>
      </c>
      <c r="J360" t="s">
        <v>988</v>
      </c>
      <c r="K360">
        <v>1</v>
      </c>
      <c r="L360" t="s">
        <v>4205</v>
      </c>
      <c r="M360">
        <v>3</v>
      </c>
      <c r="N360">
        <v>3</v>
      </c>
      <c r="O360">
        <v>4045561.040000001</v>
      </c>
      <c r="P360" t="s">
        <v>4109</v>
      </c>
    </row>
    <row r="361" spans="1:16" x14ac:dyDescent="0.25">
      <c r="A361" t="s">
        <v>284</v>
      </c>
      <c r="B361" t="s">
        <v>283</v>
      </c>
      <c r="C361" t="s">
        <v>284</v>
      </c>
      <c r="D361" t="s">
        <v>285</v>
      </c>
      <c r="E361" t="s">
        <v>281</v>
      </c>
      <c r="F361" t="s">
        <v>44</v>
      </c>
      <c r="G361" t="s">
        <v>180</v>
      </c>
      <c r="H361">
        <v>3</v>
      </c>
      <c r="I361" t="b">
        <v>1</v>
      </c>
      <c r="J361" t="s">
        <v>283</v>
      </c>
      <c r="K361">
        <v>1</v>
      </c>
      <c r="L361" t="s">
        <v>124</v>
      </c>
      <c r="M361">
        <v>1</v>
      </c>
      <c r="N361">
        <v>1</v>
      </c>
      <c r="O361">
        <v>3949139.49</v>
      </c>
      <c r="P361" t="s">
        <v>4109</v>
      </c>
    </row>
    <row r="362" spans="1:16" x14ac:dyDescent="0.25">
      <c r="A362" t="s">
        <v>162</v>
      </c>
      <c r="B362" t="s">
        <v>161</v>
      </c>
      <c r="C362" t="s">
        <v>162</v>
      </c>
      <c r="D362" t="s">
        <v>163</v>
      </c>
      <c r="E362" t="s">
        <v>164</v>
      </c>
      <c r="F362" t="s">
        <v>81</v>
      </c>
      <c r="G362" t="s">
        <v>151</v>
      </c>
      <c r="H362">
        <v>3</v>
      </c>
      <c r="I362" t="b">
        <v>1</v>
      </c>
      <c r="J362" t="s">
        <v>161</v>
      </c>
      <c r="K362">
        <v>1</v>
      </c>
      <c r="L362" t="s">
        <v>124</v>
      </c>
      <c r="M362">
        <v>1</v>
      </c>
      <c r="N362">
        <v>1</v>
      </c>
      <c r="O362">
        <v>3922415.7899999968</v>
      </c>
      <c r="P362" t="s">
        <v>4109</v>
      </c>
    </row>
    <row r="363" spans="1:16" x14ac:dyDescent="0.25">
      <c r="A363" t="s">
        <v>674</v>
      </c>
      <c r="B363" t="s">
        <v>673</v>
      </c>
      <c r="C363" t="s">
        <v>674</v>
      </c>
      <c r="D363" t="s">
        <v>675</v>
      </c>
      <c r="E363" t="s">
        <v>666</v>
      </c>
      <c r="F363" t="s">
        <v>81</v>
      </c>
      <c r="G363" t="s">
        <v>129</v>
      </c>
      <c r="H363">
        <v>3</v>
      </c>
      <c r="I363" t="b">
        <v>1</v>
      </c>
      <c r="J363" t="s">
        <v>673</v>
      </c>
      <c r="K363">
        <v>1</v>
      </c>
      <c r="L363" t="s">
        <v>124</v>
      </c>
      <c r="M363">
        <v>1</v>
      </c>
      <c r="N363">
        <v>1</v>
      </c>
      <c r="O363">
        <v>3919564.370000001</v>
      </c>
      <c r="P363" t="s">
        <v>4109</v>
      </c>
    </row>
    <row r="364" spans="1:16" x14ac:dyDescent="0.25">
      <c r="A364" t="s">
        <v>2223</v>
      </c>
      <c r="B364" t="s">
        <v>2222</v>
      </c>
      <c r="C364" t="s">
        <v>2223</v>
      </c>
      <c r="D364" t="s">
        <v>2224</v>
      </c>
      <c r="E364" t="s">
        <v>2219</v>
      </c>
      <c r="F364" t="s">
        <v>2221</v>
      </c>
      <c r="G364" t="s">
        <v>32</v>
      </c>
      <c r="H364">
        <v>3</v>
      </c>
      <c r="I364" t="b">
        <v>1</v>
      </c>
      <c r="J364" t="s">
        <v>2222</v>
      </c>
      <c r="K364">
        <v>1</v>
      </c>
      <c r="L364" t="s">
        <v>2200</v>
      </c>
      <c r="M364">
        <v>1</v>
      </c>
      <c r="N364">
        <v>1</v>
      </c>
      <c r="O364">
        <v>3827900</v>
      </c>
      <c r="P364" t="s">
        <v>4109</v>
      </c>
    </row>
    <row r="365" spans="1:16" x14ac:dyDescent="0.25">
      <c r="A365" t="s">
        <v>228</v>
      </c>
      <c r="B365" t="s">
        <v>227</v>
      </c>
      <c r="C365" t="s">
        <v>228</v>
      </c>
      <c r="D365" t="s">
        <v>229</v>
      </c>
      <c r="E365" t="s">
        <v>230</v>
      </c>
      <c r="F365" t="s">
        <v>44</v>
      </c>
      <c r="G365" t="s">
        <v>180</v>
      </c>
      <c r="H365">
        <v>3</v>
      </c>
      <c r="I365" t="b">
        <v>1</v>
      </c>
      <c r="J365" t="s">
        <v>227</v>
      </c>
      <c r="K365">
        <v>1</v>
      </c>
      <c r="L365" t="s">
        <v>124</v>
      </c>
      <c r="M365">
        <v>1</v>
      </c>
      <c r="N365">
        <v>1</v>
      </c>
      <c r="O365">
        <v>3770211.1</v>
      </c>
      <c r="P365" t="s">
        <v>4109</v>
      </c>
    </row>
    <row r="366" spans="1:16" x14ac:dyDescent="0.25">
      <c r="A366" t="s">
        <v>1727</v>
      </c>
      <c r="B366" t="s">
        <v>1726</v>
      </c>
      <c r="C366" t="s">
        <v>1727</v>
      </c>
      <c r="D366" t="s">
        <v>1728</v>
      </c>
      <c r="E366" t="s">
        <v>111</v>
      </c>
      <c r="F366" t="s">
        <v>112</v>
      </c>
      <c r="G366" t="s">
        <v>32</v>
      </c>
      <c r="H366">
        <v>3</v>
      </c>
      <c r="I366" t="b">
        <v>1</v>
      </c>
      <c r="J366" t="s">
        <v>1726</v>
      </c>
      <c r="K366">
        <v>1</v>
      </c>
      <c r="L366" t="s">
        <v>4248</v>
      </c>
      <c r="M366">
        <v>2</v>
      </c>
      <c r="N366">
        <v>2</v>
      </c>
      <c r="O366">
        <v>3757031.89</v>
      </c>
      <c r="P366" t="s">
        <v>4109</v>
      </c>
    </row>
    <row r="367" spans="1:16" x14ac:dyDescent="0.25">
      <c r="A367" t="s">
        <v>621</v>
      </c>
      <c r="B367" t="s">
        <v>620</v>
      </c>
      <c r="C367" t="s">
        <v>621</v>
      </c>
      <c r="D367" t="s">
        <v>622</v>
      </c>
      <c r="E367" t="s">
        <v>111</v>
      </c>
      <c r="F367" t="s">
        <v>112</v>
      </c>
      <c r="G367" t="s">
        <v>490</v>
      </c>
      <c r="H367">
        <v>3</v>
      </c>
      <c r="I367" t="b">
        <v>1</v>
      </c>
      <c r="J367" t="s">
        <v>620</v>
      </c>
      <c r="K367">
        <v>1</v>
      </c>
      <c r="L367" t="s">
        <v>124</v>
      </c>
      <c r="M367">
        <v>1</v>
      </c>
      <c r="N367">
        <v>1</v>
      </c>
      <c r="O367">
        <v>3755140.6</v>
      </c>
      <c r="P367" t="s">
        <v>4109</v>
      </c>
    </row>
    <row r="368" spans="1:16" x14ac:dyDescent="0.25">
      <c r="A368" t="s">
        <v>279</v>
      </c>
      <c r="B368" t="s">
        <v>278</v>
      </c>
      <c r="C368" t="s">
        <v>279</v>
      </c>
      <c r="D368" t="s">
        <v>280</v>
      </c>
      <c r="E368" t="s">
        <v>281</v>
      </c>
      <c r="F368" t="s">
        <v>44</v>
      </c>
      <c r="G368" t="s">
        <v>180</v>
      </c>
      <c r="H368">
        <v>3</v>
      </c>
      <c r="I368" t="b">
        <v>1</v>
      </c>
      <c r="J368" t="s">
        <v>278</v>
      </c>
      <c r="K368">
        <v>1</v>
      </c>
      <c r="L368" t="s">
        <v>124</v>
      </c>
      <c r="M368">
        <v>1</v>
      </c>
      <c r="N368">
        <v>1</v>
      </c>
      <c r="O368">
        <v>3744554.739999997</v>
      </c>
      <c r="P368" t="s">
        <v>4109</v>
      </c>
    </row>
    <row r="369" spans="1:16" x14ac:dyDescent="0.25">
      <c r="A369" t="s">
        <v>1393</v>
      </c>
      <c r="B369" t="s">
        <v>1392</v>
      </c>
      <c r="C369" t="s">
        <v>1393</v>
      </c>
      <c r="D369" t="s">
        <v>1394</v>
      </c>
      <c r="E369" t="s">
        <v>1297</v>
      </c>
      <c r="F369" t="s">
        <v>31</v>
      </c>
      <c r="G369" t="s">
        <v>32</v>
      </c>
      <c r="H369">
        <v>3</v>
      </c>
      <c r="I369" t="b">
        <v>1</v>
      </c>
      <c r="J369" t="s">
        <v>1392</v>
      </c>
      <c r="K369">
        <v>1</v>
      </c>
      <c r="L369" t="s">
        <v>4214</v>
      </c>
      <c r="M369">
        <v>3</v>
      </c>
      <c r="N369">
        <v>3</v>
      </c>
      <c r="O369">
        <v>3733803</v>
      </c>
      <c r="P369" t="s">
        <v>4109</v>
      </c>
    </row>
    <row r="370" spans="1:16" x14ac:dyDescent="0.25">
      <c r="A370" t="s">
        <v>268</v>
      </c>
      <c r="B370" t="s">
        <v>267</v>
      </c>
      <c r="C370" t="s">
        <v>268</v>
      </c>
      <c r="D370" t="s">
        <v>269</v>
      </c>
      <c r="E370" t="s">
        <v>270</v>
      </c>
      <c r="F370" t="s">
        <v>44</v>
      </c>
      <c r="G370" t="s">
        <v>180</v>
      </c>
      <c r="H370">
        <v>3</v>
      </c>
      <c r="I370" t="b">
        <v>1</v>
      </c>
      <c r="J370" t="s">
        <v>267</v>
      </c>
      <c r="K370">
        <v>1</v>
      </c>
      <c r="L370" t="s">
        <v>124</v>
      </c>
      <c r="M370">
        <v>1</v>
      </c>
      <c r="N370">
        <v>1</v>
      </c>
      <c r="O370">
        <v>3665193.42</v>
      </c>
      <c r="P370" t="s">
        <v>4109</v>
      </c>
    </row>
    <row r="371" spans="1:16" x14ac:dyDescent="0.25">
      <c r="A371" t="s">
        <v>2430</v>
      </c>
      <c r="B371" t="s">
        <v>2429</v>
      </c>
      <c r="C371" t="s">
        <v>2430</v>
      </c>
      <c r="D371" t="s">
        <v>2431</v>
      </c>
      <c r="E371" t="s">
        <v>2432</v>
      </c>
      <c r="F371" t="s">
        <v>81</v>
      </c>
      <c r="G371" t="s">
        <v>129</v>
      </c>
      <c r="H371">
        <v>3</v>
      </c>
      <c r="I371" t="b">
        <v>1</v>
      </c>
      <c r="J371" t="s">
        <v>2429</v>
      </c>
      <c r="K371">
        <v>1</v>
      </c>
      <c r="L371" t="s">
        <v>124</v>
      </c>
      <c r="M371">
        <v>1</v>
      </c>
      <c r="N371">
        <v>1</v>
      </c>
      <c r="O371">
        <v>3608059.01</v>
      </c>
      <c r="P371" t="s">
        <v>4109</v>
      </c>
    </row>
    <row r="372" spans="1:16" x14ac:dyDescent="0.25">
      <c r="A372" t="s">
        <v>819</v>
      </c>
      <c r="B372" t="s">
        <v>818</v>
      </c>
      <c r="C372" t="s">
        <v>819</v>
      </c>
      <c r="D372" t="s">
        <v>820</v>
      </c>
      <c r="E372" t="s">
        <v>821</v>
      </c>
      <c r="F372" t="s">
        <v>31</v>
      </c>
      <c r="G372" t="s">
        <v>32</v>
      </c>
      <c r="H372">
        <v>3</v>
      </c>
      <c r="I372" t="b">
        <v>1</v>
      </c>
      <c r="J372" t="s">
        <v>818</v>
      </c>
      <c r="K372">
        <v>1</v>
      </c>
      <c r="L372" t="s">
        <v>4173</v>
      </c>
      <c r="M372">
        <v>2</v>
      </c>
      <c r="N372">
        <v>2</v>
      </c>
      <c r="O372">
        <v>3532664.58</v>
      </c>
      <c r="P372" t="s">
        <v>4109</v>
      </c>
    </row>
    <row r="373" spans="1:16" x14ac:dyDescent="0.25">
      <c r="A373" t="s">
        <v>224</v>
      </c>
      <c r="B373" t="s">
        <v>223</v>
      </c>
      <c r="C373" t="s">
        <v>224</v>
      </c>
      <c r="D373" t="s">
        <v>225</v>
      </c>
      <c r="E373" t="s">
        <v>226</v>
      </c>
      <c r="F373" t="s">
        <v>44</v>
      </c>
      <c r="G373" t="s">
        <v>180</v>
      </c>
      <c r="H373">
        <v>3</v>
      </c>
      <c r="I373" t="b">
        <v>1</v>
      </c>
      <c r="J373" t="s">
        <v>223</v>
      </c>
      <c r="K373">
        <v>1</v>
      </c>
      <c r="L373" t="s">
        <v>124</v>
      </c>
      <c r="M373">
        <v>1</v>
      </c>
      <c r="N373">
        <v>1</v>
      </c>
      <c r="O373">
        <v>3477278.42</v>
      </c>
      <c r="P373" t="s">
        <v>4109</v>
      </c>
    </row>
    <row r="374" spans="1:16" x14ac:dyDescent="0.25">
      <c r="A374" t="s">
        <v>310</v>
      </c>
      <c r="B374" t="s">
        <v>309</v>
      </c>
      <c r="C374" t="s">
        <v>310</v>
      </c>
      <c r="D374" t="s">
        <v>311</v>
      </c>
      <c r="E374" t="s">
        <v>312</v>
      </c>
      <c r="F374" t="s">
        <v>44</v>
      </c>
      <c r="G374" t="s">
        <v>180</v>
      </c>
      <c r="H374">
        <v>3</v>
      </c>
      <c r="I374" t="b">
        <v>1</v>
      </c>
      <c r="J374" t="s">
        <v>309</v>
      </c>
      <c r="K374">
        <v>1</v>
      </c>
      <c r="L374" t="s">
        <v>124</v>
      </c>
      <c r="M374">
        <v>1</v>
      </c>
      <c r="N374">
        <v>1</v>
      </c>
      <c r="O374">
        <v>3469099.22</v>
      </c>
      <c r="P374" t="s">
        <v>4109</v>
      </c>
    </row>
    <row r="375" spans="1:16" x14ac:dyDescent="0.25">
      <c r="A375" t="s">
        <v>1339</v>
      </c>
      <c r="B375" t="s">
        <v>1338</v>
      </c>
      <c r="C375" t="s">
        <v>1339</v>
      </c>
      <c r="D375" t="s">
        <v>1340</v>
      </c>
      <c r="E375" t="s">
        <v>1335</v>
      </c>
      <c r="F375" t="s">
        <v>112</v>
      </c>
      <c r="G375" t="s">
        <v>32</v>
      </c>
      <c r="H375">
        <v>3</v>
      </c>
      <c r="I375" t="b">
        <v>1</v>
      </c>
      <c r="J375" t="s">
        <v>1338</v>
      </c>
      <c r="K375">
        <v>1</v>
      </c>
      <c r="L375" t="s">
        <v>4173</v>
      </c>
      <c r="M375">
        <v>2</v>
      </c>
      <c r="N375">
        <v>2</v>
      </c>
      <c r="O375">
        <v>3452026.81</v>
      </c>
      <c r="P375" t="s">
        <v>4109</v>
      </c>
    </row>
    <row r="376" spans="1:16" x14ac:dyDescent="0.25">
      <c r="A376" t="s">
        <v>1593</v>
      </c>
      <c r="B376" t="s">
        <v>1592</v>
      </c>
      <c r="C376" t="s">
        <v>1593</v>
      </c>
      <c r="D376" t="s">
        <v>1594</v>
      </c>
      <c r="E376" t="s">
        <v>335</v>
      </c>
      <c r="F376" t="s">
        <v>61</v>
      </c>
      <c r="G376" t="s">
        <v>32</v>
      </c>
      <c r="H376">
        <v>3</v>
      </c>
      <c r="I376" t="b">
        <v>1</v>
      </c>
      <c r="J376" t="s">
        <v>1592</v>
      </c>
      <c r="K376">
        <v>1</v>
      </c>
      <c r="L376" t="s">
        <v>1545</v>
      </c>
      <c r="M376">
        <v>1</v>
      </c>
      <c r="N376">
        <v>1</v>
      </c>
      <c r="O376">
        <v>3365686.5</v>
      </c>
      <c r="P376" t="s">
        <v>4109</v>
      </c>
    </row>
    <row r="377" spans="1:16" x14ac:dyDescent="0.25">
      <c r="A377" t="s">
        <v>167</v>
      </c>
      <c r="B377" t="s">
        <v>166</v>
      </c>
      <c r="C377" t="s">
        <v>167</v>
      </c>
      <c r="D377" t="s">
        <v>168</v>
      </c>
      <c r="E377" t="s">
        <v>169</v>
      </c>
      <c r="F377" t="s">
        <v>81</v>
      </c>
      <c r="G377" t="s">
        <v>151</v>
      </c>
      <c r="H377">
        <v>3</v>
      </c>
      <c r="I377" t="b">
        <v>1</v>
      </c>
      <c r="J377" t="s">
        <v>166</v>
      </c>
      <c r="K377">
        <v>1</v>
      </c>
      <c r="L377" t="s">
        <v>124</v>
      </c>
      <c r="M377">
        <v>1</v>
      </c>
      <c r="N377">
        <v>1</v>
      </c>
      <c r="O377">
        <v>3360542.28</v>
      </c>
      <c r="P377" t="s">
        <v>4109</v>
      </c>
    </row>
    <row r="378" spans="1:16" x14ac:dyDescent="0.25">
      <c r="A378" t="s">
        <v>2217</v>
      </c>
      <c r="B378" t="s">
        <v>2216</v>
      </c>
      <c r="C378" t="s">
        <v>2217</v>
      </c>
      <c r="D378" t="s">
        <v>2218</v>
      </c>
      <c r="E378" t="s">
        <v>2219</v>
      </c>
      <c r="F378" t="s">
        <v>2221</v>
      </c>
      <c r="G378" t="s">
        <v>32</v>
      </c>
      <c r="H378">
        <v>3</v>
      </c>
      <c r="I378" t="b">
        <v>1</v>
      </c>
      <c r="J378" t="s">
        <v>2216</v>
      </c>
      <c r="K378">
        <v>1</v>
      </c>
      <c r="L378" t="s">
        <v>2200</v>
      </c>
      <c r="M378">
        <v>1</v>
      </c>
      <c r="N378">
        <v>1</v>
      </c>
      <c r="O378">
        <v>3358504</v>
      </c>
      <c r="P378" t="s">
        <v>4109</v>
      </c>
    </row>
    <row r="379" spans="1:16" x14ac:dyDescent="0.25">
      <c r="A379" t="s">
        <v>773</v>
      </c>
      <c r="B379" t="s">
        <v>772</v>
      </c>
      <c r="C379" t="s">
        <v>773</v>
      </c>
      <c r="D379" t="s">
        <v>774</v>
      </c>
      <c r="E379" t="s">
        <v>716</v>
      </c>
      <c r="F379" t="s">
        <v>61</v>
      </c>
      <c r="G379" t="s">
        <v>331</v>
      </c>
      <c r="H379">
        <v>3</v>
      </c>
      <c r="I379" t="b">
        <v>1</v>
      </c>
      <c r="J379" t="s">
        <v>772</v>
      </c>
      <c r="K379">
        <v>1</v>
      </c>
      <c r="L379" t="s">
        <v>124</v>
      </c>
      <c r="M379">
        <v>1</v>
      </c>
      <c r="N379">
        <v>1</v>
      </c>
      <c r="O379">
        <v>3261960.58</v>
      </c>
      <c r="P379" t="s">
        <v>4109</v>
      </c>
    </row>
    <row r="380" spans="1:16" x14ac:dyDescent="0.25">
      <c r="A380" t="s">
        <v>759</v>
      </c>
      <c r="B380" t="s">
        <v>758</v>
      </c>
      <c r="C380" t="s">
        <v>759</v>
      </c>
      <c r="D380" t="s">
        <v>760</v>
      </c>
      <c r="E380" t="s">
        <v>761</v>
      </c>
      <c r="F380" t="s">
        <v>112</v>
      </c>
      <c r="G380" t="s">
        <v>32</v>
      </c>
      <c r="H380">
        <v>3</v>
      </c>
      <c r="I380" t="b">
        <v>1</v>
      </c>
      <c r="J380" t="s">
        <v>4249</v>
      </c>
      <c r="K380">
        <v>3</v>
      </c>
      <c r="L380" t="s">
        <v>4170</v>
      </c>
      <c r="M380">
        <v>4</v>
      </c>
      <c r="N380">
        <v>7</v>
      </c>
      <c r="O380">
        <v>3242266.5100000012</v>
      </c>
      <c r="P380" t="s">
        <v>4109</v>
      </c>
    </row>
    <row r="381" spans="1:16" x14ac:dyDescent="0.25">
      <c r="A381" t="s">
        <v>636</v>
      </c>
      <c r="B381" t="s">
        <v>635</v>
      </c>
      <c r="C381" t="s">
        <v>636</v>
      </c>
      <c r="D381" t="s">
        <v>637</v>
      </c>
      <c r="E381" t="s">
        <v>638</v>
      </c>
      <c r="F381" t="s">
        <v>31</v>
      </c>
      <c r="G381" t="s">
        <v>358</v>
      </c>
      <c r="H381">
        <v>3</v>
      </c>
      <c r="I381" t="b">
        <v>1</v>
      </c>
      <c r="J381" t="s">
        <v>635</v>
      </c>
      <c r="K381">
        <v>1</v>
      </c>
      <c r="L381" t="s">
        <v>124</v>
      </c>
      <c r="M381">
        <v>1</v>
      </c>
      <c r="N381">
        <v>1</v>
      </c>
      <c r="O381">
        <v>3235789.11</v>
      </c>
      <c r="P381" t="s">
        <v>4109</v>
      </c>
    </row>
    <row r="382" spans="1:16" x14ac:dyDescent="0.25">
      <c r="A382" t="s">
        <v>945</v>
      </c>
      <c r="B382" t="s">
        <v>944</v>
      </c>
      <c r="C382" t="s">
        <v>945</v>
      </c>
      <c r="D382" t="s">
        <v>946</v>
      </c>
      <c r="E382" t="s">
        <v>478</v>
      </c>
      <c r="F382" t="s">
        <v>31</v>
      </c>
      <c r="G382" t="s">
        <v>32</v>
      </c>
      <c r="H382">
        <v>3</v>
      </c>
      <c r="I382" t="b">
        <v>1</v>
      </c>
      <c r="J382" t="s">
        <v>944</v>
      </c>
      <c r="K382">
        <v>1</v>
      </c>
      <c r="L382" t="s">
        <v>4205</v>
      </c>
      <c r="M382">
        <v>3</v>
      </c>
      <c r="N382">
        <v>3</v>
      </c>
      <c r="O382">
        <v>3183494.17</v>
      </c>
      <c r="P382" t="s">
        <v>4109</v>
      </c>
    </row>
    <row r="383" spans="1:16" x14ac:dyDescent="0.25">
      <c r="A383" t="s">
        <v>2186</v>
      </c>
      <c r="B383" t="s">
        <v>2185</v>
      </c>
      <c r="C383" t="s">
        <v>2186</v>
      </c>
      <c r="D383" t="s">
        <v>2187</v>
      </c>
      <c r="E383" t="s">
        <v>2188</v>
      </c>
      <c r="F383" t="s">
        <v>44</v>
      </c>
      <c r="G383" t="s">
        <v>32</v>
      </c>
      <c r="H383">
        <v>3</v>
      </c>
      <c r="I383" t="b">
        <v>1</v>
      </c>
      <c r="J383" t="s">
        <v>2185</v>
      </c>
      <c r="K383">
        <v>1</v>
      </c>
      <c r="L383" t="s">
        <v>1545</v>
      </c>
      <c r="M383">
        <v>1</v>
      </c>
      <c r="N383">
        <v>1</v>
      </c>
      <c r="O383">
        <v>3145831.34</v>
      </c>
      <c r="P383" t="s">
        <v>4109</v>
      </c>
    </row>
    <row r="384" spans="1:16" x14ac:dyDescent="0.25">
      <c r="A384" t="s">
        <v>1574</v>
      </c>
      <c r="B384" t="s">
        <v>1573</v>
      </c>
      <c r="C384" t="s">
        <v>1574</v>
      </c>
      <c r="D384" t="s">
        <v>1575</v>
      </c>
      <c r="E384" t="s">
        <v>882</v>
      </c>
      <c r="F384" t="s">
        <v>31</v>
      </c>
      <c r="G384" t="s">
        <v>32</v>
      </c>
      <c r="H384">
        <v>3</v>
      </c>
      <c r="I384" t="b">
        <v>1</v>
      </c>
      <c r="J384" t="s">
        <v>1573</v>
      </c>
      <c r="K384">
        <v>1</v>
      </c>
      <c r="L384" t="s">
        <v>1545</v>
      </c>
      <c r="M384">
        <v>1</v>
      </c>
      <c r="N384">
        <v>1</v>
      </c>
      <c r="O384">
        <v>3133295.5</v>
      </c>
      <c r="P384" t="s">
        <v>4109</v>
      </c>
    </row>
    <row r="385" spans="1:16" x14ac:dyDescent="0.25">
      <c r="A385" t="s">
        <v>789</v>
      </c>
      <c r="B385" t="s">
        <v>788</v>
      </c>
      <c r="C385" t="s">
        <v>789</v>
      </c>
      <c r="D385" t="s">
        <v>790</v>
      </c>
      <c r="E385" t="s">
        <v>791</v>
      </c>
      <c r="F385" t="s">
        <v>39</v>
      </c>
      <c r="G385" t="s">
        <v>610</v>
      </c>
      <c r="H385">
        <v>3</v>
      </c>
      <c r="I385" t="b">
        <v>1</v>
      </c>
      <c r="J385" t="s">
        <v>788</v>
      </c>
      <c r="K385">
        <v>1</v>
      </c>
      <c r="L385" t="s">
        <v>124</v>
      </c>
      <c r="M385">
        <v>1</v>
      </c>
      <c r="N385">
        <v>1</v>
      </c>
      <c r="O385">
        <v>3105661.27</v>
      </c>
      <c r="P385" t="s">
        <v>4109</v>
      </c>
    </row>
    <row r="386" spans="1:16" x14ac:dyDescent="0.25">
      <c r="A386" t="s">
        <v>272</v>
      </c>
      <c r="B386" t="s">
        <v>271</v>
      </c>
      <c r="C386" t="s">
        <v>272</v>
      </c>
      <c r="D386" t="s">
        <v>273</v>
      </c>
      <c r="E386" t="s">
        <v>270</v>
      </c>
      <c r="F386" t="s">
        <v>44</v>
      </c>
      <c r="G386" t="s">
        <v>180</v>
      </c>
      <c r="H386">
        <v>3</v>
      </c>
      <c r="I386" t="b">
        <v>1</v>
      </c>
      <c r="J386" t="s">
        <v>271</v>
      </c>
      <c r="K386">
        <v>1</v>
      </c>
      <c r="L386" t="s">
        <v>124</v>
      </c>
      <c r="M386">
        <v>1</v>
      </c>
      <c r="N386">
        <v>1</v>
      </c>
      <c r="O386">
        <v>3066380.86</v>
      </c>
      <c r="P386" t="s">
        <v>4109</v>
      </c>
    </row>
    <row r="387" spans="1:16" x14ac:dyDescent="0.25">
      <c r="A387" t="s">
        <v>855</v>
      </c>
      <c r="B387" t="s">
        <v>854</v>
      </c>
      <c r="C387" t="s">
        <v>855</v>
      </c>
      <c r="D387" t="s">
        <v>856</v>
      </c>
      <c r="E387" t="s">
        <v>384</v>
      </c>
      <c r="F387" t="s">
        <v>81</v>
      </c>
      <c r="G387" t="s">
        <v>32</v>
      </c>
      <c r="H387">
        <v>3</v>
      </c>
      <c r="I387" t="b">
        <v>1</v>
      </c>
      <c r="J387" t="s">
        <v>4250</v>
      </c>
      <c r="K387">
        <v>2</v>
      </c>
      <c r="L387" t="s">
        <v>4251</v>
      </c>
      <c r="M387">
        <v>3</v>
      </c>
      <c r="N387">
        <v>3</v>
      </c>
      <c r="O387">
        <v>3033853.31</v>
      </c>
      <c r="P387" t="s">
        <v>4109</v>
      </c>
    </row>
    <row r="388" spans="1:16" x14ac:dyDescent="0.25">
      <c r="A388" t="s">
        <v>1120</v>
      </c>
      <c r="B388" t="s">
        <v>1119</v>
      </c>
      <c r="C388" t="s">
        <v>1120</v>
      </c>
      <c r="D388" t="s">
        <v>1121</v>
      </c>
      <c r="E388" t="s">
        <v>1122</v>
      </c>
      <c r="F388" t="s">
        <v>31</v>
      </c>
      <c r="G388" t="s">
        <v>32</v>
      </c>
      <c r="H388">
        <v>3</v>
      </c>
      <c r="I388" t="b">
        <v>1</v>
      </c>
      <c r="J388" t="s">
        <v>1119</v>
      </c>
      <c r="K388">
        <v>1</v>
      </c>
      <c r="L388" t="s">
        <v>4170</v>
      </c>
      <c r="M388">
        <v>4</v>
      </c>
      <c r="N388">
        <v>4</v>
      </c>
      <c r="O388">
        <v>3031737.14</v>
      </c>
      <c r="P388" t="s">
        <v>4109</v>
      </c>
    </row>
    <row r="389" spans="1:16" x14ac:dyDescent="0.25">
      <c r="A389" t="s">
        <v>1760</v>
      </c>
      <c r="B389" t="s">
        <v>1759</v>
      </c>
      <c r="C389" t="s">
        <v>1760</v>
      </c>
      <c r="D389" t="s">
        <v>1761</v>
      </c>
      <c r="E389" t="s">
        <v>184</v>
      </c>
      <c r="F389" t="s">
        <v>112</v>
      </c>
      <c r="G389" t="s">
        <v>32</v>
      </c>
      <c r="H389">
        <v>3</v>
      </c>
      <c r="I389" t="b">
        <v>1</v>
      </c>
      <c r="J389" t="s">
        <v>4252</v>
      </c>
      <c r="K389">
        <v>2</v>
      </c>
      <c r="L389" t="s">
        <v>4214</v>
      </c>
      <c r="M389">
        <v>3</v>
      </c>
      <c r="N389">
        <v>4</v>
      </c>
      <c r="O389">
        <v>2965766</v>
      </c>
      <c r="P389" t="s">
        <v>4109</v>
      </c>
    </row>
    <row r="390" spans="1:16" x14ac:dyDescent="0.25">
      <c r="A390" t="s">
        <v>1370</v>
      </c>
      <c r="B390" t="s">
        <v>1369</v>
      </c>
      <c r="C390" t="s">
        <v>1370</v>
      </c>
      <c r="D390" t="s">
        <v>1371</v>
      </c>
      <c r="E390" t="s">
        <v>356</v>
      </c>
      <c r="F390" t="s">
        <v>31</v>
      </c>
      <c r="G390" t="s">
        <v>32</v>
      </c>
      <c r="H390">
        <v>3</v>
      </c>
      <c r="I390" t="b">
        <v>1</v>
      </c>
      <c r="J390" t="s">
        <v>1369</v>
      </c>
      <c r="K390">
        <v>1</v>
      </c>
      <c r="L390" t="s">
        <v>4214</v>
      </c>
      <c r="M390">
        <v>3</v>
      </c>
      <c r="N390">
        <v>3</v>
      </c>
      <c r="O390">
        <v>2947111.4</v>
      </c>
      <c r="P390" t="s">
        <v>4109</v>
      </c>
    </row>
    <row r="391" spans="1:16" x14ac:dyDescent="0.25">
      <c r="A391" t="s">
        <v>2108</v>
      </c>
      <c r="B391" t="s">
        <v>2107</v>
      </c>
      <c r="C391" t="s">
        <v>2108</v>
      </c>
      <c r="D391" t="s">
        <v>2109</v>
      </c>
      <c r="E391" t="s">
        <v>2110</v>
      </c>
      <c r="F391" t="s">
        <v>81</v>
      </c>
      <c r="G391" t="s">
        <v>32</v>
      </c>
      <c r="H391">
        <v>3</v>
      </c>
      <c r="I391" t="b">
        <v>1</v>
      </c>
      <c r="J391" t="s">
        <v>2107</v>
      </c>
      <c r="K391">
        <v>1</v>
      </c>
      <c r="L391" t="s">
        <v>1545</v>
      </c>
      <c r="M391">
        <v>1</v>
      </c>
      <c r="N391">
        <v>1</v>
      </c>
      <c r="O391">
        <v>2822496.33</v>
      </c>
      <c r="P391" t="s">
        <v>4109</v>
      </c>
    </row>
    <row r="392" spans="1:16" x14ac:dyDescent="0.25">
      <c r="A392" t="s">
        <v>1646</v>
      </c>
      <c r="B392" t="s">
        <v>1645</v>
      </c>
      <c r="C392" t="s">
        <v>1646</v>
      </c>
      <c r="D392" t="s">
        <v>1647</v>
      </c>
      <c r="E392" t="s">
        <v>214</v>
      </c>
      <c r="F392" t="s">
        <v>44</v>
      </c>
      <c r="G392" t="s">
        <v>32</v>
      </c>
      <c r="H392">
        <v>3</v>
      </c>
      <c r="I392" t="b">
        <v>1</v>
      </c>
      <c r="J392" t="s">
        <v>1645</v>
      </c>
      <c r="K392">
        <v>1</v>
      </c>
      <c r="L392" t="s">
        <v>1545</v>
      </c>
      <c r="M392">
        <v>1</v>
      </c>
      <c r="N392">
        <v>1</v>
      </c>
      <c r="O392">
        <v>2764484.18</v>
      </c>
      <c r="P392" t="s">
        <v>4109</v>
      </c>
    </row>
    <row r="393" spans="1:16" x14ac:dyDescent="0.25">
      <c r="A393" t="s">
        <v>208</v>
      </c>
      <c r="B393" t="s">
        <v>207</v>
      </c>
      <c r="C393" t="s">
        <v>208</v>
      </c>
      <c r="D393" t="s">
        <v>209</v>
      </c>
      <c r="E393" t="s">
        <v>210</v>
      </c>
      <c r="F393" t="s">
        <v>44</v>
      </c>
      <c r="G393" t="s">
        <v>180</v>
      </c>
      <c r="H393">
        <v>3</v>
      </c>
      <c r="I393" t="b">
        <v>1</v>
      </c>
      <c r="J393" t="s">
        <v>207</v>
      </c>
      <c r="K393">
        <v>1</v>
      </c>
      <c r="L393" t="s">
        <v>124</v>
      </c>
      <c r="M393">
        <v>1</v>
      </c>
      <c r="N393">
        <v>1</v>
      </c>
      <c r="O393">
        <v>2567368.4700000002</v>
      </c>
      <c r="P393" t="s">
        <v>4109</v>
      </c>
    </row>
    <row r="394" spans="1:16" x14ac:dyDescent="0.25">
      <c r="A394" t="s">
        <v>322</v>
      </c>
      <c r="B394" t="s">
        <v>321</v>
      </c>
      <c r="C394" t="s">
        <v>322</v>
      </c>
      <c r="D394" t="s">
        <v>323</v>
      </c>
      <c r="E394" t="s">
        <v>324</v>
      </c>
      <c r="F394" t="s">
        <v>44</v>
      </c>
      <c r="G394" t="s">
        <v>317</v>
      </c>
      <c r="H394">
        <v>3</v>
      </c>
      <c r="I394" t="b">
        <v>1</v>
      </c>
      <c r="J394" t="s">
        <v>321</v>
      </c>
      <c r="K394">
        <v>1</v>
      </c>
      <c r="L394" t="s">
        <v>124</v>
      </c>
      <c r="M394">
        <v>1</v>
      </c>
      <c r="N394">
        <v>1</v>
      </c>
      <c r="O394">
        <v>2513193.9300000002</v>
      </c>
      <c r="P394" t="s">
        <v>4109</v>
      </c>
    </row>
    <row r="395" spans="1:16" x14ac:dyDescent="0.25">
      <c r="A395" t="s">
        <v>256</v>
      </c>
      <c r="B395" t="s">
        <v>255</v>
      </c>
      <c r="C395" t="s">
        <v>256</v>
      </c>
      <c r="D395" t="s">
        <v>257</v>
      </c>
      <c r="E395" t="s">
        <v>258</v>
      </c>
      <c r="F395" t="s">
        <v>44</v>
      </c>
      <c r="G395" t="s">
        <v>180</v>
      </c>
      <c r="H395">
        <v>3</v>
      </c>
      <c r="I395" t="b">
        <v>1</v>
      </c>
      <c r="J395" t="s">
        <v>255</v>
      </c>
      <c r="K395">
        <v>1</v>
      </c>
      <c r="L395" t="s">
        <v>124</v>
      </c>
      <c r="M395">
        <v>1</v>
      </c>
      <c r="N395">
        <v>1</v>
      </c>
      <c r="O395">
        <v>2493437.19</v>
      </c>
      <c r="P395" t="s">
        <v>4109</v>
      </c>
    </row>
    <row r="396" spans="1:16" x14ac:dyDescent="0.25">
      <c r="A396" t="s">
        <v>264</v>
      </c>
      <c r="B396" t="s">
        <v>263</v>
      </c>
      <c r="C396" t="s">
        <v>264</v>
      </c>
      <c r="D396" t="s">
        <v>265</v>
      </c>
      <c r="E396" t="s">
        <v>266</v>
      </c>
      <c r="F396" t="s">
        <v>44</v>
      </c>
      <c r="G396" t="s">
        <v>180</v>
      </c>
      <c r="H396">
        <v>3</v>
      </c>
      <c r="I396" t="b">
        <v>1</v>
      </c>
      <c r="J396" t="s">
        <v>263</v>
      </c>
      <c r="K396">
        <v>1</v>
      </c>
      <c r="L396" t="s">
        <v>124</v>
      </c>
      <c r="M396">
        <v>1</v>
      </c>
      <c r="N396">
        <v>1</v>
      </c>
      <c r="O396">
        <v>2481358.56</v>
      </c>
      <c r="P396" t="s">
        <v>4109</v>
      </c>
    </row>
    <row r="397" spans="1:16" x14ac:dyDescent="0.25">
      <c r="A397" t="s">
        <v>235</v>
      </c>
      <c r="B397" t="s">
        <v>234</v>
      </c>
      <c r="C397" t="s">
        <v>235</v>
      </c>
      <c r="D397" t="s">
        <v>236</v>
      </c>
      <c r="E397" t="s">
        <v>230</v>
      </c>
      <c r="F397" t="s">
        <v>44</v>
      </c>
      <c r="G397" t="s">
        <v>180</v>
      </c>
      <c r="H397">
        <v>3</v>
      </c>
      <c r="I397" t="b">
        <v>1</v>
      </c>
      <c r="J397" t="s">
        <v>234</v>
      </c>
      <c r="K397">
        <v>1</v>
      </c>
      <c r="L397" t="s">
        <v>124</v>
      </c>
      <c r="M397">
        <v>1</v>
      </c>
      <c r="N397">
        <v>1</v>
      </c>
      <c r="O397">
        <v>2447792.19</v>
      </c>
      <c r="P397" t="s">
        <v>4109</v>
      </c>
    </row>
    <row r="398" spans="1:16" x14ac:dyDescent="0.25">
      <c r="A398" t="s">
        <v>1650</v>
      </c>
      <c r="B398" t="s">
        <v>1649</v>
      </c>
      <c r="C398" t="s">
        <v>1650</v>
      </c>
      <c r="D398" t="s">
        <v>1651</v>
      </c>
      <c r="E398" t="s">
        <v>218</v>
      </c>
      <c r="F398" t="s">
        <v>50</v>
      </c>
      <c r="G398" t="s">
        <v>32</v>
      </c>
      <c r="H398">
        <v>3</v>
      </c>
      <c r="I398" t="b">
        <v>1</v>
      </c>
      <c r="J398" t="s">
        <v>1649</v>
      </c>
      <c r="K398">
        <v>1</v>
      </c>
      <c r="L398" t="s">
        <v>1545</v>
      </c>
      <c r="M398">
        <v>1</v>
      </c>
      <c r="N398">
        <v>1</v>
      </c>
      <c r="O398">
        <v>2418015.84</v>
      </c>
      <c r="P398" t="s">
        <v>4109</v>
      </c>
    </row>
    <row r="399" spans="1:16" x14ac:dyDescent="0.25">
      <c r="A399" t="s">
        <v>496</v>
      </c>
      <c r="B399" t="s">
        <v>495</v>
      </c>
      <c r="C399" t="s">
        <v>496</v>
      </c>
      <c r="D399" t="s">
        <v>497</v>
      </c>
      <c r="E399" t="s">
        <v>498</v>
      </c>
      <c r="F399" t="s">
        <v>112</v>
      </c>
      <c r="G399" t="s">
        <v>32</v>
      </c>
      <c r="H399">
        <v>3</v>
      </c>
      <c r="I399" t="b">
        <v>1</v>
      </c>
      <c r="J399" t="s">
        <v>495</v>
      </c>
      <c r="K399">
        <v>1</v>
      </c>
      <c r="L399" t="s">
        <v>124</v>
      </c>
      <c r="M399">
        <v>1</v>
      </c>
      <c r="N399">
        <v>1</v>
      </c>
      <c r="O399">
        <v>2412629.3199999998</v>
      </c>
      <c r="P399" t="s">
        <v>4109</v>
      </c>
    </row>
    <row r="400" spans="1:16" x14ac:dyDescent="0.25">
      <c r="A400" t="s">
        <v>198</v>
      </c>
      <c r="B400" t="s">
        <v>197</v>
      </c>
      <c r="C400" t="s">
        <v>198</v>
      </c>
      <c r="D400" t="s">
        <v>199</v>
      </c>
      <c r="E400" t="s">
        <v>200</v>
      </c>
      <c r="F400" t="s">
        <v>202</v>
      </c>
      <c r="G400" t="s">
        <v>180</v>
      </c>
      <c r="H400">
        <v>3</v>
      </c>
      <c r="I400" t="b">
        <v>1</v>
      </c>
      <c r="J400" t="s">
        <v>197</v>
      </c>
      <c r="K400">
        <v>1</v>
      </c>
      <c r="L400" t="s">
        <v>124</v>
      </c>
      <c r="M400">
        <v>1</v>
      </c>
      <c r="N400">
        <v>1</v>
      </c>
      <c r="O400">
        <v>2344126.2799999998</v>
      </c>
      <c r="P400" t="s">
        <v>4109</v>
      </c>
    </row>
    <row r="401" spans="1:16" x14ac:dyDescent="0.25">
      <c r="A401" t="s">
        <v>2179</v>
      </c>
      <c r="B401" t="s">
        <v>2178</v>
      </c>
      <c r="C401" t="s">
        <v>2179</v>
      </c>
      <c r="D401" t="s">
        <v>2180</v>
      </c>
      <c r="E401" t="s">
        <v>2170</v>
      </c>
      <c r="F401" t="s">
        <v>31</v>
      </c>
      <c r="G401" t="s">
        <v>32</v>
      </c>
      <c r="H401">
        <v>3</v>
      </c>
      <c r="I401" t="b">
        <v>1</v>
      </c>
      <c r="J401" t="s">
        <v>2178</v>
      </c>
      <c r="K401">
        <v>1</v>
      </c>
      <c r="L401" t="s">
        <v>1545</v>
      </c>
      <c r="M401">
        <v>1</v>
      </c>
      <c r="N401">
        <v>1</v>
      </c>
      <c r="O401">
        <v>2314805.7799999998</v>
      </c>
      <c r="P401" t="s">
        <v>4109</v>
      </c>
    </row>
    <row r="402" spans="1:16" x14ac:dyDescent="0.25">
      <c r="A402" t="s">
        <v>2191</v>
      </c>
      <c r="B402" t="s">
        <v>2190</v>
      </c>
      <c r="C402" t="s">
        <v>2191</v>
      </c>
      <c r="D402" t="s">
        <v>2192</v>
      </c>
      <c r="E402" t="s">
        <v>2193</v>
      </c>
      <c r="F402" t="s">
        <v>31</v>
      </c>
      <c r="G402" t="s">
        <v>32</v>
      </c>
      <c r="H402">
        <v>3</v>
      </c>
      <c r="I402" t="b">
        <v>1</v>
      </c>
      <c r="J402" t="s">
        <v>2190</v>
      </c>
      <c r="K402">
        <v>1</v>
      </c>
      <c r="L402" t="s">
        <v>1545</v>
      </c>
      <c r="M402">
        <v>1</v>
      </c>
      <c r="N402">
        <v>1</v>
      </c>
      <c r="O402">
        <v>2296469.75</v>
      </c>
      <c r="P402" t="s">
        <v>4109</v>
      </c>
    </row>
    <row r="403" spans="1:16" x14ac:dyDescent="0.25">
      <c r="A403" t="s">
        <v>135</v>
      </c>
      <c r="B403" t="s">
        <v>134</v>
      </c>
      <c r="C403" t="s">
        <v>135</v>
      </c>
      <c r="D403" t="s">
        <v>136</v>
      </c>
      <c r="E403" t="s">
        <v>137</v>
      </c>
      <c r="F403" t="s">
        <v>81</v>
      </c>
      <c r="G403" t="s">
        <v>129</v>
      </c>
      <c r="H403">
        <v>3</v>
      </c>
      <c r="I403" t="b">
        <v>1</v>
      </c>
      <c r="J403" t="s">
        <v>134</v>
      </c>
      <c r="K403">
        <v>1</v>
      </c>
      <c r="L403" t="s">
        <v>124</v>
      </c>
      <c r="M403">
        <v>1</v>
      </c>
      <c r="N403">
        <v>1</v>
      </c>
      <c r="O403">
        <v>2289510.0499999989</v>
      </c>
      <c r="P403" t="s">
        <v>4109</v>
      </c>
    </row>
    <row r="404" spans="1:16" x14ac:dyDescent="0.25">
      <c r="A404" t="s">
        <v>627</v>
      </c>
      <c r="B404" t="s">
        <v>626</v>
      </c>
      <c r="C404" t="s">
        <v>627</v>
      </c>
      <c r="D404" t="s">
        <v>628</v>
      </c>
      <c r="E404" t="s">
        <v>111</v>
      </c>
      <c r="F404" t="s">
        <v>112</v>
      </c>
      <c r="G404" t="s">
        <v>490</v>
      </c>
      <c r="H404">
        <v>3</v>
      </c>
      <c r="I404" t="b">
        <v>1</v>
      </c>
      <c r="J404" t="s">
        <v>626</v>
      </c>
      <c r="K404">
        <v>1</v>
      </c>
      <c r="L404" t="s">
        <v>124</v>
      </c>
      <c r="M404">
        <v>1</v>
      </c>
      <c r="N404">
        <v>1</v>
      </c>
      <c r="O404">
        <v>2231430.52</v>
      </c>
      <c r="P404" t="s">
        <v>4109</v>
      </c>
    </row>
    <row r="405" spans="1:16" x14ac:dyDescent="0.25">
      <c r="A405" t="s">
        <v>618</v>
      </c>
      <c r="B405" t="s">
        <v>617</v>
      </c>
      <c r="C405" t="s">
        <v>618</v>
      </c>
      <c r="D405" t="s">
        <v>619</v>
      </c>
      <c r="E405" t="s">
        <v>111</v>
      </c>
      <c r="F405" t="s">
        <v>112</v>
      </c>
      <c r="G405" t="s">
        <v>490</v>
      </c>
      <c r="H405">
        <v>3</v>
      </c>
      <c r="I405" t="b">
        <v>1</v>
      </c>
      <c r="J405" t="s">
        <v>617</v>
      </c>
      <c r="K405">
        <v>1</v>
      </c>
      <c r="L405" t="s">
        <v>124</v>
      </c>
      <c r="M405">
        <v>1</v>
      </c>
      <c r="N405">
        <v>1</v>
      </c>
      <c r="O405">
        <v>2195254.12</v>
      </c>
      <c r="P405" t="s">
        <v>4109</v>
      </c>
    </row>
    <row r="406" spans="1:16" x14ac:dyDescent="0.25">
      <c r="A406" t="s">
        <v>302</v>
      </c>
      <c r="B406" t="s">
        <v>301</v>
      </c>
      <c r="C406" t="s">
        <v>302</v>
      </c>
      <c r="D406" t="s">
        <v>303</v>
      </c>
      <c r="E406" t="s">
        <v>304</v>
      </c>
      <c r="F406" t="s">
        <v>44</v>
      </c>
      <c r="G406" t="s">
        <v>180</v>
      </c>
      <c r="H406">
        <v>3</v>
      </c>
      <c r="I406" t="b">
        <v>1</v>
      </c>
      <c r="J406" t="s">
        <v>301</v>
      </c>
      <c r="K406">
        <v>1</v>
      </c>
      <c r="L406" t="s">
        <v>124</v>
      </c>
      <c r="M406">
        <v>1</v>
      </c>
      <c r="N406">
        <v>1</v>
      </c>
      <c r="O406">
        <v>2189424.4900000002</v>
      </c>
      <c r="P406" t="s">
        <v>4109</v>
      </c>
    </row>
    <row r="407" spans="1:16" x14ac:dyDescent="0.25">
      <c r="A407" t="s">
        <v>2404</v>
      </c>
      <c r="B407" t="s">
        <v>2403</v>
      </c>
      <c r="C407" t="s">
        <v>2404</v>
      </c>
      <c r="D407" t="s">
        <v>2405</v>
      </c>
      <c r="E407" t="s">
        <v>2406</v>
      </c>
      <c r="F407" t="s">
        <v>31</v>
      </c>
      <c r="G407" t="s">
        <v>358</v>
      </c>
      <c r="H407">
        <v>3</v>
      </c>
      <c r="I407" t="b">
        <v>1</v>
      </c>
      <c r="J407" t="s">
        <v>2403</v>
      </c>
      <c r="K407">
        <v>1</v>
      </c>
      <c r="L407" t="s">
        <v>124</v>
      </c>
      <c r="M407">
        <v>1</v>
      </c>
      <c r="N407">
        <v>1</v>
      </c>
      <c r="O407">
        <v>2179421.2400000002</v>
      </c>
      <c r="P407" t="s">
        <v>4109</v>
      </c>
    </row>
    <row r="408" spans="1:16" x14ac:dyDescent="0.25">
      <c r="A408" t="s">
        <v>2227</v>
      </c>
      <c r="B408" t="s">
        <v>2226</v>
      </c>
      <c r="C408" t="s">
        <v>2227</v>
      </c>
      <c r="D408" t="s">
        <v>2228</v>
      </c>
      <c r="E408" t="s">
        <v>356</v>
      </c>
      <c r="F408" t="s">
        <v>31</v>
      </c>
      <c r="G408" t="s">
        <v>32</v>
      </c>
      <c r="H408">
        <v>3</v>
      </c>
      <c r="I408" t="b">
        <v>1</v>
      </c>
      <c r="J408" t="s">
        <v>2226</v>
      </c>
      <c r="K408">
        <v>1</v>
      </c>
      <c r="L408" t="s">
        <v>2200</v>
      </c>
      <c r="M408">
        <v>1</v>
      </c>
      <c r="N408">
        <v>1</v>
      </c>
      <c r="O408">
        <v>2146417.36</v>
      </c>
      <c r="P408" t="s">
        <v>4109</v>
      </c>
    </row>
    <row r="409" spans="1:16" x14ac:dyDescent="0.25">
      <c r="A409" t="s">
        <v>1864</v>
      </c>
      <c r="B409" t="s">
        <v>1863</v>
      </c>
      <c r="C409" t="s">
        <v>1864</v>
      </c>
      <c r="D409" t="s">
        <v>1865</v>
      </c>
      <c r="E409" t="s">
        <v>1866</v>
      </c>
      <c r="F409" t="s">
        <v>31</v>
      </c>
      <c r="G409" t="s">
        <v>32</v>
      </c>
      <c r="H409">
        <v>3</v>
      </c>
      <c r="I409" t="b">
        <v>1</v>
      </c>
      <c r="J409" t="s">
        <v>1863</v>
      </c>
      <c r="K409">
        <v>1</v>
      </c>
      <c r="L409" t="s">
        <v>1545</v>
      </c>
      <c r="M409">
        <v>1</v>
      </c>
      <c r="N409">
        <v>1</v>
      </c>
      <c r="O409">
        <v>2130368.15</v>
      </c>
      <c r="P409" t="s">
        <v>4109</v>
      </c>
    </row>
    <row r="410" spans="1:16" x14ac:dyDescent="0.25">
      <c r="A410" t="s">
        <v>2147</v>
      </c>
      <c r="B410" t="s">
        <v>2146</v>
      </c>
      <c r="C410" t="s">
        <v>2147</v>
      </c>
      <c r="D410" t="s">
        <v>2148</v>
      </c>
      <c r="E410" t="s">
        <v>2050</v>
      </c>
      <c r="F410" t="s">
        <v>50</v>
      </c>
      <c r="G410" t="s">
        <v>32</v>
      </c>
      <c r="H410">
        <v>3</v>
      </c>
      <c r="I410" t="b">
        <v>1</v>
      </c>
      <c r="J410" t="s">
        <v>2146</v>
      </c>
      <c r="K410">
        <v>1</v>
      </c>
      <c r="L410" t="s">
        <v>1545</v>
      </c>
      <c r="M410">
        <v>1</v>
      </c>
      <c r="N410">
        <v>1</v>
      </c>
      <c r="O410">
        <v>2126058.2200000002</v>
      </c>
      <c r="P410" t="s">
        <v>4109</v>
      </c>
    </row>
    <row r="411" spans="1:16" x14ac:dyDescent="0.25">
      <c r="A411" t="s">
        <v>350</v>
      </c>
      <c r="B411" t="s">
        <v>349</v>
      </c>
      <c r="C411" t="s">
        <v>350</v>
      </c>
      <c r="D411" t="s">
        <v>351</v>
      </c>
      <c r="E411" t="s">
        <v>352</v>
      </c>
      <c r="F411" t="s">
        <v>61</v>
      </c>
      <c r="G411" t="s">
        <v>331</v>
      </c>
      <c r="H411">
        <v>3</v>
      </c>
      <c r="I411" t="b">
        <v>1</v>
      </c>
      <c r="J411" t="s">
        <v>349</v>
      </c>
      <c r="K411">
        <v>1</v>
      </c>
      <c r="L411" t="s">
        <v>124</v>
      </c>
      <c r="M411">
        <v>1</v>
      </c>
      <c r="N411">
        <v>1</v>
      </c>
      <c r="O411">
        <v>2101034.7200000002</v>
      </c>
      <c r="P411" t="s">
        <v>4109</v>
      </c>
    </row>
    <row r="412" spans="1:16" x14ac:dyDescent="0.25">
      <c r="A412" t="s">
        <v>298</v>
      </c>
      <c r="B412" t="s">
        <v>297</v>
      </c>
      <c r="C412" t="s">
        <v>298</v>
      </c>
      <c r="D412" t="s">
        <v>299</v>
      </c>
      <c r="E412" t="s">
        <v>300</v>
      </c>
      <c r="F412" t="s">
        <v>44</v>
      </c>
      <c r="G412" t="s">
        <v>180</v>
      </c>
      <c r="H412">
        <v>3</v>
      </c>
      <c r="I412" t="b">
        <v>1</v>
      </c>
      <c r="J412" t="s">
        <v>297</v>
      </c>
      <c r="K412">
        <v>1</v>
      </c>
      <c r="L412" t="s">
        <v>124</v>
      </c>
      <c r="M412">
        <v>1</v>
      </c>
      <c r="N412">
        <v>1</v>
      </c>
      <c r="O412">
        <v>2084537.04</v>
      </c>
      <c r="P412" t="s">
        <v>4109</v>
      </c>
    </row>
    <row r="413" spans="1:16" x14ac:dyDescent="0.25">
      <c r="A413" t="s">
        <v>366</v>
      </c>
      <c r="B413" t="s">
        <v>365</v>
      </c>
      <c r="C413" t="s">
        <v>366</v>
      </c>
      <c r="D413" t="s">
        <v>367</v>
      </c>
      <c r="E413" t="s">
        <v>368</v>
      </c>
      <c r="F413" t="s">
        <v>61</v>
      </c>
      <c r="G413" t="s">
        <v>32</v>
      </c>
      <c r="H413">
        <v>3</v>
      </c>
      <c r="I413" t="b">
        <v>1</v>
      </c>
      <c r="J413" t="s">
        <v>365</v>
      </c>
      <c r="K413">
        <v>1</v>
      </c>
      <c r="L413" t="s">
        <v>124</v>
      </c>
      <c r="M413">
        <v>1</v>
      </c>
      <c r="N413">
        <v>1</v>
      </c>
      <c r="O413">
        <v>2063241.6</v>
      </c>
      <c r="P413" t="s">
        <v>4109</v>
      </c>
    </row>
    <row r="414" spans="1:16" x14ac:dyDescent="0.25">
      <c r="A414" t="s">
        <v>566</v>
      </c>
      <c r="B414" t="s">
        <v>565</v>
      </c>
      <c r="C414" t="s">
        <v>566</v>
      </c>
      <c r="D414" t="s">
        <v>567</v>
      </c>
      <c r="E414" t="s">
        <v>568</v>
      </c>
      <c r="F414" t="s">
        <v>61</v>
      </c>
      <c r="G414" t="s">
        <v>32</v>
      </c>
      <c r="H414">
        <v>3</v>
      </c>
      <c r="I414" t="b">
        <v>1</v>
      </c>
      <c r="J414" t="s">
        <v>565</v>
      </c>
      <c r="K414">
        <v>1</v>
      </c>
      <c r="L414" t="s">
        <v>124</v>
      </c>
      <c r="M414">
        <v>1</v>
      </c>
      <c r="N414">
        <v>1</v>
      </c>
      <c r="O414">
        <v>2043080.19</v>
      </c>
      <c r="P414" t="s">
        <v>4109</v>
      </c>
    </row>
    <row r="415" spans="1:16" x14ac:dyDescent="0.25">
      <c r="A415" t="s">
        <v>2426</v>
      </c>
      <c r="B415" t="s">
        <v>2425</v>
      </c>
      <c r="C415" t="s">
        <v>2426</v>
      </c>
      <c r="D415" t="s">
        <v>2427</v>
      </c>
      <c r="E415" t="s">
        <v>2428</v>
      </c>
      <c r="F415" t="s">
        <v>31</v>
      </c>
      <c r="G415" t="s">
        <v>358</v>
      </c>
      <c r="H415">
        <v>3</v>
      </c>
      <c r="I415" t="b">
        <v>1</v>
      </c>
      <c r="J415" t="s">
        <v>2425</v>
      </c>
      <c r="K415">
        <v>1</v>
      </c>
      <c r="L415" t="s">
        <v>124</v>
      </c>
      <c r="M415">
        <v>1</v>
      </c>
      <c r="N415">
        <v>1</v>
      </c>
      <c r="O415">
        <v>2011872.44</v>
      </c>
      <c r="P415" t="s">
        <v>4109</v>
      </c>
    </row>
    <row r="416" spans="1:16" x14ac:dyDescent="0.25">
      <c r="A416" t="s">
        <v>2397</v>
      </c>
      <c r="B416" t="s">
        <v>2396</v>
      </c>
      <c r="C416" t="s">
        <v>2397</v>
      </c>
      <c r="D416" t="s">
        <v>2398</v>
      </c>
      <c r="E416" t="s">
        <v>2399</v>
      </c>
      <c r="F416" t="s">
        <v>31</v>
      </c>
      <c r="G416" t="s">
        <v>358</v>
      </c>
      <c r="H416">
        <v>3</v>
      </c>
      <c r="I416" t="b">
        <v>1</v>
      </c>
      <c r="J416" t="s">
        <v>2396</v>
      </c>
      <c r="K416">
        <v>1</v>
      </c>
      <c r="L416" t="s">
        <v>124</v>
      </c>
      <c r="M416">
        <v>1</v>
      </c>
      <c r="N416">
        <v>1</v>
      </c>
      <c r="O416">
        <v>1996133.88</v>
      </c>
      <c r="P416" t="s">
        <v>4109</v>
      </c>
    </row>
    <row r="417" spans="1:16" x14ac:dyDescent="0.25">
      <c r="A417" t="s">
        <v>1777</v>
      </c>
      <c r="B417" t="s">
        <v>1776</v>
      </c>
      <c r="C417" t="s">
        <v>1777</v>
      </c>
      <c r="D417" t="s">
        <v>1778</v>
      </c>
      <c r="E417" t="s">
        <v>1779</v>
      </c>
      <c r="F417" t="s">
        <v>112</v>
      </c>
      <c r="G417" t="s">
        <v>32</v>
      </c>
      <c r="H417">
        <v>3</v>
      </c>
      <c r="I417" t="b">
        <v>1</v>
      </c>
      <c r="J417" t="s">
        <v>1776</v>
      </c>
      <c r="K417">
        <v>1</v>
      </c>
      <c r="L417" t="s">
        <v>4214</v>
      </c>
      <c r="M417">
        <v>3</v>
      </c>
      <c r="N417">
        <v>3</v>
      </c>
      <c r="O417">
        <v>1966370.63</v>
      </c>
      <c r="P417" t="s">
        <v>4109</v>
      </c>
    </row>
    <row r="418" spans="1:16" x14ac:dyDescent="0.25">
      <c r="A418" t="s">
        <v>2325</v>
      </c>
      <c r="B418" t="s">
        <v>2324</v>
      </c>
      <c r="C418" t="s">
        <v>2325</v>
      </c>
      <c r="D418" t="s">
        <v>2326</v>
      </c>
      <c r="E418" t="s">
        <v>1168</v>
      </c>
      <c r="F418" t="s">
        <v>31</v>
      </c>
      <c r="G418" t="s">
        <v>32</v>
      </c>
      <c r="H418">
        <v>3</v>
      </c>
      <c r="I418" t="b">
        <v>1</v>
      </c>
      <c r="J418" t="s">
        <v>2324</v>
      </c>
      <c r="K418">
        <v>1</v>
      </c>
      <c r="L418" t="s">
        <v>2242</v>
      </c>
      <c r="M418">
        <v>1</v>
      </c>
      <c r="N418">
        <v>1</v>
      </c>
      <c r="O418">
        <v>1952497.6</v>
      </c>
      <c r="P418" t="s">
        <v>4109</v>
      </c>
    </row>
    <row r="419" spans="1:16" x14ac:dyDescent="0.25">
      <c r="A419" t="s">
        <v>1469</v>
      </c>
      <c r="B419" t="s">
        <v>1468</v>
      </c>
      <c r="C419" t="s">
        <v>1469</v>
      </c>
      <c r="D419" t="s">
        <v>1470</v>
      </c>
      <c r="E419" t="s">
        <v>1471</v>
      </c>
      <c r="F419" t="s">
        <v>31</v>
      </c>
      <c r="G419" t="s">
        <v>32</v>
      </c>
      <c r="H419">
        <v>3</v>
      </c>
      <c r="I419" t="b">
        <v>1</v>
      </c>
      <c r="J419" t="s">
        <v>1468</v>
      </c>
      <c r="K419">
        <v>1</v>
      </c>
      <c r="L419" t="s">
        <v>4173</v>
      </c>
      <c r="M419">
        <v>2</v>
      </c>
      <c r="N419">
        <v>2</v>
      </c>
      <c r="O419">
        <v>1950642.35</v>
      </c>
      <c r="P419" t="s">
        <v>4109</v>
      </c>
    </row>
    <row r="420" spans="1:16" x14ac:dyDescent="0.25">
      <c r="A420" t="s">
        <v>2099</v>
      </c>
      <c r="B420" t="s">
        <v>2098</v>
      </c>
      <c r="C420" t="s">
        <v>2099</v>
      </c>
      <c r="D420" t="s">
        <v>2100</v>
      </c>
      <c r="E420" t="s">
        <v>2101</v>
      </c>
      <c r="F420" t="s">
        <v>31</v>
      </c>
      <c r="G420" t="s">
        <v>32</v>
      </c>
      <c r="H420">
        <v>3</v>
      </c>
      <c r="I420" t="b">
        <v>1</v>
      </c>
      <c r="J420" t="s">
        <v>2098</v>
      </c>
      <c r="K420">
        <v>1</v>
      </c>
      <c r="L420" t="s">
        <v>1545</v>
      </c>
      <c r="M420">
        <v>1</v>
      </c>
      <c r="N420">
        <v>1</v>
      </c>
      <c r="O420">
        <v>1876376.4</v>
      </c>
      <c r="P420" t="s">
        <v>4109</v>
      </c>
    </row>
    <row r="421" spans="1:16" x14ac:dyDescent="0.25">
      <c r="A421" t="s">
        <v>719</v>
      </c>
      <c r="B421" t="s">
        <v>718</v>
      </c>
      <c r="C421" t="s">
        <v>719</v>
      </c>
      <c r="D421" t="s">
        <v>720</v>
      </c>
      <c r="E421" t="s">
        <v>716</v>
      </c>
      <c r="F421" t="s">
        <v>61</v>
      </c>
      <c r="G421" t="s">
        <v>331</v>
      </c>
      <c r="H421">
        <v>3</v>
      </c>
      <c r="I421" t="b">
        <v>1</v>
      </c>
      <c r="J421" t="s">
        <v>718</v>
      </c>
      <c r="K421">
        <v>1</v>
      </c>
      <c r="L421" t="s">
        <v>124</v>
      </c>
      <c r="M421">
        <v>1</v>
      </c>
      <c r="N421">
        <v>1</v>
      </c>
      <c r="O421">
        <v>1874791.29</v>
      </c>
      <c r="P421" t="s">
        <v>4109</v>
      </c>
    </row>
    <row r="422" spans="1:16" x14ac:dyDescent="0.25">
      <c r="A422" t="s">
        <v>668</v>
      </c>
      <c r="B422" t="s">
        <v>667</v>
      </c>
      <c r="C422" t="s">
        <v>668</v>
      </c>
      <c r="D422" t="s">
        <v>669</v>
      </c>
      <c r="E422" t="s">
        <v>666</v>
      </c>
      <c r="F422" t="s">
        <v>81</v>
      </c>
      <c r="G422" t="s">
        <v>129</v>
      </c>
      <c r="H422">
        <v>3</v>
      </c>
      <c r="I422" t="b">
        <v>1</v>
      </c>
      <c r="J422" t="s">
        <v>667</v>
      </c>
      <c r="K422">
        <v>1</v>
      </c>
      <c r="L422" t="s">
        <v>124</v>
      </c>
      <c r="M422">
        <v>1</v>
      </c>
      <c r="N422">
        <v>1</v>
      </c>
      <c r="O422">
        <v>1870467.57</v>
      </c>
      <c r="P422" t="s">
        <v>4109</v>
      </c>
    </row>
    <row r="423" spans="1:16" x14ac:dyDescent="0.25">
      <c r="A423" t="s">
        <v>1231</v>
      </c>
      <c r="B423" t="s">
        <v>1230</v>
      </c>
      <c r="C423" t="s">
        <v>1231</v>
      </c>
      <c r="D423" t="s">
        <v>1232</v>
      </c>
      <c r="E423" t="s">
        <v>1233</v>
      </c>
      <c r="F423" t="s">
        <v>31</v>
      </c>
      <c r="G423" t="s">
        <v>32</v>
      </c>
      <c r="H423">
        <v>3</v>
      </c>
      <c r="I423" t="b">
        <v>1</v>
      </c>
      <c r="J423" t="s">
        <v>1230</v>
      </c>
      <c r="K423">
        <v>1</v>
      </c>
      <c r="L423" t="s">
        <v>4170</v>
      </c>
      <c r="M423">
        <v>4</v>
      </c>
      <c r="N423">
        <v>4</v>
      </c>
      <c r="O423">
        <v>1859129.7</v>
      </c>
      <c r="P423" t="s">
        <v>4109</v>
      </c>
    </row>
    <row r="424" spans="1:16" x14ac:dyDescent="0.25">
      <c r="A424" t="s">
        <v>2143</v>
      </c>
      <c r="B424" t="s">
        <v>2142</v>
      </c>
      <c r="C424" t="s">
        <v>2143</v>
      </c>
      <c r="D424" t="s">
        <v>2144</v>
      </c>
      <c r="E424" t="s">
        <v>2050</v>
      </c>
      <c r="F424" t="s">
        <v>50</v>
      </c>
      <c r="G424" t="s">
        <v>32</v>
      </c>
      <c r="H424">
        <v>3</v>
      </c>
      <c r="I424" t="b">
        <v>1</v>
      </c>
      <c r="J424" t="s">
        <v>2142</v>
      </c>
      <c r="K424">
        <v>1</v>
      </c>
      <c r="L424" t="s">
        <v>1545</v>
      </c>
      <c r="M424">
        <v>1</v>
      </c>
      <c r="N424">
        <v>1</v>
      </c>
      <c r="O424">
        <v>1813570</v>
      </c>
      <c r="P424" t="s">
        <v>4109</v>
      </c>
    </row>
    <row r="425" spans="1:16" x14ac:dyDescent="0.25">
      <c r="A425" t="s">
        <v>2135</v>
      </c>
      <c r="B425" t="s">
        <v>2134</v>
      </c>
      <c r="C425" t="s">
        <v>2135</v>
      </c>
      <c r="D425" t="s">
        <v>2136</v>
      </c>
      <c r="E425" t="s">
        <v>2050</v>
      </c>
      <c r="F425" t="s">
        <v>50</v>
      </c>
      <c r="G425" t="s">
        <v>32</v>
      </c>
      <c r="H425">
        <v>3</v>
      </c>
      <c r="I425" t="b">
        <v>1</v>
      </c>
      <c r="J425" t="s">
        <v>2134</v>
      </c>
      <c r="K425">
        <v>1</v>
      </c>
      <c r="L425" t="s">
        <v>1545</v>
      </c>
      <c r="M425">
        <v>1</v>
      </c>
      <c r="N425">
        <v>1</v>
      </c>
      <c r="O425">
        <v>1804929.78</v>
      </c>
      <c r="P425" t="s">
        <v>4109</v>
      </c>
    </row>
    <row r="426" spans="1:16" x14ac:dyDescent="0.25">
      <c r="A426" t="s">
        <v>1980</v>
      </c>
      <c r="B426" t="s">
        <v>1979</v>
      </c>
      <c r="C426" t="s">
        <v>1980</v>
      </c>
      <c r="D426" t="s">
        <v>1981</v>
      </c>
      <c r="E426" t="s">
        <v>1982</v>
      </c>
      <c r="F426" t="s">
        <v>44</v>
      </c>
      <c r="G426" t="s">
        <v>32</v>
      </c>
      <c r="H426">
        <v>3</v>
      </c>
      <c r="I426" t="b">
        <v>1</v>
      </c>
      <c r="J426" t="s">
        <v>1979</v>
      </c>
      <c r="K426">
        <v>1</v>
      </c>
      <c r="L426" t="s">
        <v>1545</v>
      </c>
      <c r="M426">
        <v>1</v>
      </c>
      <c r="N426">
        <v>1</v>
      </c>
      <c r="O426">
        <v>1792575.34</v>
      </c>
      <c r="P426" t="s">
        <v>4109</v>
      </c>
    </row>
    <row r="427" spans="1:16" x14ac:dyDescent="0.25">
      <c r="A427" t="s">
        <v>306</v>
      </c>
      <c r="B427" t="s">
        <v>305</v>
      </c>
      <c r="C427" t="s">
        <v>306</v>
      </c>
      <c r="D427" t="s">
        <v>307</v>
      </c>
      <c r="E427" t="s">
        <v>308</v>
      </c>
      <c r="F427" t="s">
        <v>44</v>
      </c>
      <c r="G427" t="s">
        <v>180</v>
      </c>
      <c r="H427">
        <v>3</v>
      </c>
      <c r="I427" t="b">
        <v>1</v>
      </c>
      <c r="J427" t="s">
        <v>305</v>
      </c>
      <c r="K427">
        <v>1</v>
      </c>
      <c r="L427" t="s">
        <v>124</v>
      </c>
      <c r="M427">
        <v>1</v>
      </c>
      <c r="N427">
        <v>1</v>
      </c>
      <c r="O427">
        <v>1741637.85</v>
      </c>
      <c r="P427" t="s">
        <v>4109</v>
      </c>
    </row>
    <row r="428" spans="1:16" x14ac:dyDescent="0.25">
      <c r="A428" t="s">
        <v>640</v>
      </c>
      <c r="B428" t="s">
        <v>639</v>
      </c>
      <c r="C428" t="s">
        <v>640</v>
      </c>
      <c r="D428" t="s">
        <v>641</v>
      </c>
      <c r="E428" t="s">
        <v>638</v>
      </c>
      <c r="F428" t="s">
        <v>31</v>
      </c>
      <c r="G428" t="s">
        <v>358</v>
      </c>
      <c r="H428">
        <v>3</v>
      </c>
      <c r="I428" t="b">
        <v>1</v>
      </c>
      <c r="J428" t="s">
        <v>639</v>
      </c>
      <c r="K428">
        <v>1</v>
      </c>
      <c r="L428" t="s">
        <v>124</v>
      </c>
      <c r="M428">
        <v>1</v>
      </c>
      <c r="N428">
        <v>1</v>
      </c>
      <c r="O428">
        <v>1657321.29</v>
      </c>
      <c r="P428" t="s">
        <v>4109</v>
      </c>
    </row>
    <row r="429" spans="1:16" x14ac:dyDescent="0.25">
      <c r="A429" t="s">
        <v>1975</v>
      </c>
      <c r="B429" t="s">
        <v>1974</v>
      </c>
      <c r="C429" t="s">
        <v>1975</v>
      </c>
      <c r="D429" t="s">
        <v>1976</v>
      </c>
      <c r="E429" t="s">
        <v>1977</v>
      </c>
      <c r="F429" t="s">
        <v>31</v>
      </c>
      <c r="G429" t="s">
        <v>32</v>
      </c>
      <c r="H429">
        <v>3</v>
      </c>
      <c r="I429" t="b">
        <v>1</v>
      </c>
      <c r="J429" t="s">
        <v>1974</v>
      </c>
      <c r="K429">
        <v>1</v>
      </c>
      <c r="L429" t="s">
        <v>1545</v>
      </c>
      <c r="M429">
        <v>1</v>
      </c>
      <c r="N429">
        <v>1</v>
      </c>
      <c r="O429">
        <v>1636268.68</v>
      </c>
      <c r="P429" t="s">
        <v>4109</v>
      </c>
    </row>
    <row r="430" spans="1:16" x14ac:dyDescent="0.25">
      <c r="A430" t="s">
        <v>793</v>
      </c>
      <c r="B430" t="s">
        <v>792</v>
      </c>
      <c r="C430" t="s">
        <v>793</v>
      </c>
      <c r="D430" t="s">
        <v>794</v>
      </c>
      <c r="E430" t="s">
        <v>791</v>
      </c>
      <c r="F430" t="s">
        <v>39</v>
      </c>
      <c r="G430" t="s">
        <v>610</v>
      </c>
      <c r="H430">
        <v>3</v>
      </c>
      <c r="I430" t="b">
        <v>1</v>
      </c>
      <c r="J430" t="s">
        <v>792</v>
      </c>
      <c r="K430">
        <v>1</v>
      </c>
      <c r="L430" t="s">
        <v>124</v>
      </c>
      <c r="M430">
        <v>1</v>
      </c>
      <c r="N430">
        <v>1</v>
      </c>
      <c r="O430">
        <v>1548678.34</v>
      </c>
      <c r="P430" t="s">
        <v>4109</v>
      </c>
    </row>
    <row r="431" spans="1:16" x14ac:dyDescent="0.25">
      <c r="A431" t="s">
        <v>1637</v>
      </c>
      <c r="B431" t="s">
        <v>1636</v>
      </c>
      <c r="C431" t="s">
        <v>1637</v>
      </c>
      <c r="D431" t="s">
        <v>1638</v>
      </c>
      <c r="E431" t="s">
        <v>1639</v>
      </c>
      <c r="F431" t="s">
        <v>50</v>
      </c>
      <c r="G431" t="s">
        <v>32</v>
      </c>
      <c r="H431">
        <v>3</v>
      </c>
      <c r="I431" t="b">
        <v>1</v>
      </c>
      <c r="J431" t="s">
        <v>1636</v>
      </c>
      <c r="K431">
        <v>1</v>
      </c>
      <c r="L431" t="s">
        <v>1545</v>
      </c>
      <c r="M431">
        <v>1</v>
      </c>
      <c r="N431">
        <v>1</v>
      </c>
      <c r="O431">
        <v>1543156.83</v>
      </c>
      <c r="P431" t="s">
        <v>4109</v>
      </c>
    </row>
    <row r="432" spans="1:16" x14ac:dyDescent="0.25">
      <c r="A432" t="s">
        <v>2126</v>
      </c>
      <c r="B432" t="s">
        <v>2125</v>
      </c>
      <c r="C432" t="s">
        <v>2126</v>
      </c>
      <c r="D432" t="s">
        <v>2127</v>
      </c>
      <c r="E432" t="s">
        <v>2123</v>
      </c>
      <c r="F432" t="s">
        <v>44</v>
      </c>
      <c r="G432" t="s">
        <v>32</v>
      </c>
      <c r="H432">
        <v>3</v>
      </c>
      <c r="I432" t="b">
        <v>1</v>
      </c>
      <c r="J432" t="s">
        <v>2125</v>
      </c>
      <c r="K432">
        <v>1</v>
      </c>
      <c r="L432" t="s">
        <v>1545</v>
      </c>
      <c r="M432">
        <v>1</v>
      </c>
      <c r="N432">
        <v>1</v>
      </c>
      <c r="O432">
        <v>1543000</v>
      </c>
      <c r="P432" t="s">
        <v>4109</v>
      </c>
    </row>
    <row r="433" spans="1:16" x14ac:dyDescent="0.25">
      <c r="A433" t="s">
        <v>1585</v>
      </c>
      <c r="B433" t="s">
        <v>1584</v>
      </c>
      <c r="C433" t="s">
        <v>1585</v>
      </c>
      <c r="D433" t="s">
        <v>1586</v>
      </c>
      <c r="E433" t="s">
        <v>335</v>
      </c>
      <c r="F433" t="s">
        <v>61</v>
      </c>
      <c r="G433" t="s">
        <v>32</v>
      </c>
      <c r="H433">
        <v>3</v>
      </c>
      <c r="I433" t="b">
        <v>1</v>
      </c>
      <c r="J433" t="s">
        <v>1584</v>
      </c>
      <c r="K433">
        <v>1</v>
      </c>
      <c r="L433" t="s">
        <v>1545</v>
      </c>
      <c r="M433">
        <v>1</v>
      </c>
      <c r="N433">
        <v>1</v>
      </c>
      <c r="O433">
        <v>1504322.15</v>
      </c>
      <c r="P433" t="s">
        <v>4109</v>
      </c>
    </row>
    <row r="434" spans="1:16" x14ac:dyDescent="0.25">
      <c r="A434" t="s">
        <v>1632</v>
      </c>
      <c r="B434" t="s">
        <v>1631</v>
      </c>
      <c r="C434" t="s">
        <v>1632</v>
      </c>
      <c r="D434" t="s">
        <v>1633</v>
      </c>
      <c r="E434" t="s">
        <v>1634</v>
      </c>
      <c r="F434" t="s">
        <v>50</v>
      </c>
      <c r="G434" t="s">
        <v>32</v>
      </c>
      <c r="H434">
        <v>3</v>
      </c>
      <c r="I434" t="b">
        <v>1</v>
      </c>
      <c r="J434" t="s">
        <v>1631</v>
      </c>
      <c r="K434">
        <v>1</v>
      </c>
      <c r="L434" t="s">
        <v>1545</v>
      </c>
      <c r="M434">
        <v>1</v>
      </c>
      <c r="N434">
        <v>1</v>
      </c>
      <c r="O434">
        <v>1495978.47</v>
      </c>
      <c r="P434" t="s">
        <v>4109</v>
      </c>
    </row>
    <row r="435" spans="1:16" x14ac:dyDescent="0.25">
      <c r="A435" t="s">
        <v>314</v>
      </c>
      <c r="B435" t="s">
        <v>313</v>
      </c>
      <c r="C435" t="s">
        <v>314</v>
      </c>
      <c r="D435" t="s">
        <v>315</v>
      </c>
      <c r="E435" t="s">
        <v>316</v>
      </c>
      <c r="F435" t="s">
        <v>44</v>
      </c>
      <c r="G435" t="s">
        <v>317</v>
      </c>
      <c r="H435">
        <v>3</v>
      </c>
      <c r="I435" t="b">
        <v>1</v>
      </c>
      <c r="J435" t="s">
        <v>313</v>
      </c>
      <c r="K435">
        <v>1</v>
      </c>
      <c r="L435" t="s">
        <v>124</v>
      </c>
      <c r="M435">
        <v>1</v>
      </c>
      <c r="N435">
        <v>1</v>
      </c>
      <c r="O435">
        <v>1493833.71</v>
      </c>
      <c r="P435" t="s">
        <v>4109</v>
      </c>
    </row>
    <row r="436" spans="1:16" x14ac:dyDescent="0.25">
      <c r="A436" t="s">
        <v>1730</v>
      </c>
      <c r="B436" t="s">
        <v>1729</v>
      </c>
      <c r="C436" t="s">
        <v>1730</v>
      </c>
      <c r="D436" t="s">
        <v>1731</v>
      </c>
      <c r="E436" t="s">
        <v>1732</v>
      </c>
      <c r="F436" t="s">
        <v>112</v>
      </c>
      <c r="G436" t="s">
        <v>32</v>
      </c>
      <c r="H436">
        <v>3</v>
      </c>
      <c r="I436" t="b">
        <v>1</v>
      </c>
      <c r="J436" t="s">
        <v>1729</v>
      </c>
      <c r="K436">
        <v>1</v>
      </c>
      <c r="L436" t="s">
        <v>4173</v>
      </c>
      <c r="M436">
        <v>2</v>
      </c>
      <c r="N436">
        <v>2</v>
      </c>
      <c r="O436">
        <v>1476143.5</v>
      </c>
      <c r="P436" t="s">
        <v>4109</v>
      </c>
    </row>
    <row r="437" spans="1:16" x14ac:dyDescent="0.25">
      <c r="A437" t="s">
        <v>2121</v>
      </c>
      <c r="B437" t="s">
        <v>2120</v>
      </c>
      <c r="C437" t="s">
        <v>2121</v>
      </c>
      <c r="D437" t="s">
        <v>2122</v>
      </c>
      <c r="E437" t="s">
        <v>2123</v>
      </c>
      <c r="F437" t="s">
        <v>44</v>
      </c>
      <c r="G437" t="s">
        <v>32</v>
      </c>
      <c r="H437">
        <v>3</v>
      </c>
      <c r="I437" t="b">
        <v>1</v>
      </c>
      <c r="J437" t="s">
        <v>2120</v>
      </c>
      <c r="K437">
        <v>1</v>
      </c>
      <c r="L437" t="s">
        <v>1545</v>
      </c>
      <c r="M437">
        <v>1</v>
      </c>
      <c r="N437">
        <v>1</v>
      </c>
      <c r="O437">
        <v>1473377.25</v>
      </c>
      <c r="P437" t="s">
        <v>4109</v>
      </c>
    </row>
    <row r="438" spans="1:16" x14ac:dyDescent="0.25">
      <c r="A438" t="s">
        <v>1279</v>
      </c>
      <c r="B438" t="s">
        <v>1278</v>
      </c>
      <c r="C438" t="s">
        <v>1279</v>
      </c>
      <c r="D438" t="s">
        <v>1280</v>
      </c>
      <c r="E438" t="s">
        <v>1281</v>
      </c>
      <c r="F438" t="s">
        <v>31</v>
      </c>
      <c r="G438" t="s">
        <v>32</v>
      </c>
      <c r="H438">
        <v>3</v>
      </c>
      <c r="I438" t="b">
        <v>1</v>
      </c>
      <c r="J438" t="s">
        <v>1278</v>
      </c>
      <c r="K438">
        <v>1</v>
      </c>
      <c r="L438" t="s">
        <v>4173</v>
      </c>
      <c r="M438">
        <v>2</v>
      </c>
      <c r="N438">
        <v>2</v>
      </c>
      <c r="O438">
        <v>1472728.68</v>
      </c>
      <c r="P438" t="s">
        <v>4109</v>
      </c>
    </row>
    <row r="439" spans="1:16" x14ac:dyDescent="0.25">
      <c r="A439" t="s">
        <v>1174</v>
      </c>
      <c r="B439" t="s">
        <v>1173</v>
      </c>
      <c r="C439" t="s">
        <v>1174</v>
      </c>
      <c r="D439" t="s">
        <v>1175</v>
      </c>
      <c r="E439" t="s">
        <v>1176</v>
      </c>
      <c r="F439" t="s">
        <v>31</v>
      </c>
      <c r="G439" t="s">
        <v>32</v>
      </c>
      <c r="H439">
        <v>3</v>
      </c>
      <c r="I439" t="b">
        <v>1</v>
      </c>
      <c r="J439" t="s">
        <v>1173</v>
      </c>
      <c r="K439">
        <v>1</v>
      </c>
      <c r="L439" t="s">
        <v>4214</v>
      </c>
      <c r="M439">
        <v>3</v>
      </c>
      <c r="N439">
        <v>3</v>
      </c>
      <c r="O439">
        <v>1445272.91</v>
      </c>
      <c r="P439" t="s">
        <v>4109</v>
      </c>
    </row>
    <row r="440" spans="1:16" x14ac:dyDescent="0.25">
      <c r="A440" t="s">
        <v>1551</v>
      </c>
      <c r="B440" t="s">
        <v>1550</v>
      </c>
      <c r="C440" t="s">
        <v>1551</v>
      </c>
      <c r="D440" t="s">
        <v>1552</v>
      </c>
      <c r="E440" t="s">
        <v>1553</v>
      </c>
      <c r="F440" t="s">
        <v>452</v>
      </c>
      <c r="G440" t="s">
        <v>32</v>
      </c>
      <c r="H440">
        <v>3</v>
      </c>
      <c r="I440" t="b">
        <v>1</v>
      </c>
      <c r="J440" t="s">
        <v>1550</v>
      </c>
      <c r="K440">
        <v>1</v>
      </c>
      <c r="L440" t="s">
        <v>1545</v>
      </c>
      <c r="M440">
        <v>1</v>
      </c>
      <c r="N440">
        <v>1</v>
      </c>
      <c r="O440">
        <v>1438639.45</v>
      </c>
      <c r="P440" t="s">
        <v>4109</v>
      </c>
    </row>
    <row r="441" spans="1:16" x14ac:dyDescent="0.25">
      <c r="A441" t="s">
        <v>1602</v>
      </c>
      <c r="B441" t="s">
        <v>1601</v>
      </c>
      <c r="C441" t="s">
        <v>1602</v>
      </c>
      <c r="D441" t="s">
        <v>1603</v>
      </c>
      <c r="E441" t="s">
        <v>1604</v>
      </c>
      <c r="F441" t="s">
        <v>44</v>
      </c>
      <c r="G441" t="s">
        <v>32</v>
      </c>
      <c r="H441">
        <v>3</v>
      </c>
      <c r="I441" t="b">
        <v>1</v>
      </c>
      <c r="J441" t="s">
        <v>1601</v>
      </c>
      <c r="K441">
        <v>1</v>
      </c>
      <c r="L441" t="s">
        <v>1545</v>
      </c>
      <c r="M441">
        <v>1</v>
      </c>
      <c r="N441">
        <v>1</v>
      </c>
      <c r="O441">
        <v>1425035.58</v>
      </c>
      <c r="P441" t="s">
        <v>4109</v>
      </c>
    </row>
    <row r="442" spans="1:16" x14ac:dyDescent="0.25">
      <c r="A442" t="s">
        <v>660</v>
      </c>
      <c r="B442" t="s">
        <v>659</v>
      </c>
      <c r="C442" t="s">
        <v>660</v>
      </c>
      <c r="D442" t="s">
        <v>661</v>
      </c>
      <c r="E442" t="s">
        <v>657</v>
      </c>
      <c r="F442" t="s">
        <v>81</v>
      </c>
      <c r="G442" t="s">
        <v>129</v>
      </c>
      <c r="H442">
        <v>3</v>
      </c>
      <c r="I442" t="b">
        <v>1</v>
      </c>
      <c r="J442" t="s">
        <v>659</v>
      </c>
      <c r="K442">
        <v>1</v>
      </c>
      <c r="L442" t="s">
        <v>124</v>
      </c>
      <c r="M442">
        <v>1</v>
      </c>
      <c r="N442">
        <v>1</v>
      </c>
      <c r="O442">
        <v>1401105.19</v>
      </c>
      <c r="P442" t="s">
        <v>4109</v>
      </c>
    </row>
    <row r="443" spans="1:16" x14ac:dyDescent="0.25">
      <c r="A443" t="s">
        <v>2164</v>
      </c>
      <c r="B443" t="s">
        <v>2163</v>
      </c>
      <c r="C443" t="s">
        <v>2164</v>
      </c>
      <c r="D443" t="s">
        <v>2165</v>
      </c>
      <c r="E443" t="s">
        <v>2166</v>
      </c>
      <c r="F443" t="s">
        <v>44</v>
      </c>
      <c r="G443" t="s">
        <v>32</v>
      </c>
      <c r="H443">
        <v>3</v>
      </c>
      <c r="I443" t="b">
        <v>1</v>
      </c>
      <c r="J443" t="s">
        <v>2163</v>
      </c>
      <c r="K443">
        <v>1</v>
      </c>
      <c r="L443" t="s">
        <v>1545</v>
      </c>
      <c r="M443">
        <v>1</v>
      </c>
      <c r="N443">
        <v>1</v>
      </c>
      <c r="O443">
        <v>1358592.11</v>
      </c>
      <c r="P443" t="s">
        <v>4109</v>
      </c>
    </row>
    <row r="444" spans="1:16" x14ac:dyDescent="0.25">
      <c r="A444" t="s">
        <v>2411</v>
      </c>
      <c r="B444" t="s">
        <v>2410</v>
      </c>
      <c r="C444" t="s">
        <v>2411</v>
      </c>
      <c r="D444" t="s">
        <v>2412</v>
      </c>
      <c r="E444" t="s">
        <v>2413</v>
      </c>
      <c r="F444" t="s">
        <v>31</v>
      </c>
      <c r="G444" t="s">
        <v>358</v>
      </c>
      <c r="H444">
        <v>3</v>
      </c>
      <c r="I444" t="b">
        <v>1</v>
      </c>
      <c r="J444" t="s">
        <v>2410</v>
      </c>
      <c r="K444">
        <v>1</v>
      </c>
      <c r="L444" t="s">
        <v>124</v>
      </c>
      <c r="M444">
        <v>1</v>
      </c>
      <c r="N444">
        <v>1</v>
      </c>
      <c r="O444">
        <v>1336475.93</v>
      </c>
      <c r="P444" t="s">
        <v>4109</v>
      </c>
    </row>
    <row r="445" spans="1:16" x14ac:dyDescent="0.25">
      <c r="A445" t="s">
        <v>1570</v>
      </c>
      <c r="B445" t="s">
        <v>1569</v>
      </c>
      <c r="C445" t="s">
        <v>1570</v>
      </c>
      <c r="D445" t="s">
        <v>1571</v>
      </c>
      <c r="E445" t="s">
        <v>1567</v>
      </c>
      <c r="F445" t="s">
        <v>50</v>
      </c>
      <c r="G445" t="s">
        <v>32</v>
      </c>
      <c r="H445">
        <v>3</v>
      </c>
      <c r="I445" t="b">
        <v>1</v>
      </c>
      <c r="J445" t="s">
        <v>1569</v>
      </c>
      <c r="K445">
        <v>1</v>
      </c>
      <c r="L445" t="s">
        <v>1545</v>
      </c>
      <c r="M445">
        <v>1</v>
      </c>
      <c r="N445">
        <v>1</v>
      </c>
      <c r="O445">
        <v>1315878.2</v>
      </c>
      <c r="P445" t="s">
        <v>4109</v>
      </c>
    </row>
    <row r="446" spans="1:16" x14ac:dyDescent="0.25">
      <c r="A446" t="s">
        <v>728</v>
      </c>
      <c r="B446" t="s">
        <v>727</v>
      </c>
      <c r="C446" t="s">
        <v>728</v>
      </c>
      <c r="D446" t="s">
        <v>729</v>
      </c>
      <c r="E446" t="s">
        <v>730</v>
      </c>
      <c r="F446" t="s">
        <v>39</v>
      </c>
      <c r="G446" t="s">
        <v>32</v>
      </c>
      <c r="H446">
        <v>3</v>
      </c>
      <c r="I446" t="b">
        <v>1</v>
      </c>
      <c r="J446" t="s">
        <v>4253</v>
      </c>
      <c r="K446">
        <v>2</v>
      </c>
      <c r="L446" t="s">
        <v>4173</v>
      </c>
      <c r="M446">
        <v>2</v>
      </c>
      <c r="N446">
        <v>4</v>
      </c>
      <c r="O446">
        <v>1278802.19</v>
      </c>
      <c r="P446" t="s">
        <v>4109</v>
      </c>
    </row>
    <row r="447" spans="1:16" x14ac:dyDescent="0.25">
      <c r="A447" t="s">
        <v>1589</v>
      </c>
      <c r="B447" t="s">
        <v>1588</v>
      </c>
      <c r="C447" t="s">
        <v>1589</v>
      </c>
      <c r="D447" t="s">
        <v>1590</v>
      </c>
      <c r="E447" t="s">
        <v>335</v>
      </c>
      <c r="F447" t="s">
        <v>61</v>
      </c>
      <c r="G447" t="s">
        <v>32</v>
      </c>
      <c r="H447">
        <v>3</v>
      </c>
      <c r="I447" t="b">
        <v>1</v>
      </c>
      <c r="J447" t="s">
        <v>1588</v>
      </c>
      <c r="K447">
        <v>1</v>
      </c>
      <c r="L447" t="s">
        <v>1545</v>
      </c>
      <c r="M447">
        <v>1</v>
      </c>
      <c r="N447">
        <v>1</v>
      </c>
      <c r="O447">
        <v>1269131.95</v>
      </c>
      <c r="P447" t="s">
        <v>4109</v>
      </c>
    </row>
    <row r="448" spans="1:16" x14ac:dyDescent="0.25">
      <c r="A448" t="s">
        <v>1751</v>
      </c>
      <c r="B448" t="s">
        <v>1750</v>
      </c>
      <c r="C448" t="s">
        <v>1751</v>
      </c>
      <c r="D448" t="s">
        <v>1752</v>
      </c>
      <c r="E448" t="s">
        <v>1753</v>
      </c>
      <c r="F448" t="s">
        <v>112</v>
      </c>
      <c r="G448" t="s">
        <v>32</v>
      </c>
      <c r="H448">
        <v>3</v>
      </c>
      <c r="I448" t="b">
        <v>1</v>
      </c>
      <c r="J448" t="s">
        <v>1750</v>
      </c>
      <c r="K448">
        <v>1</v>
      </c>
      <c r="L448" t="s">
        <v>4173</v>
      </c>
      <c r="M448">
        <v>2</v>
      </c>
      <c r="N448">
        <v>2</v>
      </c>
      <c r="O448">
        <v>1221792.07</v>
      </c>
      <c r="P448" t="s">
        <v>4109</v>
      </c>
    </row>
    <row r="449" spans="1:16" x14ac:dyDescent="0.25">
      <c r="A449" t="s">
        <v>1654</v>
      </c>
      <c r="B449" t="s">
        <v>1653</v>
      </c>
      <c r="C449" t="s">
        <v>1654</v>
      </c>
      <c r="D449" t="s">
        <v>1655</v>
      </c>
      <c r="E449" t="s">
        <v>1656</v>
      </c>
      <c r="F449" t="s">
        <v>31</v>
      </c>
      <c r="G449" t="s">
        <v>32</v>
      </c>
      <c r="H449">
        <v>3</v>
      </c>
      <c r="I449" t="b">
        <v>1</v>
      </c>
      <c r="J449" t="s">
        <v>1653</v>
      </c>
      <c r="K449">
        <v>1</v>
      </c>
      <c r="L449" t="s">
        <v>4205</v>
      </c>
      <c r="M449">
        <v>3</v>
      </c>
      <c r="N449">
        <v>3</v>
      </c>
      <c r="O449">
        <v>1184554.850000001</v>
      </c>
      <c r="P449" t="s">
        <v>4109</v>
      </c>
    </row>
    <row r="450" spans="1:16" x14ac:dyDescent="0.25">
      <c r="A450" t="s">
        <v>2206</v>
      </c>
      <c r="B450" t="s">
        <v>2205</v>
      </c>
      <c r="C450" t="s">
        <v>2206</v>
      </c>
      <c r="D450" t="s">
        <v>2207</v>
      </c>
      <c r="E450" t="s">
        <v>960</v>
      </c>
      <c r="F450" t="s">
        <v>31</v>
      </c>
      <c r="G450" t="s">
        <v>32</v>
      </c>
      <c r="H450">
        <v>3</v>
      </c>
      <c r="I450" t="b">
        <v>1</v>
      </c>
      <c r="J450" t="s">
        <v>2205</v>
      </c>
      <c r="K450">
        <v>1</v>
      </c>
      <c r="L450" t="s">
        <v>2200</v>
      </c>
      <c r="M450">
        <v>1</v>
      </c>
      <c r="N450">
        <v>1</v>
      </c>
      <c r="O450">
        <v>1145206.57</v>
      </c>
      <c r="P450" t="s">
        <v>4109</v>
      </c>
    </row>
    <row r="451" spans="1:16" x14ac:dyDescent="0.25">
      <c r="A451" t="s">
        <v>1137</v>
      </c>
      <c r="B451" t="s">
        <v>1136</v>
      </c>
      <c r="C451" t="s">
        <v>1137</v>
      </c>
      <c r="D451" t="s">
        <v>1138</v>
      </c>
      <c r="E451" t="s">
        <v>1132</v>
      </c>
      <c r="F451" t="s">
        <v>112</v>
      </c>
      <c r="G451" t="s">
        <v>32</v>
      </c>
      <c r="H451">
        <v>3</v>
      </c>
      <c r="I451" t="b">
        <v>1</v>
      </c>
      <c r="J451" t="s">
        <v>1136</v>
      </c>
      <c r="K451">
        <v>1</v>
      </c>
      <c r="L451" t="s">
        <v>4214</v>
      </c>
      <c r="M451">
        <v>3</v>
      </c>
      <c r="N451">
        <v>3</v>
      </c>
      <c r="O451">
        <v>1136926.8999999999</v>
      </c>
      <c r="P451" t="s">
        <v>4109</v>
      </c>
    </row>
    <row r="452" spans="1:16" x14ac:dyDescent="0.25">
      <c r="A452" t="s">
        <v>688</v>
      </c>
      <c r="B452" t="s">
        <v>687</v>
      </c>
      <c r="C452" t="s">
        <v>688</v>
      </c>
      <c r="D452" t="s">
        <v>689</v>
      </c>
      <c r="E452" t="s">
        <v>686</v>
      </c>
      <c r="F452" t="s">
        <v>44</v>
      </c>
      <c r="G452" t="s">
        <v>180</v>
      </c>
      <c r="H452">
        <v>3</v>
      </c>
      <c r="I452" t="b">
        <v>1</v>
      </c>
      <c r="J452" t="s">
        <v>687</v>
      </c>
      <c r="K452">
        <v>1</v>
      </c>
      <c r="L452" t="s">
        <v>124</v>
      </c>
      <c r="M452">
        <v>1</v>
      </c>
      <c r="N452">
        <v>1</v>
      </c>
      <c r="O452">
        <v>1135243.24</v>
      </c>
      <c r="P452" t="s">
        <v>4109</v>
      </c>
    </row>
    <row r="453" spans="1:16" x14ac:dyDescent="0.25">
      <c r="A453" t="s">
        <v>492</v>
      </c>
      <c r="B453" t="s">
        <v>491</v>
      </c>
      <c r="C453" t="s">
        <v>492</v>
      </c>
      <c r="D453" t="s">
        <v>493</v>
      </c>
      <c r="E453" t="s">
        <v>494</v>
      </c>
      <c r="F453" t="s">
        <v>112</v>
      </c>
      <c r="G453" t="s">
        <v>32</v>
      </c>
      <c r="H453">
        <v>3</v>
      </c>
      <c r="I453" t="b">
        <v>1</v>
      </c>
      <c r="J453" t="s">
        <v>491</v>
      </c>
      <c r="K453">
        <v>1</v>
      </c>
      <c r="L453" t="s">
        <v>124</v>
      </c>
      <c r="M453">
        <v>1</v>
      </c>
      <c r="N453">
        <v>1</v>
      </c>
      <c r="O453">
        <v>1104794.32</v>
      </c>
      <c r="P453" t="s">
        <v>4109</v>
      </c>
    </row>
    <row r="454" spans="1:16" x14ac:dyDescent="0.25">
      <c r="A454" t="s">
        <v>1560</v>
      </c>
      <c r="B454" t="s">
        <v>1559</v>
      </c>
      <c r="C454" t="s">
        <v>1560</v>
      </c>
      <c r="D454" t="s">
        <v>1561</v>
      </c>
      <c r="E454" t="s">
        <v>1562</v>
      </c>
      <c r="F454" t="s">
        <v>50</v>
      </c>
      <c r="G454" t="s">
        <v>32</v>
      </c>
      <c r="H454">
        <v>3</v>
      </c>
      <c r="I454" t="b">
        <v>1</v>
      </c>
      <c r="J454" t="s">
        <v>1559</v>
      </c>
      <c r="K454">
        <v>1</v>
      </c>
      <c r="L454" t="s">
        <v>1545</v>
      </c>
      <c r="M454">
        <v>1</v>
      </c>
      <c r="N454">
        <v>1</v>
      </c>
      <c r="O454">
        <v>1057044.56</v>
      </c>
      <c r="P454" t="s">
        <v>4109</v>
      </c>
    </row>
    <row r="455" spans="1:16" x14ac:dyDescent="0.25">
      <c r="A455" t="s">
        <v>1597</v>
      </c>
      <c r="B455" t="s">
        <v>1596</v>
      </c>
      <c r="C455" t="s">
        <v>1597</v>
      </c>
      <c r="D455" t="s">
        <v>1598</v>
      </c>
      <c r="E455" t="s">
        <v>1599</v>
      </c>
      <c r="F455" t="s">
        <v>44</v>
      </c>
      <c r="G455" t="s">
        <v>32</v>
      </c>
      <c r="H455">
        <v>3</v>
      </c>
      <c r="I455" t="b">
        <v>1</v>
      </c>
      <c r="J455" t="s">
        <v>1596</v>
      </c>
      <c r="K455">
        <v>1</v>
      </c>
      <c r="L455" t="s">
        <v>1545</v>
      </c>
      <c r="M455">
        <v>1</v>
      </c>
      <c r="N455">
        <v>1</v>
      </c>
      <c r="O455">
        <v>1033605.8</v>
      </c>
      <c r="P455" t="s">
        <v>4109</v>
      </c>
    </row>
    <row r="456" spans="1:16" x14ac:dyDescent="0.25">
      <c r="A456" t="s">
        <v>187</v>
      </c>
      <c r="B456" t="s">
        <v>186</v>
      </c>
      <c r="C456" t="s">
        <v>187</v>
      </c>
      <c r="D456" t="s">
        <v>188</v>
      </c>
      <c r="E456" t="s">
        <v>189</v>
      </c>
      <c r="F456" t="s">
        <v>50</v>
      </c>
      <c r="G456" t="s">
        <v>26</v>
      </c>
      <c r="H456">
        <v>10</v>
      </c>
      <c r="I456" t="b">
        <v>1</v>
      </c>
      <c r="J456" t="s">
        <v>186</v>
      </c>
      <c r="K456">
        <v>1</v>
      </c>
      <c r="L456" t="s">
        <v>25</v>
      </c>
      <c r="M456">
        <v>1</v>
      </c>
      <c r="N456">
        <v>1</v>
      </c>
      <c r="O456">
        <v>1030390.38</v>
      </c>
      <c r="P456" t="s">
        <v>4109</v>
      </c>
    </row>
    <row r="457" spans="1:16" x14ac:dyDescent="0.25">
      <c r="A457" t="s">
        <v>1607</v>
      </c>
      <c r="B457" t="s">
        <v>1606</v>
      </c>
      <c r="C457" t="s">
        <v>1607</v>
      </c>
      <c r="D457" t="s">
        <v>1608</v>
      </c>
      <c r="E457" t="s">
        <v>463</v>
      </c>
      <c r="F457" t="s">
        <v>44</v>
      </c>
      <c r="G457" t="s">
        <v>32</v>
      </c>
      <c r="H457">
        <v>3</v>
      </c>
      <c r="I457" t="b">
        <v>1</v>
      </c>
      <c r="J457" t="s">
        <v>1606</v>
      </c>
      <c r="K457">
        <v>1</v>
      </c>
      <c r="L457" t="s">
        <v>1545</v>
      </c>
      <c r="M457">
        <v>1</v>
      </c>
      <c r="N457">
        <v>1</v>
      </c>
      <c r="O457">
        <v>1023945.14</v>
      </c>
      <c r="P457" t="s">
        <v>4109</v>
      </c>
    </row>
    <row r="458" spans="1:16" x14ac:dyDescent="0.25">
      <c r="A458" t="s">
        <v>2415</v>
      </c>
      <c r="B458" t="s">
        <v>2414</v>
      </c>
      <c r="C458" t="s">
        <v>2415</v>
      </c>
      <c r="D458" t="s">
        <v>2416</v>
      </c>
      <c r="E458" t="s">
        <v>2417</v>
      </c>
      <c r="F458" t="s">
        <v>31</v>
      </c>
      <c r="G458" t="s">
        <v>358</v>
      </c>
      <c r="H458">
        <v>3</v>
      </c>
      <c r="I458" t="b">
        <v>1</v>
      </c>
      <c r="J458" t="s">
        <v>2414</v>
      </c>
      <c r="K458">
        <v>1</v>
      </c>
      <c r="L458" t="s">
        <v>124</v>
      </c>
      <c r="M458">
        <v>1</v>
      </c>
      <c r="N458">
        <v>1</v>
      </c>
      <c r="O458">
        <v>970458.71000000008</v>
      </c>
      <c r="P458" t="s">
        <v>4109</v>
      </c>
    </row>
    <row r="459" spans="1:16" x14ac:dyDescent="0.25">
      <c r="A459" t="s">
        <v>2151</v>
      </c>
      <c r="B459" t="s">
        <v>2150</v>
      </c>
      <c r="C459" t="s">
        <v>2151</v>
      </c>
      <c r="D459" t="s">
        <v>2152</v>
      </c>
      <c r="E459" t="s">
        <v>2153</v>
      </c>
      <c r="F459" t="s">
        <v>31</v>
      </c>
      <c r="G459" t="s">
        <v>32</v>
      </c>
      <c r="H459">
        <v>3</v>
      </c>
      <c r="I459" t="b">
        <v>1</v>
      </c>
      <c r="J459" t="s">
        <v>2150</v>
      </c>
      <c r="K459">
        <v>1</v>
      </c>
      <c r="L459" t="s">
        <v>1545</v>
      </c>
      <c r="M459">
        <v>1</v>
      </c>
      <c r="N459">
        <v>1</v>
      </c>
      <c r="O459">
        <v>948952.78</v>
      </c>
      <c r="P459" t="s">
        <v>4109</v>
      </c>
    </row>
    <row r="460" spans="1:16" x14ac:dyDescent="0.25">
      <c r="A460" t="s">
        <v>2401</v>
      </c>
      <c r="B460" t="s">
        <v>2400</v>
      </c>
      <c r="C460" t="s">
        <v>2401</v>
      </c>
      <c r="D460" t="s">
        <v>2402</v>
      </c>
      <c r="E460" t="s">
        <v>517</v>
      </c>
      <c r="F460" t="s">
        <v>31</v>
      </c>
      <c r="G460" t="s">
        <v>358</v>
      </c>
      <c r="H460">
        <v>3</v>
      </c>
      <c r="I460" t="b">
        <v>1</v>
      </c>
      <c r="J460" t="s">
        <v>2400</v>
      </c>
      <c r="K460">
        <v>1</v>
      </c>
      <c r="L460" t="s">
        <v>124</v>
      </c>
      <c r="M460">
        <v>1</v>
      </c>
      <c r="N460">
        <v>1</v>
      </c>
      <c r="O460">
        <v>936419.59</v>
      </c>
      <c r="P460" t="s">
        <v>4109</v>
      </c>
    </row>
    <row r="461" spans="1:16" x14ac:dyDescent="0.25">
      <c r="A461" t="s">
        <v>975</v>
      </c>
      <c r="B461" t="s">
        <v>974</v>
      </c>
      <c r="C461" t="s">
        <v>975</v>
      </c>
      <c r="D461" t="s">
        <v>976</v>
      </c>
      <c r="E461" t="s">
        <v>977</v>
      </c>
      <c r="F461" t="s">
        <v>44</v>
      </c>
      <c r="G461" t="s">
        <v>32</v>
      </c>
      <c r="H461">
        <v>3</v>
      </c>
      <c r="I461" t="b">
        <v>1</v>
      </c>
      <c r="J461" t="s">
        <v>974</v>
      </c>
      <c r="K461">
        <v>1</v>
      </c>
      <c r="L461" t="s">
        <v>4173</v>
      </c>
      <c r="M461">
        <v>2</v>
      </c>
      <c r="N461">
        <v>2</v>
      </c>
      <c r="O461">
        <v>902400.63</v>
      </c>
      <c r="P461" t="s">
        <v>4109</v>
      </c>
    </row>
    <row r="462" spans="1:16" x14ac:dyDescent="0.25">
      <c r="A462" t="s">
        <v>177</v>
      </c>
      <c r="B462" t="s">
        <v>176</v>
      </c>
      <c r="C462" t="s">
        <v>177</v>
      </c>
      <c r="D462" t="s">
        <v>178</v>
      </c>
      <c r="E462" t="s">
        <v>179</v>
      </c>
      <c r="F462" t="s">
        <v>44</v>
      </c>
      <c r="G462" t="s">
        <v>180</v>
      </c>
      <c r="H462">
        <v>3</v>
      </c>
      <c r="I462" t="b">
        <v>1</v>
      </c>
      <c r="J462" t="s">
        <v>176</v>
      </c>
      <c r="K462">
        <v>1</v>
      </c>
      <c r="L462" t="s">
        <v>124</v>
      </c>
      <c r="M462">
        <v>1</v>
      </c>
      <c r="N462">
        <v>1</v>
      </c>
      <c r="O462">
        <v>896463.04999999993</v>
      </c>
      <c r="P462" t="s">
        <v>4109</v>
      </c>
    </row>
    <row r="463" spans="1:16" x14ac:dyDescent="0.25">
      <c r="A463" t="s">
        <v>252</v>
      </c>
      <c r="B463" t="s">
        <v>251</v>
      </c>
      <c r="C463" t="s">
        <v>252</v>
      </c>
      <c r="D463" t="s">
        <v>253</v>
      </c>
      <c r="E463" t="s">
        <v>254</v>
      </c>
      <c r="F463" t="s">
        <v>44</v>
      </c>
      <c r="G463" t="s">
        <v>180</v>
      </c>
      <c r="H463">
        <v>3</v>
      </c>
      <c r="I463" t="b">
        <v>1</v>
      </c>
      <c r="J463" t="s">
        <v>251</v>
      </c>
      <c r="K463">
        <v>1</v>
      </c>
      <c r="L463" t="s">
        <v>124</v>
      </c>
      <c r="M463">
        <v>1</v>
      </c>
      <c r="N463">
        <v>1</v>
      </c>
      <c r="O463">
        <v>866006.92000000051</v>
      </c>
      <c r="P463" t="s">
        <v>4109</v>
      </c>
    </row>
    <row r="464" spans="1:16" x14ac:dyDescent="0.25">
      <c r="A464" t="s">
        <v>2156</v>
      </c>
      <c r="B464" t="s">
        <v>2155</v>
      </c>
      <c r="C464" t="s">
        <v>2156</v>
      </c>
      <c r="D464" t="s">
        <v>2157</v>
      </c>
      <c r="E464" t="s">
        <v>2158</v>
      </c>
      <c r="F464" t="s">
        <v>31</v>
      </c>
      <c r="G464" t="s">
        <v>32</v>
      </c>
      <c r="H464">
        <v>3</v>
      </c>
      <c r="I464" t="b">
        <v>1</v>
      </c>
      <c r="J464" t="s">
        <v>2155</v>
      </c>
      <c r="K464">
        <v>1</v>
      </c>
      <c r="L464" t="s">
        <v>1545</v>
      </c>
      <c r="M464">
        <v>1</v>
      </c>
      <c r="N464">
        <v>1</v>
      </c>
      <c r="O464">
        <v>863820.15000000014</v>
      </c>
      <c r="P464" t="s">
        <v>4109</v>
      </c>
    </row>
    <row r="465" spans="1:16" x14ac:dyDescent="0.25">
      <c r="A465" t="s">
        <v>2168</v>
      </c>
      <c r="B465" t="s">
        <v>2167</v>
      </c>
      <c r="C465" t="s">
        <v>2168</v>
      </c>
      <c r="D465" t="s">
        <v>2169</v>
      </c>
      <c r="E465" t="s">
        <v>2170</v>
      </c>
      <c r="F465" t="s">
        <v>31</v>
      </c>
      <c r="G465" t="s">
        <v>32</v>
      </c>
      <c r="H465">
        <v>3</v>
      </c>
      <c r="I465" t="b">
        <v>1</v>
      </c>
      <c r="J465" t="s">
        <v>2167</v>
      </c>
      <c r="K465">
        <v>1</v>
      </c>
      <c r="L465" t="s">
        <v>1545</v>
      </c>
      <c r="M465">
        <v>1</v>
      </c>
      <c r="N465">
        <v>1</v>
      </c>
      <c r="O465">
        <v>811660.3</v>
      </c>
      <c r="P465" t="s">
        <v>4109</v>
      </c>
    </row>
    <row r="466" spans="1:16" x14ac:dyDescent="0.25">
      <c r="A466" t="s">
        <v>248</v>
      </c>
      <c r="B466" t="s">
        <v>247</v>
      </c>
      <c r="C466" t="s">
        <v>248</v>
      </c>
      <c r="D466" t="s">
        <v>249</v>
      </c>
      <c r="E466" t="s">
        <v>250</v>
      </c>
      <c r="F466" t="s">
        <v>44</v>
      </c>
      <c r="G466" t="s">
        <v>180</v>
      </c>
      <c r="H466">
        <v>3</v>
      </c>
      <c r="I466" t="b">
        <v>1</v>
      </c>
      <c r="J466" t="s">
        <v>247</v>
      </c>
      <c r="K466">
        <v>1</v>
      </c>
      <c r="L466" t="s">
        <v>124</v>
      </c>
      <c r="M466">
        <v>1</v>
      </c>
      <c r="N466">
        <v>1</v>
      </c>
      <c r="O466">
        <v>784787.80999999994</v>
      </c>
      <c r="P466" t="s">
        <v>4109</v>
      </c>
    </row>
    <row r="467" spans="1:16" x14ac:dyDescent="0.25">
      <c r="A467" t="s">
        <v>131</v>
      </c>
      <c r="B467" t="s">
        <v>130</v>
      </c>
      <c r="C467" t="s">
        <v>131</v>
      </c>
      <c r="D467" t="s">
        <v>132</v>
      </c>
      <c r="E467" t="s">
        <v>133</v>
      </c>
      <c r="F467" t="s">
        <v>81</v>
      </c>
      <c r="G467" t="s">
        <v>129</v>
      </c>
      <c r="H467">
        <v>3</v>
      </c>
      <c r="I467" t="b">
        <v>1</v>
      </c>
      <c r="J467" t="s">
        <v>130</v>
      </c>
      <c r="K467">
        <v>1</v>
      </c>
      <c r="L467" t="s">
        <v>124</v>
      </c>
      <c r="M467">
        <v>1</v>
      </c>
      <c r="N467">
        <v>1</v>
      </c>
      <c r="O467">
        <v>741827.30999999994</v>
      </c>
      <c r="P467" t="s">
        <v>4109</v>
      </c>
    </row>
    <row r="468" spans="1:16" x14ac:dyDescent="0.25">
      <c r="A468" t="s">
        <v>2104</v>
      </c>
      <c r="B468" t="s">
        <v>2103</v>
      </c>
      <c r="C468" t="s">
        <v>2104</v>
      </c>
      <c r="D468" t="s">
        <v>2105</v>
      </c>
      <c r="E468" t="s">
        <v>2101</v>
      </c>
      <c r="F468" t="s">
        <v>31</v>
      </c>
      <c r="G468" t="s">
        <v>32</v>
      </c>
      <c r="H468">
        <v>3</v>
      </c>
      <c r="I468" t="b">
        <v>1</v>
      </c>
      <c r="J468" t="s">
        <v>2103</v>
      </c>
      <c r="K468">
        <v>1</v>
      </c>
      <c r="L468" t="s">
        <v>1545</v>
      </c>
      <c r="M468">
        <v>1</v>
      </c>
      <c r="N468">
        <v>1</v>
      </c>
      <c r="O468">
        <v>740223.05</v>
      </c>
      <c r="P468" t="s">
        <v>4109</v>
      </c>
    </row>
    <row r="469" spans="1:16" x14ac:dyDescent="0.25">
      <c r="A469" t="s">
        <v>1474</v>
      </c>
      <c r="B469" t="s">
        <v>1473</v>
      </c>
      <c r="C469" t="s">
        <v>1474</v>
      </c>
      <c r="D469" t="s">
        <v>1475</v>
      </c>
      <c r="E469" t="s">
        <v>1476</v>
      </c>
      <c r="F469" t="s">
        <v>31</v>
      </c>
      <c r="G469" t="s">
        <v>32</v>
      </c>
      <c r="H469">
        <v>3</v>
      </c>
      <c r="I469" t="b">
        <v>1</v>
      </c>
      <c r="J469" t="s">
        <v>1473</v>
      </c>
      <c r="K469">
        <v>1</v>
      </c>
      <c r="L469" t="s">
        <v>4173</v>
      </c>
      <c r="M469">
        <v>2</v>
      </c>
      <c r="N469">
        <v>2</v>
      </c>
      <c r="O469">
        <v>715158.51</v>
      </c>
      <c r="P469" t="s">
        <v>4109</v>
      </c>
    </row>
    <row r="470" spans="1:16" x14ac:dyDescent="0.25">
      <c r="A470" t="s">
        <v>615</v>
      </c>
      <c r="B470" t="s">
        <v>614</v>
      </c>
      <c r="C470" t="s">
        <v>615</v>
      </c>
      <c r="D470" t="s">
        <v>616</v>
      </c>
      <c r="E470" t="s">
        <v>111</v>
      </c>
      <c r="F470" t="s">
        <v>112</v>
      </c>
      <c r="G470" t="s">
        <v>490</v>
      </c>
      <c r="H470">
        <v>3</v>
      </c>
      <c r="I470" t="b">
        <v>1</v>
      </c>
      <c r="J470" t="s">
        <v>614</v>
      </c>
      <c r="K470">
        <v>1</v>
      </c>
      <c r="L470" t="s">
        <v>124</v>
      </c>
      <c r="M470">
        <v>1</v>
      </c>
      <c r="N470">
        <v>1</v>
      </c>
      <c r="O470">
        <v>689176</v>
      </c>
      <c r="P470" t="s">
        <v>4109</v>
      </c>
    </row>
    <row r="471" spans="1:16" x14ac:dyDescent="0.25">
      <c r="A471" t="s">
        <v>2113</v>
      </c>
      <c r="B471" t="s">
        <v>2112</v>
      </c>
      <c r="C471" t="s">
        <v>2113</v>
      </c>
      <c r="D471" t="s">
        <v>2114</v>
      </c>
      <c r="E471" t="s">
        <v>2115</v>
      </c>
      <c r="F471" t="s">
        <v>44</v>
      </c>
      <c r="G471" t="s">
        <v>32</v>
      </c>
      <c r="H471">
        <v>3</v>
      </c>
      <c r="I471" t="b">
        <v>1</v>
      </c>
      <c r="J471" t="s">
        <v>2112</v>
      </c>
      <c r="K471">
        <v>1</v>
      </c>
      <c r="L471" t="s">
        <v>1545</v>
      </c>
      <c r="M471">
        <v>1</v>
      </c>
      <c r="N471">
        <v>1</v>
      </c>
      <c r="O471">
        <v>679437</v>
      </c>
      <c r="P471" t="s">
        <v>4109</v>
      </c>
    </row>
    <row r="472" spans="1:16" x14ac:dyDescent="0.25">
      <c r="A472" t="s">
        <v>607</v>
      </c>
      <c r="B472" t="s">
        <v>606</v>
      </c>
      <c r="C472" t="s">
        <v>607</v>
      </c>
      <c r="D472" t="s">
        <v>608</v>
      </c>
      <c r="E472" t="s">
        <v>609</v>
      </c>
      <c r="F472" t="s">
        <v>39</v>
      </c>
      <c r="G472" t="s">
        <v>610</v>
      </c>
      <c r="H472">
        <v>3</v>
      </c>
      <c r="I472" t="b">
        <v>1</v>
      </c>
      <c r="J472" t="s">
        <v>606</v>
      </c>
      <c r="K472">
        <v>1</v>
      </c>
      <c r="L472" t="s">
        <v>124</v>
      </c>
      <c r="M472">
        <v>1</v>
      </c>
      <c r="N472">
        <v>1</v>
      </c>
      <c r="O472">
        <v>662203.93999999994</v>
      </c>
      <c r="P472" t="s">
        <v>4109</v>
      </c>
    </row>
    <row r="473" spans="1:16" x14ac:dyDescent="0.25">
      <c r="A473" t="s">
        <v>126</v>
      </c>
      <c r="B473" t="s">
        <v>125</v>
      </c>
      <c r="C473" t="s">
        <v>126</v>
      </c>
      <c r="D473" t="s">
        <v>127</v>
      </c>
      <c r="E473" t="s">
        <v>128</v>
      </c>
      <c r="F473" t="s">
        <v>81</v>
      </c>
      <c r="G473" t="s">
        <v>129</v>
      </c>
      <c r="H473">
        <v>3</v>
      </c>
      <c r="I473" t="b">
        <v>1</v>
      </c>
      <c r="J473" t="s">
        <v>125</v>
      </c>
      <c r="K473">
        <v>1</v>
      </c>
      <c r="L473" t="s">
        <v>124</v>
      </c>
      <c r="M473">
        <v>1</v>
      </c>
      <c r="N473">
        <v>1</v>
      </c>
      <c r="O473">
        <v>653866.14</v>
      </c>
      <c r="P473" t="s">
        <v>4109</v>
      </c>
    </row>
    <row r="474" spans="1:16" x14ac:dyDescent="0.25">
      <c r="A474" t="s">
        <v>2160</v>
      </c>
      <c r="B474" t="s">
        <v>2159</v>
      </c>
      <c r="C474" t="s">
        <v>2160</v>
      </c>
      <c r="D474" t="s">
        <v>2161</v>
      </c>
      <c r="E474" t="s">
        <v>2158</v>
      </c>
      <c r="F474" t="s">
        <v>31</v>
      </c>
      <c r="G474" t="s">
        <v>32</v>
      </c>
      <c r="H474">
        <v>3</v>
      </c>
      <c r="I474" t="b">
        <v>1</v>
      </c>
      <c r="J474" t="s">
        <v>2159</v>
      </c>
      <c r="K474">
        <v>1</v>
      </c>
      <c r="L474" t="s">
        <v>1545</v>
      </c>
      <c r="M474">
        <v>1</v>
      </c>
      <c r="N474">
        <v>1</v>
      </c>
      <c r="O474">
        <v>643649.45999999985</v>
      </c>
      <c r="P474" t="s">
        <v>4109</v>
      </c>
    </row>
    <row r="475" spans="1:16" x14ac:dyDescent="0.25">
      <c r="A475" t="s">
        <v>714</v>
      </c>
      <c r="B475" t="s">
        <v>713</v>
      </c>
      <c r="C475" t="s">
        <v>714</v>
      </c>
      <c r="D475" t="s">
        <v>715</v>
      </c>
      <c r="E475" t="s">
        <v>716</v>
      </c>
      <c r="F475" t="s">
        <v>61</v>
      </c>
      <c r="G475" t="s">
        <v>331</v>
      </c>
      <c r="H475">
        <v>3</v>
      </c>
      <c r="I475" t="b">
        <v>1</v>
      </c>
      <c r="J475" t="s">
        <v>713</v>
      </c>
      <c r="K475">
        <v>1</v>
      </c>
      <c r="L475" t="s">
        <v>124</v>
      </c>
      <c r="M475">
        <v>1</v>
      </c>
      <c r="N475">
        <v>1</v>
      </c>
      <c r="O475">
        <v>622270.0399999998</v>
      </c>
      <c r="P475" t="s">
        <v>4109</v>
      </c>
    </row>
    <row r="476" spans="1:16" x14ac:dyDescent="0.25">
      <c r="A476" t="s">
        <v>1928</v>
      </c>
      <c r="B476" t="s">
        <v>1927</v>
      </c>
      <c r="C476" t="s">
        <v>1928</v>
      </c>
      <c r="D476" t="s">
        <v>1929</v>
      </c>
      <c r="E476" t="s">
        <v>1930</v>
      </c>
      <c r="F476" t="s">
        <v>452</v>
      </c>
      <c r="G476" t="s">
        <v>32</v>
      </c>
      <c r="H476">
        <v>3</v>
      </c>
      <c r="I476" t="b">
        <v>1</v>
      </c>
      <c r="J476" t="s">
        <v>1927</v>
      </c>
      <c r="K476">
        <v>1</v>
      </c>
      <c r="L476" t="s">
        <v>1545</v>
      </c>
      <c r="M476">
        <v>1</v>
      </c>
      <c r="N476">
        <v>1</v>
      </c>
      <c r="O476">
        <v>600235</v>
      </c>
      <c r="P476" t="s">
        <v>4109</v>
      </c>
    </row>
    <row r="477" spans="1:16" x14ac:dyDescent="0.25">
      <c r="A477" t="s">
        <v>157</v>
      </c>
      <c r="B477" t="s">
        <v>156</v>
      </c>
      <c r="C477" t="s">
        <v>157</v>
      </c>
      <c r="D477" t="s">
        <v>158</v>
      </c>
      <c r="E477" t="s">
        <v>159</v>
      </c>
      <c r="F477" t="s">
        <v>81</v>
      </c>
      <c r="G477" t="s">
        <v>151</v>
      </c>
      <c r="H477">
        <v>3</v>
      </c>
      <c r="I477" t="b">
        <v>1</v>
      </c>
      <c r="J477" t="s">
        <v>156</v>
      </c>
      <c r="K477">
        <v>1</v>
      </c>
      <c r="L477" t="s">
        <v>124</v>
      </c>
      <c r="M477">
        <v>1</v>
      </c>
      <c r="N477">
        <v>1</v>
      </c>
      <c r="O477">
        <v>587997.05999999994</v>
      </c>
      <c r="P477" t="s">
        <v>4109</v>
      </c>
    </row>
    <row r="478" spans="1:16" x14ac:dyDescent="0.25">
      <c r="A478" t="s">
        <v>1178</v>
      </c>
      <c r="B478" t="s">
        <v>1177</v>
      </c>
      <c r="C478" t="s">
        <v>1178</v>
      </c>
      <c r="D478" t="s">
        <v>1179</v>
      </c>
      <c r="E478" t="s">
        <v>1180</v>
      </c>
      <c r="F478" t="s">
        <v>31</v>
      </c>
      <c r="G478" t="s">
        <v>32</v>
      </c>
      <c r="H478">
        <v>3</v>
      </c>
      <c r="I478" t="b">
        <v>1</v>
      </c>
      <c r="J478" t="s">
        <v>1177</v>
      </c>
      <c r="K478">
        <v>1</v>
      </c>
      <c r="L478" t="s">
        <v>4214</v>
      </c>
      <c r="M478">
        <v>3</v>
      </c>
      <c r="N478">
        <v>3</v>
      </c>
      <c r="O478">
        <v>581476.5</v>
      </c>
      <c r="P478" t="s">
        <v>4109</v>
      </c>
    </row>
    <row r="479" spans="1:16" x14ac:dyDescent="0.25">
      <c r="A479" t="s">
        <v>1565</v>
      </c>
      <c r="B479" t="s">
        <v>1564</v>
      </c>
      <c r="C479" t="s">
        <v>1565</v>
      </c>
      <c r="D479" t="s">
        <v>1566</v>
      </c>
      <c r="E479" t="s">
        <v>1567</v>
      </c>
      <c r="F479" t="s">
        <v>50</v>
      </c>
      <c r="G479" t="s">
        <v>32</v>
      </c>
      <c r="H479">
        <v>3</v>
      </c>
      <c r="I479" t="b">
        <v>1</v>
      </c>
      <c r="J479" t="s">
        <v>1564</v>
      </c>
      <c r="K479">
        <v>1</v>
      </c>
      <c r="L479" t="s">
        <v>1545</v>
      </c>
      <c r="M479">
        <v>1</v>
      </c>
      <c r="N479">
        <v>1</v>
      </c>
      <c r="O479">
        <v>564151.09</v>
      </c>
      <c r="P479" t="s">
        <v>4109</v>
      </c>
    </row>
    <row r="480" spans="1:16" x14ac:dyDescent="0.25">
      <c r="A480" t="s">
        <v>1397</v>
      </c>
      <c r="B480" t="s">
        <v>1396</v>
      </c>
      <c r="C480" t="s">
        <v>1397</v>
      </c>
      <c r="D480" t="s">
        <v>1398</v>
      </c>
      <c r="E480" t="s">
        <v>1297</v>
      </c>
      <c r="F480" t="s">
        <v>31</v>
      </c>
      <c r="G480" t="s">
        <v>32</v>
      </c>
      <c r="H480">
        <v>3</v>
      </c>
      <c r="I480" t="b">
        <v>1</v>
      </c>
      <c r="J480" t="s">
        <v>1396</v>
      </c>
      <c r="K480">
        <v>1</v>
      </c>
      <c r="L480" t="s">
        <v>4173</v>
      </c>
      <c r="M480">
        <v>2</v>
      </c>
      <c r="N480">
        <v>2</v>
      </c>
      <c r="O480">
        <v>533875</v>
      </c>
      <c r="P480" t="s">
        <v>4109</v>
      </c>
    </row>
    <row r="481" spans="1:16" x14ac:dyDescent="0.25">
      <c r="A481" t="s">
        <v>2172</v>
      </c>
      <c r="B481" t="s">
        <v>2171</v>
      </c>
      <c r="C481" t="s">
        <v>2172</v>
      </c>
      <c r="D481" t="s">
        <v>2173</v>
      </c>
      <c r="E481" t="s">
        <v>2170</v>
      </c>
      <c r="F481" t="s">
        <v>31</v>
      </c>
      <c r="G481" t="s">
        <v>32</v>
      </c>
      <c r="H481">
        <v>3</v>
      </c>
      <c r="I481" t="b">
        <v>1</v>
      </c>
      <c r="J481" t="s">
        <v>2171</v>
      </c>
      <c r="K481">
        <v>1</v>
      </c>
      <c r="L481" t="s">
        <v>1545</v>
      </c>
      <c r="M481">
        <v>1</v>
      </c>
      <c r="N481">
        <v>1</v>
      </c>
      <c r="O481">
        <v>522783.33</v>
      </c>
      <c r="P481" t="s">
        <v>4109</v>
      </c>
    </row>
    <row r="482" spans="1:16" x14ac:dyDescent="0.25">
      <c r="A482" t="s">
        <v>1859</v>
      </c>
      <c r="B482" t="s">
        <v>1858</v>
      </c>
      <c r="C482" t="s">
        <v>1859</v>
      </c>
      <c r="D482" t="s">
        <v>1860</v>
      </c>
      <c r="E482" t="s">
        <v>1861</v>
      </c>
      <c r="F482" t="s">
        <v>452</v>
      </c>
      <c r="G482" t="s">
        <v>32</v>
      </c>
      <c r="H482">
        <v>3</v>
      </c>
      <c r="I482" t="b">
        <v>1</v>
      </c>
      <c r="J482" t="s">
        <v>1858</v>
      </c>
      <c r="K482">
        <v>1</v>
      </c>
      <c r="L482" t="s">
        <v>1545</v>
      </c>
      <c r="M482">
        <v>1</v>
      </c>
      <c r="N482">
        <v>1</v>
      </c>
      <c r="O482">
        <v>504791.78</v>
      </c>
      <c r="P482" t="s">
        <v>4109</v>
      </c>
    </row>
    <row r="483" spans="1:16" x14ac:dyDescent="0.25">
      <c r="A483" t="s">
        <v>603</v>
      </c>
      <c r="B483" t="s">
        <v>602</v>
      </c>
      <c r="C483" t="s">
        <v>603</v>
      </c>
      <c r="D483" t="s">
        <v>604</v>
      </c>
      <c r="E483" t="s">
        <v>605</v>
      </c>
      <c r="F483" t="s">
        <v>112</v>
      </c>
      <c r="G483" t="s">
        <v>32</v>
      </c>
      <c r="H483">
        <v>2</v>
      </c>
      <c r="I483" t="b">
        <v>1</v>
      </c>
      <c r="J483" t="s">
        <v>602</v>
      </c>
      <c r="K483">
        <v>1</v>
      </c>
      <c r="L483" t="s">
        <v>124</v>
      </c>
      <c r="M483">
        <v>1</v>
      </c>
      <c r="N483">
        <v>1</v>
      </c>
      <c r="O483">
        <v>495920</v>
      </c>
      <c r="P483" t="s">
        <v>4109</v>
      </c>
    </row>
    <row r="484" spans="1:16" x14ac:dyDescent="0.25">
      <c r="A484" t="s">
        <v>1891</v>
      </c>
      <c r="B484" t="s">
        <v>1890</v>
      </c>
      <c r="C484" t="s">
        <v>1891</v>
      </c>
      <c r="D484" t="s">
        <v>1892</v>
      </c>
      <c r="E484" t="s">
        <v>1893</v>
      </c>
      <c r="F484" t="s">
        <v>50</v>
      </c>
      <c r="G484" t="s">
        <v>32</v>
      </c>
      <c r="H484">
        <v>3</v>
      </c>
      <c r="I484" t="b">
        <v>1</v>
      </c>
      <c r="J484" t="s">
        <v>1890</v>
      </c>
      <c r="K484">
        <v>1</v>
      </c>
      <c r="L484" t="s">
        <v>1545</v>
      </c>
      <c r="M484">
        <v>1</v>
      </c>
      <c r="N484">
        <v>1</v>
      </c>
      <c r="O484">
        <v>418098.95</v>
      </c>
      <c r="P484" t="s">
        <v>4109</v>
      </c>
    </row>
    <row r="485" spans="1:16" x14ac:dyDescent="0.25">
      <c r="A485" t="s">
        <v>624</v>
      </c>
      <c r="B485" t="s">
        <v>623</v>
      </c>
      <c r="C485" t="s">
        <v>624</v>
      </c>
      <c r="D485" t="s">
        <v>625</v>
      </c>
      <c r="E485" t="s">
        <v>111</v>
      </c>
      <c r="F485" t="s">
        <v>112</v>
      </c>
      <c r="G485" t="s">
        <v>490</v>
      </c>
      <c r="H485">
        <v>3</v>
      </c>
      <c r="I485" t="b">
        <v>1</v>
      </c>
      <c r="J485" t="s">
        <v>623</v>
      </c>
      <c r="K485">
        <v>1</v>
      </c>
      <c r="L485" t="s">
        <v>124</v>
      </c>
      <c r="M485">
        <v>1</v>
      </c>
      <c r="N485">
        <v>1</v>
      </c>
      <c r="O485">
        <v>403428.73</v>
      </c>
      <c r="P485" t="s">
        <v>4109</v>
      </c>
    </row>
    <row r="486" spans="1:16" x14ac:dyDescent="0.25">
      <c r="A486" t="s">
        <v>1985</v>
      </c>
      <c r="B486" t="s">
        <v>1984</v>
      </c>
      <c r="C486" t="s">
        <v>1985</v>
      </c>
      <c r="D486" t="s">
        <v>1986</v>
      </c>
      <c r="E486" t="s">
        <v>1987</v>
      </c>
      <c r="F486" t="s">
        <v>61</v>
      </c>
      <c r="G486" t="s">
        <v>32</v>
      </c>
      <c r="H486">
        <v>3</v>
      </c>
      <c r="I486" t="b">
        <v>1</v>
      </c>
      <c r="J486" t="s">
        <v>1984</v>
      </c>
      <c r="K486">
        <v>1</v>
      </c>
      <c r="L486" t="s">
        <v>1545</v>
      </c>
      <c r="M486">
        <v>1</v>
      </c>
      <c r="N486">
        <v>1</v>
      </c>
      <c r="O486">
        <v>400016.04</v>
      </c>
      <c r="P486" t="s">
        <v>4109</v>
      </c>
    </row>
    <row r="487" spans="1:16" x14ac:dyDescent="0.25">
      <c r="A487" t="s">
        <v>1385</v>
      </c>
      <c r="B487" t="s">
        <v>1384</v>
      </c>
      <c r="C487" t="s">
        <v>1385</v>
      </c>
      <c r="D487" t="s">
        <v>1386</v>
      </c>
      <c r="E487" t="s">
        <v>1297</v>
      </c>
      <c r="F487" t="s">
        <v>31</v>
      </c>
      <c r="G487" t="s">
        <v>32</v>
      </c>
      <c r="H487">
        <v>3</v>
      </c>
      <c r="I487" t="b">
        <v>1</v>
      </c>
      <c r="J487" t="s">
        <v>1384</v>
      </c>
      <c r="K487">
        <v>1</v>
      </c>
      <c r="L487" t="s">
        <v>4173</v>
      </c>
      <c r="M487">
        <v>2</v>
      </c>
      <c r="N487">
        <v>2</v>
      </c>
      <c r="O487">
        <v>373646.11</v>
      </c>
      <c r="P487" t="s">
        <v>4109</v>
      </c>
    </row>
    <row r="488" spans="1:16" x14ac:dyDescent="0.25">
      <c r="A488" t="s">
        <v>2252</v>
      </c>
      <c r="B488" t="s">
        <v>2251</v>
      </c>
      <c r="C488" t="s">
        <v>2252</v>
      </c>
      <c r="D488" t="s">
        <v>2253</v>
      </c>
      <c r="E488" t="s">
        <v>816</v>
      </c>
      <c r="F488" t="s">
        <v>112</v>
      </c>
      <c r="G488" t="s">
        <v>32</v>
      </c>
      <c r="H488">
        <v>3</v>
      </c>
      <c r="I488" t="b">
        <v>1</v>
      </c>
      <c r="J488" t="s">
        <v>2251</v>
      </c>
      <c r="K488">
        <v>1</v>
      </c>
      <c r="L488" t="s">
        <v>2242</v>
      </c>
      <c r="M488">
        <v>1</v>
      </c>
      <c r="N488">
        <v>1</v>
      </c>
      <c r="O488">
        <v>362271.28</v>
      </c>
      <c r="P488" t="s">
        <v>4109</v>
      </c>
    </row>
    <row r="489" spans="1:16" x14ac:dyDescent="0.25">
      <c r="A489" t="s">
        <v>1130</v>
      </c>
      <c r="B489" t="s">
        <v>1129</v>
      </c>
      <c r="C489" t="s">
        <v>1130</v>
      </c>
      <c r="D489" t="s">
        <v>1131</v>
      </c>
      <c r="E489" t="s">
        <v>1132</v>
      </c>
      <c r="F489" t="s">
        <v>112</v>
      </c>
      <c r="G489" t="s">
        <v>32</v>
      </c>
      <c r="H489">
        <v>3</v>
      </c>
      <c r="I489" t="b">
        <v>1</v>
      </c>
      <c r="J489" t="s">
        <v>1129</v>
      </c>
      <c r="K489">
        <v>1</v>
      </c>
      <c r="L489" t="s">
        <v>4214</v>
      </c>
      <c r="M489">
        <v>3</v>
      </c>
      <c r="N489">
        <v>3</v>
      </c>
      <c r="O489">
        <v>360954.78999999992</v>
      </c>
      <c r="P489" t="s">
        <v>4109</v>
      </c>
    </row>
    <row r="490" spans="1:16" x14ac:dyDescent="0.25">
      <c r="A490" t="s">
        <v>1580</v>
      </c>
      <c r="B490" t="s">
        <v>1579</v>
      </c>
      <c r="C490" t="s">
        <v>1580</v>
      </c>
      <c r="D490" t="s">
        <v>1581</v>
      </c>
      <c r="E490" t="s">
        <v>1582</v>
      </c>
      <c r="F490" t="s">
        <v>50</v>
      </c>
      <c r="G490" t="s">
        <v>32</v>
      </c>
      <c r="H490">
        <v>3</v>
      </c>
      <c r="I490" t="b">
        <v>1</v>
      </c>
      <c r="J490" t="s">
        <v>1579</v>
      </c>
      <c r="K490">
        <v>1</v>
      </c>
      <c r="L490" t="s">
        <v>1545</v>
      </c>
      <c r="M490">
        <v>1</v>
      </c>
      <c r="N490">
        <v>1</v>
      </c>
      <c r="O490">
        <v>348530</v>
      </c>
      <c r="P490" t="s">
        <v>4109</v>
      </c>
    </row>
    <row r="491" spans="1:16" x14ac:dyDescent="0.25">
      <c r="A491" t="s">
        <v>2276</v>
      </c>
      <c r="B491" t="s">
        <v>2275</v>
      </c>
      <c r="C491" t="s">
        <v>2276</v>
      </c>
      <c r="D491" t="s">
        <v>2277</v>
      </c>
      <c r="E491" t="s">
        <v>422</v>
      </c>
      <c r="F491" t="s">
        <v>44</v>
      </c>
      <c r="G491" t="s">
        <v>32</v>
      </c>
      <c r="H491">
        <v>3</v>
      </c>
      <c r="I491" t="b">
        <v>1</v>
      </c>
      <c r="J491" t="s">
        <v>2275</v>
      </c>
      <c r="K491">
        <v>1</v>
      </c>
      <c r="L491" t="s">
        <v>2242</v>
      </c>
      <c r="M491">
        <v>1</v>
      </c>
      <c r="N491">
        <v>1</v>
      </c>
      <c r="O491">
        <v>345577.32</v>
      </c>
      <c r="P491" t="s">
        <v>4109</v>
      </c>
    </row>
    <row r="492" spans="1:16" x14ac:dyDescent="0.25">
      <c r="A492" t="s">
        <v>1556</v>
      </c>
      <c r="B492" t="s">
        <v>1555</v>
      </c>
      <c r="C492" t="s">
        <v>1556</v>
      </c>
      <c r="D492" t="s">
        <v>1557</v>
      </c>
      <c r="E492" t="s">
        <v>1558</v>
      </c>
      <c r="F492" t="s">
        <v>50</v>
      </c>
      <c r="G492" t="s">
        <v>32</v>
      </c>
      <c r="H492">
        <v>3</v>
      </c>
      <c r="I492" t="b">
        <v>1</v>
      </c>
      <c r="J492" t="s">
        <v>1555</v>
      </c>
      <c r="K492">
        <v>1</v>
      </c>
      <c r="L492" t="s">
        <v>1545</v>
      </c>
      <c r="M492">
        <v>1</v>
      </c>
      <c r="N492">
        <v>1</v>
      </c>
      <c r="O492">
        <v>331349.48</v>
      </c>
      <c r="P492" t="s">
        <v>4109</v>
      </c>
    </row>
    <row r="493" spans="1:16" x14ac:dyDescent="0.25">
      <c r="A493" t="s">
        <v>1628</v>
      </c>
      <c r="B493" t="s">
        <v>1627</v>
      </c>
      <c r="C493" t="s">
        <v>1628</v>
      </c>
      <c r="D493" t="s">
        <v>1629</v>
      </c>
      <c r="E493" t="s">
        <v>1625</v>
      </c>
      <c r="F493" t="s">
        <v>50</v>
      </c>
      <c r="G493" t="s">
        <v>32</v>
      </c>
      <c r="H493">
        <v>3</v>
      </c>
      <c r="I493" t="b">
        <v>1</v>
      </c>
      <c r="J493" t="s">
        <v>1627</v>
      </c>
      <c r="K493">
        <v>1</v>
      </c>
      <c r="L493" t="s">
        <v>1545</v>
      </c>
      <c r="M493">
        <v>1</v>
      </c>
      <c r="N493">
        <v>1</v>
      </c>
      <c r="O493">
        <v>308895.5</v>
      </c>
      <c r="P493" t="s">
        <v>4109</v>
      </c>
    </row>
    <row r="494" spans="1:16" x14ac:dyDescent="0.25">
      <c r="A494" t="s">
        <v>1923</v>
      </c>
      <c r="B494" t="s">
        <v>1922</v>
      </c>
      <c r="C494" t="s">
        <v>1923</v>
      </c>
      <c r="D494" t="s">
        <v>1924</v>
      </c>
      <c r="E494" t="s">
        <v>1925</v>
      </c>
      <c r="F494" t="s">
        <v>31</v>
      </c>
      <c r="G494" t="s">
        <v>32</v>
      </c>
      <c r="H494">
        <v>3</v>
      </c>
      <c r="I494" t="b">
        <v>1</v>
      </c>
      <c r="J494" t="s">
        <v>1922</v>
      </c>
      <c r="K494">
        <v>1</v>
      </c>
      <c r="L494" t="s">
        <v>1545</v>
      </c>
      <c r="M494">
        <v>1</v>
      </c>
      <c r="N494">
        <v>1</v>
      </c>
      <c r="O494">
        <v>280587.36</v>
      </c>
      <c r="P494" t="s">
        <v>4109</v>
      </c>
    </row>
    <row r="495" spans="1:16" x14ac:dyDescent="0.25">
      <c r="A495" t="s">
        <v>487</v>
      </c>
      <c r="B495" t="s">
        <v>486</v>
      </c>
      <c r="C495" t="s">
        <v>487</v>
      </c>
      <c r="D495" t="s">
        <v>488</v>
      </c>
      <c r="E495" t="s">
        <v>489</v>
      </c>
      <c r="F495" t="s">
        <v>112</v>
      </c>
      <c r="G495" t="s">
        <v>32</v>
      </c>
      <c r="H495">
        <v>3</v>
      </c>
      <c r="I495" t="b">
        <v>1</v>
      </c>
      <c r="J495" t="s">
        <v>486</v>
      </c>
      <c r="K495">
        <v>1</v>
      </c>
      <c r="L495" t="s">
        <v>124</v>
      </c>
      <c r="M495">
        <v>1</v>
      </c>
      <c r="N495">
        <v>1</v>
      </c>
      <c r="O495">
        <v>278903.09999999998</v>
      </c>
      <c r="P495" t="s">
        <v>4109</v>
      </c>
    </row>
    <row r="496" spans="1:16" x14ac:dyDescent="0.25">
      <c r="A496" t="s">
        <v>779</v>
      </c>
      <c r="B496" t="s">
        <v>778</v>
      </c>
      <c r="C496" t="s">
        <v>779</v>
      </c>
      <c r="D496" t="s">
        <v>780</v>
      </c>
      <c r="E496" t="s">
        <v>111</v>
      </c>
      <c r="F496" t="s">
        <v>112</v>
      </c>
      <c r="G496" t="s">
        <v>32</v>
      </c>
      <c r="H496">
        <v>3</v>
      </c>
      <c r="I496" t="b">
        <v>1</v>
      </c>
      <c r="J496" t="s">
        <v>778</v>
      </c>
      <c r="K496">
        <v>1</v>
      </c>
      <c r="L496" t="s">
        <v>124</v>
      </c>
      <c r="M496">
        <v>1</v>
      </c>
      <c r="N496">
        <v>1</v>
      </c>
      <c r="O496">
        <v>261964.44</v>
      </c>
      <c r="P496" t="s">
        <v>4109</v>
      </c>
    </row>
    <row r="497" spans="1:16" x14ac:dyDescent="0.25">
      <c r="A497" t="s">
        <v>1497</v>
      </c>
      <c r="B497" t="s">
        <v>1496</v>
      </c>
      <c r="C497" t="s">
        <v>1497</v>
      </c>
      <c r="D497" t="s">
        <v>1498</v>
      </c>
      <c r="E497" t="s">
        <v>1499</v>
      </c>
      <c r="F497" t="s">
        <v>31</v>
      </c>
      <c r="G497" t="s">
        <v>32</v>
      </c>
      <c r="H497">
        <v>3</v>
      </c>
      <c r="I497" t="b">
        <v>1</v>
      </c>
      <c r="J497" t="s">
        <v>1496</v>
      </c>
      <c r="K497">
        <v>1</v>
      </c>
      <c r="L497" t="s">
        <v>4170</v>
      </c>
      <c r="M497">
        <v>4</v>
      </c>
      <c r="N497">
        <v>4</v>
      </c>
      <c r="O497">
        <v>252844.90000000049</v>
      </c>
      <c r="P497" t="s">
        <v>4109</v>
      </c>
    </row>
    <row r="498" spans="1:16" x14ac:dyDescent="0.25">
      <c r="A498" t="s">
        <v>1619</v>
      </c>
      <c r="B498" t="s">
        <v>1618</v>
      </c>
      <c r="C498" t="s">
        <v>1619</v>
      </c>
      <c r="D498" t="s">
        <v>1620</v>
      </c>
      <c r="E498" t="s">
        <v>960</v>
      </c>
      <c r="F498" t="s">
        <v>31</v>
      </c>
      <c r="G498" t="s">
        <v>32</v>
      </c>
      <c r="H498">
        <v>3</v>
      </c>
      <c r="I498" t="b">
        <v>1</v>
      </c>
      <c r="J498" t="s">
        <v>1618</v>
      </c>
      <c r="K498">
        <v>1</v>
      </c>
      <c r="L498" t="s">
        <v>1545</v>
      </c>
      <c r="M498">
        <v>1</v>
      </c>
      <c r="N498">
        <v>1</v>
      </c>
      <c r="O498">
        <v>236737.41</v>
      </c>
      <c r="P498" t="s">
        <v>4109</v>
      </c>
    </row>
    <row r="499" spans="1:16" x14ac:dyDescent="0.25">
      <c r="A499" t="s">
        <v>2139</v>
      </c>
      <c r="B499" t="s">
        <v>2138</v>
      </c>
      <c r="C499" t="s">
        <v>2139</v>
      </c>
      <c r="D499" t="s">
        <v>2140</v>
      </c>
      <c r="E499" t="s">
        <v>2050</v>
      </c>
      <c r="F499" t="s">
        <v>50</v>
      </c>
      <c r="G499" t="s">
        <v>32</v>
      </c>
      <c r="H499">
        <v>3</v>
      </c>
      <c r="I499" t="b">
        <v>1</v>
      </c>
      <c r="J499" t="s">
        <v>2138</v>
      </c>
      <c r="K499">
        <v>1</v>
      </c>
      <c r="L499" t="s">
        <v>1545</v>
      </c>
      <c r="M499">
        <v>1</v>
      </c>
      <c r="N499">
        <v>1</v>
      </c>
      <c r="O499">
        <v>221435.37</v>
      </c>
      <c r="P499" t="s">
        <v>4109</v>
      </c>
    </row>
    <row r="500" spans="1:16" x14ac:dyDescent="0.25">
      <c r="A500" t="s">
        <v>2419</v>
      </c>
      <c r="B500" t="s">
        <v>2418</v>
      </c>
      <c r="C500" t="s">
        <v>2419</v>
      </c>
      <c r="D500" t="s">
        <v>2420</v>
      </c>
      <c r="E500" t="s">
        <v>2417</v>
      </c>
      <c r="F500" t="s">
        <v>31</v>
      </c>
      <c r="G500" t="s">
        <v>358</v>
      </c>
      <c r="H500">
        <v>3</v>
      </c>
      <c r="I500" t="b">
        <v>1</v>
      </c>
      <c r="J500" t="s">
        <v>2418</v>
      </c>
      <c r="K500">
        <v>1</v>
      </c>
      <c r="L500" t="s">
        <v>124</v>
      </c>
      <c r="M500">
        <v>1</v>
      </c>
      <c r="N500">
        <v>1</v>
      </c>
      <c r="O500">
        <v>219812.36</v>
      </c>
      <c r="P500" t="s">
        <v>4109</v>
      </c>
    </row>
    <row r="501" spans="1:16" x14ac:dyDescent="0.25">
      <c r="A501" t="s">
        <v>1642</v>
      </c>
      <c r="B501" t="s">
        <v>1641</v>
      </c>
      <c r="C501" t="s">
        <v>1642</v>
      </c>
      <c r="D501" t="s">
        <v>1643</v>
      </c>
      <c r="E501" t="s">
        <v>1639</v>
      </c>
      <c r="F501" t="s">
        <v>50</v>
      </c>
      <c r="G501" t="s">
        <v>32</v>
      </c>
      <c r="H501">
        <v>3</v>
      </c>
      <c r="I501" t="b">
        <v>1</v>
      </c>
      <c r="J501" t="s">
        <v>1641</v>
      </c>
      <c r="K501">
        <v>1</v>
      </c>
      <c r="L501" t="s">
        <v>1545</v>
      </c>
      <c r="M501">
        <v>1</v>
      </c>
      <c r="N501">
        <v>1</v>
      </c>
      <c r="O501">
        <v>217220.33</v>
      </c>
      <c r="P501" t="s">
        <v>4109</v>
      </c>
    </row>
    <row r="502" spans="1:16" x14ac:dyDescent="0.25">
      <c r="A502" t="s">
        <v>1990</v>
      </c>
      <c r="B502" t="s">
        <v>1989</v>
      </c>
      <c r="C502" t="s">
        <v>1990</v>
      </c>
      <c r="D502" t="s">
        <v>1991</v>
      </c>
      <c r="E502" t="s">
        <v>1992</v>
      </c>
      <c r="F502" t="s">
        <v>31</v>
      </c>
      <c r="G502" t="s">
        <v>32</v>
      </c>
      <c r="H502">
        <v>3</v>
      </c>
      <c r="I502" t="b">
        <v>1</v>
      </c>
      <c r="J502" t="s">
        <v>1989</v>
      </c>
      <c r="K502">
        <v>1</v>
      </c>
      <c r="L502" t="s">
        <v>1545</v>
      </c>
      <c r="M502">
        <v>1</v>
      </c>
      <c r="N502">
        <v>1</v>
      </c>
      <c r="O502">
        <v>215251.62</v>
      </c>
      <c r="P502" t="s">
        <v>4109</v>
      </c>
    </row>
    <row r="503" spans="1:16" x14ac:dyDescent="0.25">
      <c r="A503" t="s">
        <v>1623</v>
      </c>
      <c r="B503" t="s">
        <v>1622</v>
      </c>
      <c r="C503" t="s">
        <v>1623</v>
      </c>
      <c r="D503" t="s">
        <v>1624</v>
      </c>
      <c r="E503" t="s">
        <v>1625</v>
      </c>
      <c r="F503" t="s">
        <v>50</v>
      </c>
      <c r="G503" t="s">
        <v>32</v>
      </c>
      <c r="H503">
        <v>3</v>
      </c>
      <c r="I503" t="b">
        <v>1</v>
      </c>
      <c r="J503" t="s">
        <v>1622</v>
      </c>
      <c r="K503">
        <v>1</v>
      </c>
      <c r="L503" t="s">
        <v>1545</v>
      </c>
      <c r="M503">
        <v>1</v>
      </c>
      <c r="N503">
        <v>1</v>
      </c>
      <c r="O503">
        <v>206177.83</v>
      </c>
      <c r="P503" t="s">
        <v>4109</v>
      </c>
    </row>
    <row r="504" spans="1:16" x14ac:dyDescent="0.25">
      <c r="A504" t="s">
        <v>1074</v>
      </c>
      <c r="B504" t="s">
        <v>1073</v>
      </c>
      <c r="C504" t="s">
        <v>1074</v>
      </c>
      <c r="D504" t="s">
        <v>1075</v>
      </c>
      <c r="E504" t="s">
        <v>1076</v>
      </c>
      <c r="F504" t="s">
        <v>50</v>
      </c>
      <c r="G504" t="s">
        <v>32</v>
      </c>
      <c r="H504">
        <v>3</v>
      </c>
      <c r="I504" t="b">
        <v>1</v>
      </c>
      <c r="J504" t="s">
        <v>1073</v>
      </c>
      <c r="K504">
        <v>1</v>
      </c>
      <c r="L504" t="s">
        <v>4173</v>
      </c>
      <c r="M504">
        <v>2</v>
      </c>
      <c r="N504">
        <v>2</v>
      </c>
      <c r="O504">
        <v>193174.26</v>
      </c>
      <c r="P504" t="s">
        <v>4109</v>
      </c>
    </row>
    <row r="505" spans="1:16" x14ac:dyDescent="0.25">
      <c r="A505" t="s">
        <v>2095</v>
      </c>
      <c r="B505" t="s">
        <v>2094</v>
      </c>
      <c r="C505" t="s">
        <v>2095</v>
      </c>
      <c r="D505" t="s">
        <v>2096</v>
      </c>
      <c r="E505" t="s">
        <v>270</v>
      </c>
      <c r="F505" t="s">
        <v>44</v>
      </c>
      <c r="G505" t="s">
        <v>32</v>
      </c>
      <c r="H505">
        <v>3</v>
      </c>
      <c r="I505" t="b">
        <v>1</v>
      </c>
      <c r="J505" t="s">
        <v>2094</v>
      </c>
      <c r="K505">
        <v>1</v>
      </c>
      <c r="L505" t="s">
        <v>1545</v>
      </c>
      <c r="M505">
        <v>1</v>
      </c>
      <c r="N505">
        <v>1</v>
      </c>
      <c r="O505">
        <v>182675.98</v>
      </c>
      <c r="P505" t="s">
        <v>4109</v>
      </c>
    </row>
    <row r="506" spans="1:16" x14ac:dyDescent="0.25">
      <c r="A506" t="s">
        <v>1032</v>
      </c>
      <c r="B506" t="s">
        <v>1031</v>
      </c>
      <c r="C506" t="s">
        <v>1032</v>
      </c>
      <c r="D506" t="s">
        <v>1033</v>
      </c>
      <c r="E506" t="s">
        <v>1034</v>
      </c>
      <c r="F506" t="s">
        <v>44</v>
      </c>
      <c r="G506" t="s">
        <v>32</v>
      </c>
      <c r="H506">
        <v>3</v>
      </c>
      <c r="I506" t="b">
        <v>1</v>
      </c>
      <c r="J506" t="s">
        <v>4254</v>
      </c>
      <c r="K506">
        <v>2</v>
      </c>
      <c r="L506" t="s">
        <v>4214</v>
      </c>
      <c r="M506">
        <v>3</v>
      </c>
      <c r="N506">
        <v>4</v>
      </c>
      <c r="O506">
        <v>173416.6699999999</v>
      </c>
      <c r="P506" t="s">
        <v>4109</v>
      </c>
    </row>
    <row r="507" spans="1:16" x14ac:dyDescent="0.25">
      <c r="A507" t="s">
        <v>2117</v>
      </c>
      <c r="B507" t="s">
        <v>2116</v>
      </c>
      <c r="C507" t="s">
        <v>2117</v>
      </c>
      <c r="D507" t="s">
        <v>2118</v>
      </c>
      <c r="E507" t="s">
        <v>2119</v>
      </c>
      <c r="F507" t="s">
        <v>44</v>
      </c>
      <c r="G507" t="s">
        <v>32</v>
      </c>
      <c r="H507">
        <v>3</v>
      </c>
      <c r="I507" t="b">
        <v>1</v>
      </c>
      <c r="J507" t="s">
        <v>2116</v>
      </c>
      <c r="K507">
        <v>1</v>
      </c>
      <c r="L507" t="s">
        <v>1545</v>
      </c>
      <c r="M507">
        <v>1</v>
      </c>
      <c r="N507">
        <v>1</v>
      </c>
      <c r="O507">
        <v>154658.29</v>
      </c>
      <c r="P507" t="s">
        <v>4109</v>
      </c>
    </row>
    <row r="508" spans="1:16" x14ac:dyDescent="0.25">
      <c r="A508" t="s">
        <v>2232</v>
      </c>
      <c r="B508" t="s">
        <v>2231</v>
      </c>
      <c r="C508" t="s">
        <v>2232</v>
      </c>
      <c r="D508" t="s">
        <v>2233</v>
      </c>
      <c r="E508" t="s">
        <v>2234</v>
      </c>
      <c r="F508" t="s">
        <v>2221</v>
      </c>
      <c r="G508" t="s">
        <v>32</v>
      </c>
      <c r="H508">
        <v>3</v>
      </c>
      <c r="I508" t="b">
        <v>1</v>
      </c>
      <c r="J508" t="s">
        <v>2231</v>
      </c>
      <c r="K508">
        <v>1</v>
      </c>
      <c r="L508" t="s">
        <v>2200</v>
      </c>
      <c r="M508">
        <v>1</v>
      </c>
      <c r="N508">
        <v>1</v>
      </c>
      <c r="O508">
        <v>143660.94</v>
      </c>
      <c r="P508" t="s">
        <v>4109</v>
      </c>
    </row>
    <row r="509" spans="1:16" x14ac:dyDescent="0.25">
      <c r="A509" t="s">
        <v>575</v>
      </c>
      <c r="B509" t="s">
        <v>574</v>
      </c>
      <c r="C509" t="s">
        <v>575</v>
      </c>
      <c r="D509" t="s">
        <v>576</v>
      </c>
      <c r="E509" t="s">
        <v>577</v>
      </c>
      <c r="F509" t="s">
        <v>112</v>
      </c>
      <c r="G509" t="s">
        <v>32</v>
      </c>
      <c r="H509">
        <v>3</v>
      </c>
      <c r="I509" t="b">
        <v>1</v>
      </c>
      <c r="J509" t="s">
        <v>574</v>
      </c>
      <c r="K509">
        <v>1</v>
      </c>
      <c r="L509" t="s">
        <v>124</v>
      </c>
      <c r="M509">
        <v>1</v>
      </c>
      <c r="N509">
        <v>1</v>
      </c>
      <c r="O509">
        <v>123681.65</v>
      </c>
      <c r="P509" t="s">
        <v>4109</v>
      </c>
    </row>
    <row r="510" spans="1:16" x14ac:dyDescent="0.25">
      <c r="A510" t="s">
        <v>1615</v>
      </c>
      <c r="B510" t="s">
        <v>1614</v>
      </c>
      <c r="C510" t="s">
        <v>1615</v>
      </c>
      <c r="D510" t="s">
        <v>1616</v>
      </c>
      <c r="E510" t="s">
        <v>478</v>
      </c>
      <c r="F510" t="s">
        <v>31</v>
      </c>
      <c r="G510" t="s">
        <v>32</v>
      </c>
      <c r="H510">
        <v>3</v>
      </c>
      <c r="I510" t="b">
        <v>1</v>
      </c>
      <c r="J510" t="s">
        <v>1614</v>
      </c>
      <c r="K510">
        <v>1</v>
      </c>
      <c r="L510" t="s">
        <v>1545</v>
      </c>
      <c r="M510">
        <v>1</v>
      </c>
      <c r="N510">
        <v>1</v>
      </c>
      <c r="O510">
        <v>88455</v>
      </c>
      <c r="P510" t="s">
        <v>4109</v>
      </c>
    </row>
    <row r="511" spans="1:16" x14ac:dyDescent="0.25">
      <c r="A511" t="s">
        <v>1207</v>
      </c>
      <c r="B511" t="s">
        <v>1206</v>
      </c>
      <c r="C511" t="s">
        <v>1207</v>
      </c>
      <c r="D511" t="s">
        <v>1208</v>
      </c>
      <c r="E511" t="s">
        <v>1209</v>
      </c>
      <c r="F511" t="s">
        <v>44</v>
      </c>
      <c r="G511" t="s">
        <v>32</v>
      </c>
      <c r="H511">
        <v>3</v>
      </c>
      <c r="I511" t="b">
        <v>1</v>
      </c>
      <c r="J511" t="s">
        <v>1206</v>
      </c>
      <c r="K511">
        <v>1</v>
      </c>
      <c r="L511" t="s">
        <v>4173</v>
      </c>
      <c r="M511">
        <v>2</v>
      </c>
      <c r="N511">
        <v>2</v>
      </c>
      <c r="O511">
        <v>70335.83</v>
      </c>
      <c r="P511" t="s">
        <v>4109</v>
      </c>
    </row>
    <row r="512" spans="1:16" x14ac:dyDescent="0.25">
      <c r="A512" t="s">
        <v>1284</v>
      </c>
      <c r="B512" t="s">
        <v>1283</v>
      </c>
      <c r="C512" t="s">
        <v>1284</v>
      </c>
      <c r="D512" t="s">
        <v>1285</v>
      </c>
      <c r="E512" t="s">
        <v>1286</v>
      </c>
      <c r="F512" t="s">
        <v>44</v>
      </c>
      <c r="G512" t="s">
        <v>32</v>
      </c>
      <c r="H512">
        <v>3</v>
      </c>
      <c r="I512" t="b">
        <v>1</v>
      </c>
      <c r="J512" t="s">
        <v>1283</v>
      </c>
      <c r="K512">
        <v>1</v>
      </c>
      <c r="L512" t="s">
        <v>4173</v>
      </c>
      <c r="M512">
        <v>2</v>
      </c>
      <c r="N512">
        <v>2</v>
      </c>
      <c r="O512">
        <v>56087.5</v>
      </c>
      <c r="P512" t="s">
        <v>4109</v>
      </c>
    </row>
    <row r="513" spans="1:16" x14ac:dyDescent="0.25">
      <c r="A513" t="s">
        <v>612</v>
      </c>
      <c r="B513" t="s">
        <v>611</v>
      </c>
      <c r="C513" t="s">
        <v>612</v>
      </c>
      <c r="D513" t="s">
        <v>613</v>
      </c>
      <c r="E513" t="s">
        <v>111</v>
      </c>
      <c r="F513" t="s">
        <v>112</v>
      </c>
      <c r="G513" t="s">
        <v>490</v>
      </c>
      <c r="H513">
        <v>3</v>
      </c>
      <c r="I513" t="b">
        <v>1</v>
      </c>
      <c r="J513" t="s">
        <v>611</v>
      </c>
      <c r="K513">
        <v>1</v>
      </c>
      <c r="L513" t="s">
        <v>124</v>
      </c>
      <c r="M513">
        <v>1</v>
      </c>
      <c r="N513">
        <v>1</v>
      </c>
      <c r="O513">
        <v>40050.760000000009</v>
      </c>
      <c r="P513" t="s">
        <v>4109</v>
      </c>
    </row>
    <row r="514" spans="1:16" x14ac:dyDescent="0.25">
      <c r="A514" t="s">
        <v>2240</v>
      </c>
      <c r="B514" t="s">
        <v>2239</v>
      </c>
      <c r="C514" t="s">
        <v>2240</v>
      </c>
      <c r="D514" t="s">
        <v>2241</v>
      </c>
      <c r="E514" t="s">
        <v>184</v>
      </c>
      <c r="F514" t="s">
        <v>112</v>
      </c>
      <c r="G514" t="s">
        <v>32</v>
      </c>
      <c r="H514">
        <v>3</v>
      </c>
      <c r="I514" t="b">
        <v>1</v>
      </c>
      <c r="J514" t="s">
        <v>2239</v>
      </c>
      <c r="K514">
        <v>1</v>
      </c>
      <c r="L514" t="s">
        <v>2200</v>
      </c>
      <c r="M514">
        <v>1</v>
      </c>
      <c r="N514">
        <v>1</v>
      </c>
      <c r="O514">
        <v>34713.120000000017</v>
      </c>
      <c r="P514" t="s">
        <v>4109</v>
      </c>
    </row>
    <row r="515" spans="1:16" x14ac:dyDescent="0.25">
      <c r="A515" t="s">
        <v>292</v>
      </c>
      <c r="B515" t="s">
        <v>291</v>
      </c>
      <c r="C515" t="s">
        <v>292</v>
      </c>
      <c r="D515" t="s">
        <v>293</v>
      </c>
      <c r="E515" t="s">
        <v>289</v>
      </c>
      <c r="F515" t="s">
        <v>44</v>
      </c>
      <c r="G515" t="s">
        <v>180</v>
      </c>
      <c r="H515">
        <v>3</v>
      </c>
      <c r="I515" t="b">
        <v>1</v>
      </c>
      <c r="J515" t="s">
        <v>291</v>
      </c>
      <c r="K515">
        <v>1</v>
      </c>
      <c r="L515" t="s">
        <v>124</v>
      </c>
      <c r="M515">
        <v>1</v>
      </c>
      <c r="N515">
        <v>1</v>
      </c>
      <c r="O515">
        <v>16880.34</v>
      </c>
      <c r="P515" t="s">
        <v>4109</v>
      </c>
    </row>
    <row r="516" spans="1:16" x14ac:dyDescent="0.25">
      <c r="A516" t="s">
        <v>2210</v>
      </c>
      <c r="B516" t="s">
        <v>2209</v>
      </c>
      <c r="C516" t="s">
        <v>2210</v>
      </c>
      <c r="D516" t="s">
        <v>2211</v>
      </c>
      <c r="E516" t="s">
        <v>2212</v>
      </c>
      <c r="F516" t="s">
        <v>31</v>
      </c>
      <c r="G516" t="s">
        <v>32</v>
      </c>
      <c r="H516">
        <v>3</v>
      </c>
      <c r="I516" t="b">
        <v>1</v>
      </c>
      <c r="J516" t="s">
        <v>2209</v>
      </c>
      <c r="K516">
        <v>1</v>
      </c>
      <c r="L516" t="s">
        <v>2200</v>
      </c>
      <c r="M516">
        <v>1</v>
      </c>
      <c r="N516">
        <v>1</v>
      </c>
      <c r="O516">
        <v>9467.2000000000007</v>
      </c>
      <c r="P516" t="s">
        <v>4109</v>
      </c>
    </row>
    <row r="517" spans="1:16" x14ac:dyDescent="0.25">
      <c r="A517" t="s">
        <v>1187</v>
      </c>
      <c r="B517" t="s">
        <v>1186</v>
      </c>
      <c r="C517" t="s">
        <v>1187</v>
      </c>
      <c r="D517" t="s">
        <v>1188</v>
      </c>
      <c r="E517" t="s">
        <v>1189</v>
      </c>
      <c r="F517" t="s">
        <v>81</v>
      </c>
      <c r="G517" t="s">
        <v>32</v>
      </c>
      <c r="H517">
        <v>3</v>
      </c>
      <c r="I517" t="b">
        <v>1</v>
      </c>
      <c r="J517" t="s">
        <v>1186</v>
      </c>
      <c r="K517">
        <v>1</v>
      </c>
      <c r="L517" t="s">
        <v>4255</v>
      </c>
      <c r="M517">
        <v>2</v>
      </c>
      <c r="N517">
        <v>2</v>
      </c>
      <c r="O517">
        <v>2763.3599999999992</v>
      </c>
      <c r="P517" t="s">
        <v>4109</v>
      </c>
    </row>
    <row r="518" spans="1:16" x14ac:dyDescent="0.25">
      <c r="A518" t="s">
        <v>1100</v>
      </c>
      <c r="B518" t="s">
        <v>1096</v>
      </c>
      <c r="C518" t="s">
        <v>1097</v>
      </c>
      <c r="D518" t="s">
        <v>1098</v>
      </c>
      <c r="E518" t="s">
        <v>1093</v>
      </c>
      <c r="F518" t="s">
        <v>31</v>
      </c>
      <c r="G518" t="s">
        <v>32</v>
      </c>
      <c r="H518">
        <v>3</v>
      </c>
      <c r="I518" t="b">
        <v>1</v>
      </c>
      <c r="J518" t="s">
        <v>1096</v>
      </c>
      <c r="K518">
        <v>1</v>
      </c>
      <c r="L518" t="s">
        <v>1089</v>
      </c>
      <c r="M518">
        <v>1</v>
      </c>
      <c r="N518">
        <v>1</v>
      </c>
      <c r="O518">
        <v>0</v>
      </c>
      <c r="P518" t="s">
        <v>4109</v>
      </c>
    </row>
    <row r="519" spans="1:16" x14ac:dyDescent="0.25">
      <c r="A519" t="s">
        <v>1095</v>
      </c>
      <c r="B519" t="s">
        <v>1090</v>
      </c>
      <c r="C519" t="s">
        <v>1091</v>
      </c>
      <c r="D519" t="s">
        <v>1092</v>
      </c>
      <c r="E519" t="s">
        <v>1093</v>
      </c>
      <c r="F519" t="s">
        <v>31</v>
      </c>
      <c r="G519" t="s">
        <v>32</v>
      </c>
      <c r="H519">
        <v>3</v>
      </c>
      <c r="I519" t="b">
        <v>1</v>
      </c>
      <c r="J519" t="s">
        <v>1090</v>
      </c>
      <c r="K519">
        <v>1</v>
      </c>
      <c r="L519" t="s">
        <v>1089</v>
      </c>
      <c r="M519">
        <v>1</v>
      </c>
      <c r="N519">
        <v>1</v>
      </c>
      <c r="O519">
        <v>0</v>
      </c>
      <c r="P519" t="s">
        <v>4109</v>
      </c>
    </row>
    <row r="520" spans="1:16" x14ac:dyDescent="0.25">
      <c r="A520" t="s">
        <v>2607</v>
      </c>
      <c r="B520" t="s">
        <v>2607</v>
      </c>
      <c r="D520" t="s">
        <v>2608</v>
      </c>
      <c r="E520" t="s">
        <v>2529</v>
      </c>
      <c r="F520" t="s">
        <v>50</v>
      </c>
      <c r="G520" t="s">
        <v>241</v>
      </c>
      <c r="H520">
        <v>14</v>
      </c>
      <c r="I520" t="b">
        <v>0</v>
      </c>
      <c r="J520" t="s">
        <v>2607</v>
      </c>
      <c r="K520">
        <v>1</v>
      </c>
      <c r="L520" t="s">
        <v>25</v>
      </c>
      <c r="M520">
        <v>1</v>
      </c>
      <c r="N520">
        <v>1</v>
      </c>
      <c r="O520">
        <v>58875361886.010017</v>
      </c>
      <c r="P520" t="s">
        <v>2438</v>
      </c>
    </row>
    <row r="521" spans="1:16" x14ac:dyDescent="0.25">
      <c r="A521" t="s">
        <v>2639</v>
      </c>
      <c r="B521" t="s">
        <v>2639</v>
      </c>
      <c r="D521" t="s">
        <v>2640</v>
      </c>
      <c r="E521" t="s">
        <v>1449</v>
      </c>
      <c r="F521" t="s">
        <v>50</v>
      </c>
      <c r="G521" t="s">
        <v>241</v>
      </c>
      <c r="H521">
        <v>3</v>
      </c>
      <c r="I521" t="b">
        <v>0</v>
      </c>
      <c r="J521" t="s">
        <v>2639</v>
      </c>
      <c r="K521">
        <v>1</v>
      </c>
      <c r="L521" t="s">
        <v>4110</v>
      </c>
      <c r="M521">
        <v>3</v>
      </c>
      <c r="N521">
        <v>3</v>
      </c>
      <c r="O521">
        <v>38071521307.099998</v>
      </c>
      <c r="P521" t="s">
        <v>2618</v>
      </c>
    </row>
    <row r="522" spans="1:16" x14ac:dyDescent="0.25">
      <c r="A522" t="s">
        <v>2584</v>
      </c>
      <c r="B522" t="s">
        <v>2584</v>
      </c>
      <c r="D522" t="s">
        <v>2585</v>
      </c>
      <c r="E522" t="s">
        <v>1795</v>
      </c>
      <c r="F522" t="s">
        <v>50</v>
      </c>
      <c r="G522" t="s">
        <v>26</v>
      </c>
      <c r="H522">
        <v>7</v>
      </c>
      <c r="I522" t="b">
        <v>0</v>
      </c>
      <c r="J522" t="s">
        <v>2584</v>
      </c>
      <c r="K522">
        <v>1</v>
      </c>
      <c r="L522" t="s">
        <v>4108</v>
      </c>
      <c r="M522">
        <v>2</v>
      </c>
      <c r="N522">
        <v>2</v>
      </c>
      <c r="O522">
        <v>34174601283.459999</v>
      </c>
      <c r="P522" t="s">
        <v>2438</v>
      </c>
    </row>
    <row r="523" spans="1:16" x14ac:dyDescent="0.25">
      <c r="A523" t="s">
        <v>2621</v>
      </c>
      <c r="B523" t="s">
        <v>2621</v>
      </c>
      <c r="D523" t="s">
        <v>2622</v>
      </c>
      <c r="E523" t="s">
        <v>93</v>
      </c>
      <c r="F523" t="s">
        <v>50</v>
      </c>
      <c r="G523" t="s">
        <v>26</v>
      </c>
      <c r="H523">
        <v>3</v>
      </c>
      <c r="I523" t="b">
        <v>0</v>
      </c>
      <c r="J523" t="s">
        <v>2621</v>
      </c>
      <c r="K523">
        <v>1</v>
      </c>
      <c r="L523" t="s">
        <v>4110</v>
      </c>
      <c r="M523">
        <v>3</v>
      </c>
      <c r="N523">
        <v>3</v>
      </c>
      <c r="O523">
        <v>26756244182.009998</v>
      </c>
      <c r="P523" t="s">
        <v>2618</v>
      </c>
    </row>
    <row r="524" spans="1:16" x14ac:dyDescent="0.25">
      <c r="A524" t="s">
        <v>2605</v>
      </c>
      <c r="B524" t="s">
        <v>2605</v>
      </c>
      <c r="D524" t="s">
        <v>2606</v>
      </c>
      <c r="E524" t="s">
        <v>2598</v>
      </c>
      <c r="F524" t="s">
        <v>50</v>
      </c>
      <c r="G524" t="s">
        <v>241</v>
      </c>
      <c r="H524">
        <v>14</v>
      </c>
      <c r="I524" t="b">
        <v>0</v>
      </c>
      <c r="J524" t="s">
        <v>2605</v>
      </c>
      <c r="K524">
        <v>1</v>
      </c>
      <c r="L524" t="s">
        <v>25</v>
      </c>
      <c r="M524">
        <v>1</v>
      </c>
      <c r="N524">
        <v>1</v>
      </c>
      <c r="O524">
        <v>19659383689.220001</v>
      </c>
      <c r="P524" t="s">
        <v>2438</v>
      </c>
    </row>
    <row r="525" spans="1:16" x14ac:dyDescent="0.25">
      <c r="A525" t="s">
        <v>2586</v>
      </c>
      <c r="B525" t="s">
        <v>2586</v>
      </c>
      <c r="D525" t="s">
        <v>2587</v>
      </c>
      <c r="E525" t="s">
        <v>2588</v>
      </c>
      <c r="F525" t="s">
        <v>50</v>
      </c>
      <c r="G525" t="s">
        <v>26</v>
      </c>
      <c r="H525">
        <v>7</v>
      </c>
      <c r="I525" t="b">
        <v>0</v>
      </c>
      <c r="J525" t="s">
        <v>2586</v>
      </c>
      <c r="K525">
        <v>1</v>
      </c>
      <c r="L525" t="s">
        <v>4108</v>
      </c>
      <c r="M525">
        <v>2</v>
      </c>
      <c r="N525">
        <v>2</v>
      </c>
      <c r="O525">
        <v>15952890500</v>
      </c>
      <c r="P525" t="s">
        <v>2438</v>
      </c>
    </row>
    <row r="526" spans="1:16" x14ac:dyDescent="0.25">
      <c r="A526" t="s">
        <v>2572</v>
      </c>
      <c r="B526" t="s">
        <v>2572</v>
      </c>
      <c r="D526" t="s">
        <v>2573</v>
      </c>
      <c r="E526" t="s">
        <v>2573</v>
      </c>
      <c r="F526" t="s">
        <v>50</v>
      </c>
      <c r="G526" t="s">
        <v>241</v>
      </c>
      <c r="H526">
        <v>10</v>
      </c>
      <c r="I526" t="b">
        <v>0</v>
      </c>
      <c r="J526" t="s">
        <v>2572</v>
      </c>
      <c r="K526">
        <v>1</v>
      </c>
      <c r="L526" t="s">
        <v>25</v>
      </c>
      <c r="M526">
        <v>1</v>
      </c>
      <c r="N526">
        <v>1</v>
      </c>
      <c r="O526">
        <v>13202424850.860001</v>
      </c>
      <c r="P526" t="s">
        <v>2438</v>
      </c>
    </row>
    <row r="527" spans="1:16" x14ac:dyDescent="0.25">
      <c r="A527" t="s">
        <v>2648</v>
      </c>
      <c r="B527" t="s">
        <v>2648</v>
      </c>
      <c r="D527" t="s">
        <v>2649</v>
      </c>
      <c r="E527" t="s">
        <v>218</v>
      </c>
      <c r="F527" t="s">
        <v>50</v>
      </c>
      <c r="G527" t="s">
        <v>241</v>
      </c>
      <c r="H527">
        <v>3</v>
      </c>
      <c r="I527" t="b">
        <v>0</v>
      </c>
      <c r="J527" t="s">
        <v>2648</v>
      </c>
      <c r="K527">
        <v>1</v>
      </c>
      <c r="L527" t="s">
        <v>4110</v>
      </c>
      <c r="M527">
        <v>3</v>
      </c>
      <c r="N527">
        <v>3</v>
      </c>
      <c r="O527">
        <v>12023852661.370001</v>
      </c>
      <c r="P527" t="s">
        <v>2618</v>
      </c>
    </row>
    <row r="528" spans="1:16" x14ac:dyDescent="0.25">
      <c r="A528" t="s">
        <v>2599</v>
      </c>
      <c r="B528" t="s">
        <v>2599</v>
      </c>
      <c r="D528" t="s">
        <v>2600</v>
      </c>
      <c r="E528" t="s">
        <v>2601</v>
      </c>
      <c r="F528" t="s">
        <v>50</v>
      </c>
      <c r="G528" t="s">
        <v>241</v>
      </c>
      <c r="H528">
        <v>13</v>
      </c>
      <c r="I528" t="b">
        <v>0</v>
      </c>
      <c r="J528" t="s">
        <v>2599</v>
      </c>
      <c r="K528">
        <v>1</v>
      </c>
      <c r="L528" t="s">
        <v>25</v>
      </c>
      <c r="M528">
        <v>1</v>
      </c>
      <c r="N528">
        <v>1</v>
      </c>
      <c r="O528">
        <v>11791361116.07</v>
      </c>
      <c r="P528" t="s">
        <v>2438</v>
      </c>
    </row>
    <row r="529" spans="1:16" x14ac:dyDescent="0.25">
      <c r="A529" t="s">
        <v>2477</v>
      </c>
      <c r="B529" t="s">
        <v>2477</v>
      </c>
      <c r="D529" t="s">
        <v>2478</v>
      </c>
      <c r="E529" t="s">
        <v>2479</v>
      </c>
      <c r="F529" t="s">
        <v>50</v>
      </c>
      <c r="G529" t="s">
        <v>26</v>
      </c>
      <c r="H529">
        <v>2</v>
      </c>
      <c r="I529" t="b">
        <v>0</v>
      </c>
      <c r="J529" t="s">
        <v>2477</v>
      </c>
      <c r="K529">
        <v>1</v>
      </c>
      <c r="L529" t="s">
        <v>25</v>
      </c>
      <c r="M529">
        <v>1</v>
      </c>
      <c r="N529">
        <v>1</v>
      </c>
      <c r="O529">
        <v>10173388365.629999</v>
      </c>
      <c r="P529" t="s">
        <v>2438</v>
      </c>
    </row>
    <row r="530" spans="1:16" x14ac:dyDescent="0.25">
      <c r="A530" t="s">
        <v>2593</v>
      </c>
      <c r="B530" t="s">
        <v>2593</v>
      </c>
      <c r="D530" t="s">
        <v>2594</v>
      </c>
      <c r="E530" t="s">
        <v>2595</v>
      </c>
      <c r="F530" t="s">
        <v>50</v>
      </c>
      <c r="G530" t="s">
        <v>241</v>
      </c>
      <c r="H530">
        <v>13</v>
      </c>
      <c r="I530" t="b">
        <v>0</v>
      </c>
      <c r="J530" t="s">
        <v>2593</v>
      </c>
      <c r="K530">
        <v>1</v>
      </c>
      <c r="L530" t="s">
        <v>25</v>
      </c>
      <c r="M530">
        <v>1</v>
      </c>
      <c r="N530">
        <v>1</v>
      </c>
      <c r="O530">
        <v>10054536491.060011</v>
      </c>
      <c r="P530" t="s">
        <v>2438</v>
      </c>
    </row>
    <row r="531" spans="1:16" x14ac:dyDescent="0.25">
      <c r="A531" t="s">
        <v>2677</v>
      </c>
      <c r="B531" t="s">
        <v>2677</v>
      </c>
      <c r="D531" t="s">
        <v>2678</v>
      </c>
      <c r="E531" t="s">
        <v>2662</v>
      </c>
      <c r="F531" t="s">
        <v>50</v>
      </c>
      <c r="G531" t="s">
        <v>32</v>
      </c>
      <c r="H531">
        <v>3</v>
      </c>
      <c r="I531" t="b">
        <v>0</v>
      </c>
      <c r="J531" t="s">
        <v>2677</v>
      </c>
      <c r="K531">
        <v>1</v>
      </c>
      <c r="L531" t="s">
        <v>25</v>
      </c>
      <c r="M531">
        <v>1</v>
      </c>
      <c r="N531">
        <v>1</v>
      </c>
      <c r="O531">
        <v>10028230219.459999</v>
      </c>
      <c r="P531" t="s">
        <v>2618</v>
      </c>
    </row>
    <row r="532" spans="1:16" x14ac:dyDescent="0.25">
      <c r="A532" t="s">
        <v>2847</v>
      </c>
      <c r="B532" t="s">
        <v>2847</v>
      </c>
      <c r="D532" t="s">
        <v>2848</v>
      </c>
      <c r="E532" t="s">
        <v>104</v>
      </c>
      <c r="F532" t="s">
        <v>50</v>
      </c>
      <c r="G532" t="s">
        <v>241</v>
      </c>
      <c r="H532">
        <v>3</v>
      </c>
      <c r="I532" t="b">
        <v>0</v>
      </c>
      <c r="J532" t="s">
        <v>2847</v>
      </c>
      <c r="K532">
        <v>1</v>
      </c>
      <c r="L532" t="s">
        <v>1781</v>
      </c>
      <c r="M532">
        <v>1</v>
      </c>
      <c r="N532">
        <v>1</v>
      </c>
      <c r="O532">
        <v>9580937157.2900009</v>
      </c>
      <c r="P532" t="s">
        <v>2618</v>
      </c>
    </row>
    <row r="533" spans="1:16" x14ac:dyDescent="0.25">
      <c r="A533" t="s">
        <v>2660</v>
      </c>
      <c r="B533" t="s">
        <v>2660</v>
      </c>
      <c r="D533" t="s">
        <v>2661</v>
      </c>
      <c r="E533" t="s">
        <v>2662</v>
      </c>
      <c r="F533" t="s">
        <v>50</v>
      </c>
      <c r="G533" t="s">
        <v>241</v>
      </c>
      <c r="H533">
        <v>3</v>
      </c>
      <c r="I533" t="b">
        <v>0</v>
      </c>
      <c r="J533" t="s">
        <v>2660</v>
      </c>
      <c r="K533">
        <v>1</v>
      </c>
      <c r="L533" t="s">
        <v>4110</v>
      </c>
      <c r="M533">
        <v>3</v>
      </c>
      <c r="N533">
        <v>3</v>
      </c>
      <c r="O533">
        <v>9476598440.4200001</v>
      </c>
      <c r="P533" t="s">
        <v>2618</v>
      </c>
    </row>
    <row r="534" spans="1:16" x14ac:dyDescent="0.25">
      <c r="A534" t="s">
        <v>2616</v>
      </c>
      <c r="B534" t="s">
        <v>2616</v>
      </c>
      <c r="D534" t="s">
        <v>2617</v>
      </c>
      <c r="E534" t="s">
        <v>1317</v>
      </c>
      <c r="F534" t="s">
        <v>50</v>
      </c>
      <c r="G534" t="s">
        <v>26</v>
      </c>
      <c r="H534">
        <v>3</v>
      </c>
      <c r="I534" t="b">
        <v>0</v>
      </c>
      <c r="J534" t="s">
        <v>2616</v>
      </c>
      <c r="K534">
        <v>1</v>
      </c>
      <c r="L534" t="s">
        <v>4110</v>
      </c>
      <c r="M534">
        <v>3</v>
      </c>
      <c r="N534">
        <v>3</v>
      </c>
      <c r="O534">
        <v>9136189471.3400002</v>
      </c>
      <c r="P534" t="s">
        <v>2618</v>
      </c>
    </row>
    <row r="535" spans="1:16" x14ac:dyDescent="0.25">
      <c r="A535" t="s">
        <v>2650</v>
      </c>
      <c r="B535" t="s">
        <v>2650</v>
      </c>
      <c r="D535" t="s">
        <v>2651</v>
      </c>
      <c r="E535" t="s">
        <v>2652</v>
      </c>
      <c r="F535" t="s">
        <v>50</v>
      </c>
      <c r="G535" t="s">
        <v>241</v>
      </c>
      <c r="H535">
        <v>3</v>
      </c>
      <c r="I535" t="b">
        <v>0</v>
      </c>
      <c r="J535" t="s">
        <v>2650</v>
      </c>
      <c r="K535">
        <v>1</v>
      </c>
      <c r="L535" t="s">
        <v>4110</v>
      </c>
      <c r="M535">
        <v>3</v>
      </c>
      <c r="N535">
        <v>3</v>
      </c>
      <c r="O535">
        <v>8666333165.3299999</v>
      </c>
      <c r="P535" t="s">
        <v>2618</v>
      </c>
    </row>
    <row r="536" spans="1:16" x14ac:dyDescent="0.25">
      <c r="A536" t="s">
        <v>2453</v>
      </c>
      <c r="B536" t="s">
        <v>2453</v>
      </c>
      <c r="D536" t="s">
        <v>2454</v>
      </c>
      <c r="E536" t="s">
        <v>2455</v>
      </c>
      <c r="F536" t="s">
        <v>50</v>
      </c>
      <c r="G536" t="s">
        <v>26</v>
      </c>
      <c r="H536">
        <v>10</v>
      </c>
      <c r="I536" t="b">
        <v>0</v>
      </c>
      <c r="J536" t="s">
        <v>2453</v>
      </c>
      <c r="K536">
        <v>1</v>
      </c>
      <c r="L536" t="s">
        <v>25</v>
      </c>
      <c r="M536">
        <v>1</v>
      </c>
      <c r="N536">
        <v>1</v>
      </c>
      <c r="O536">
        <v>8414322417.1400185</v>
      </c>
      <c r="P536" t="s">
        <v>2438</v>
      </c>
    </row>
    <row r="537" spans="1:16" x14ac:dyDescent="0.25">
      <c r="A537" t="s">
        <v>2859</v>
      </c>
      <c r="B537" t="s">
        <v>2859</v>
      </c>
      <c r="D537" t="s">
        <v>2860</v>
      </c>
      <c r="E537" t="s">
        <v>104</v>
      </c>
      <c r="F537" t="s">
        <v>50</v>
      </c>
      <c r="G537" t="s">
        <v>26</v>
      </c>
      <c r="H537">
        <v>8</v>
      </c>
      <c r="I537" t="b">
        <v>0</v>
      </c>
      <c r="J537" t="s">
        <v>2859</v>
      </c>
      <c r="K537">
        <v>1</v>
      </c>
      <c r="L537" t="s">
        <v>1781</v>
      </c>
      <c r="M537">
        <v>1</v>
      </c>
      <c r="N537">
        <v>1</v>
      </c>
      <c r="O537">
        <v>7993080000</v>
      </c>
      <c r="P537" t="s">
        <v>2438</v>
      </c>
    </row>
    <row r="538" spans="1:16" x14ac:dyDescent="0.25">
      <c r="A538" t="s">
        <v>2474</v>
      </c>
      <c r="B538" t="s">
        <v>2474</v>
      </c>
      <c r="D538" t="s">
        <v>2475</v>
      </c>
      <c r="E538" t="s">
        <v>2476</v>
      </c>
      <c r="F538" t="s">
        <v>61</v>
      </c>
      <c r="G538" t="s">
        <v>32</v>
      </c>
      <c r="H538">
        <v>10</v>
      </c>
      <c r="I538" t="b">
        <v>0</v>
      </c>
      <c r="J538" t="s">
        <v>2474</v>
      </c>
      <c r="K538">
        <v>1</v>
      </c>
      <c r="L538" t="s">
        <v>25</v>
      </c>
      <c r="M538">
        <v>1</v>
      </c>
      <c r="N538">
        <v>1</v>
      </c>
      <c r="O538">
        <v>7431113335.3400002</v>
      </c>
      <c r="P538" t="s">
        <v>2438</v>
      </c>
    </row>
    <row r="539" spans="1:16" x14ac:dyDescent="0.25">
      <c r="A539" t="s">
        <v>2663</v>
      </c>
      <c r="B539" t="s">
        <v>2663</v>
      </c>
      <c r="D539" t="s">
        <v>2664</v>
      </c>
      <c r="E539" t="s">
        <v>2665</v>
      </c>
      <c r="F539" t="s">
        <v>50</v>
      </c>
      <c r="G539" t="s">
        <v>241</v>
      </c>
      <c r="H539">
        <v>3</v>
      </c>
      <c r="I539" t="b">
        <v>0</v>
      </c>
      <c r="J539" t="s">
        <v>2663</v>
      </c>
      <c r="K539">
        <v>1</v>
      </c>
      <c r="L539" t="s">
        <v>4110</v>
      </c>
      <c r="M539">
        <v>3</v>
      </c>
      <c r="N539">
        <v>3</v>
      </c>
      <c r="O539">
        <v>7423467627.6500006</v>
      </c>
      <c r="P539" t="s">
        <v>2618</v>
      </c>
    </row>
    <row r="540" spans="1:16" x14ac:dyDescent="0.25">
      <c r="A540" t="s">
        <v>2513</v>
      </c>
      <c r="B540" t="s">
        <v>2513</v>
      </c>
      <c r="D540" t="s">
        <v>2514</v>
      </c>
      <c r="E540" t="s">
        <v>2515</v>
      </c>
      <c r="F540" t="s">
        <v>50</v>
      </c>
      <c r="G540" t="s">
        <v>26</v>
      </c>
      <c r="H540">
        <v>8</v>
      </c>
      <c r="I540" t="b">
        <v>0</v>
      </c>
      <c r="J540" t="s">
        <v>2513</v>
      </c>
      <c r="K540">
        <v>1</v>
      </c>
      <c r="L540" t="s">
        <v>25</v>
      </c>
      <c r="M540">
        <v>1</v>
      </c>
      <c r="N540">
        <v>1</v>
      </c>
      <c r="O540">
        <v>6648432597.4899998</v>
      </c>
      <c r="P540" t="s">
        <v>2438</v>
      </c>
    </row>
    <row r="541" spans="1:16" x14ac:dyDescent="0.25">
      <c r="A541" t="s">
        <v>2462</v>
      </c>
      <c r="B541" t="s">
        <v>2462</v>
      </c>
      <c r="D541" t="s">
        <v>2463</v>
      </c>
      <c r="E541" t="s">
        <v>2464</v>
      </c>
      <c r="F541" t="s">
        <v>81</v>
      </c>
      <c r="G541" t="s">
        <v>32</v>
      </c>
      <c r="H541">
        <v>2</v>
      </c>
      <c r="I541" t="b">
        <v>0</v>
      </c>
      <c r="J541" t="s">
        <v>2462</v>
      </c>
      <c r="K541">
        <v>1</v>
      </c>
      <c r="L541" t="s">
        <v>4118</v>
      </c>
      <c r="M541">
        <v>2</v>
      </c>
      <c r="N541">
        <v>2</v>
      </c>
      <c r="O541">
        <v>6525695224.5700006</v>
      </c>
      <c r="P541" t="s">
        <v>2438</v>
      </c>
    </row>
    <row r="542" spans="1:16" x14ac:dyDescent="0.25">
      <c r="A542" t="s">
        <v>2547</v>
      </c>
      <c r="B542" t="s">
        <v>2547</v>
      </c>
      <c r="D542" t="s">
        <v>2548</v>
      </c>
      <c r="E542" t="s">
        <v>2546</v>
      </c>
      <c r="F542" t="s">
        <v>50</v>
      </c>
      <c r="G542" t="s">
        <v>241</v>
      </c>
      <c r="H542">
        <v>8</v>
      </c>
      <c r="I542" t="b">
        <v>0</v>
      </c>
      <c r="J542" t="s">
        <v>2547</v>
      </c>
      <c r="K542">
        <v>1</v>
      </c>
      <c r="L542" t="s">
        <v>25</v>
      </c>
      <c r="M542">
        <v>1</v>
      </c>
      <c r="N542">
        <v>1</v>
      </c>
      <c r="O542">
        <v>6503151048.6699982</v>
      </c>
      <c r="P542" t="s">
        <v>2438</v>
      </c>
    </row>
    <row r="543" spans="1:16" x14ac:dyDescent="0.25">
      <c r="A543" t="s">
        <v>2480</v>
      </c>
      <c r="B543" t="s">
        <v>2480</v>
      </c>
      <c r="D543" t="s">
        <v>2481</v>
      </c>
      <c r="E543" t="s">
        <v>2482</v>
      </c>
      <c r="F543" t="s">
        <v>31</v>
      </c>
      <c r="G543" t="s">
        <v>32</v>
      </c>
      <c r="H543">
        <v>2</v>
      </c>
      <c r="I543" t="b">
        <v>0</v>
      </c>
      <c r="J543" t="s">
        <v>2480</v>
      </c>
      <c r="K543">
        <v>1</v>
      </c>
      <c r="L543" t="s">
        <v>4118</v>
      </c>
      <c r="M543">
        <v>2</v>
      </c>
      <c r="N543">
        <v>2</v>
      </c>
      <c r="O543">
        <v>6269334236.9699993</v>
      </c>
      <c r="P543" t="s">
        <v>2438</v>
      </c>
    </row>
    <row r="544" spans="1:16" x14ac:dyDescent="0.25">
      <c r="A544" t="s">
        <v>2666</v>
      </c>
      <c r="B544" t="s">
        <v>2666</v>
      </c>
      <c r="D544" t="s">
        <v>2667</v>
      </c>
      <c r="E544" t="s">
        <v>1442</v>
      </c>
      <c r="F544" t="s">
        <v>50</v>
      </c>
      <c r="G544" t="s">
        <v>241</v>
      </c>
      <c r="H544">
        <v>3</v>
      </c>
      <c r="I544" t="b">
        <v>0</v>
      </c>
      <c r="J544" t="s">
        <v>2666</v>
      </c>
      <c r="K544">
        <v>1</v>
      </c>
      <c r="L544" t="s">
        <v>4108</v>
      </c>
      <c r="M544">
        <v>2</v>
      </c>
      <c r="N544">
        <v>2</v>
      </c>
      <c r="O544">
        <v>6130954550.4399986</v>
      </c>
      <c r="P544" t="s">
        <v>2618</v>
      </c>
    </row>
    <row r="545" spans="1:16" x14ac:dyDescent="0.25">
      <c r="A545" t="s">
        <v>2465</v>
      </c>
      <c r="B545" t="s">
        <v>2465</v>
      </c>
      <c r="D545" t="s">
        <v>2466</v>
      </c>
      <c r="E545" t="s">
        <v>2467</v>
      </c>
      <c r="F545" t="s">
        <v>61</v>
      </c>
      <c r="G545" t="s">
        <v>32</v>
      </c>
      <c r="H545">
        <v>10</v>
      </c>
      <c r="I545" t="b">
        <v>0</v>
      </c>
      <c r="J545" t="s">
        <v>2465</v>
      </c>
      <c r="K545">
        <v>1</v>
      </c>
      <c r="L545" t="s">
        <v>25</v>
      </c>
      <c r="M545">
        <v>1</v>
      </c>
      <c r="N545">
        <v>1</v>
      </c>
      <c r="O545">
        <v>5904142320.1799994</v>
      </c>
      <c r="P545" t="s">
        <v>2438</v>
      </c>
    </row>
    <row r="546" spans="1:16" x14ac:dyDescent="0.25">
      <c r="A546" t="s">
        <v>2684</v>
      </c>
      <c r="B546" t="s">
        <v>2684</v>
      </c>
      <c r="D546" t="s">
        <v>2685</v>
      </c>
      <c r="E546" t="s">
        <v>2686</v>
      </c>
      <c r="F546" t="s">
        <v>50</v>
      </c>
      <c r="G546" t="s">
        <v>241</v>
      </c>
      <c r="H546">
        <v>3</v>
      </c>
      <c r="I546" t="b">
        <v>0</v>
      </c>
      <c r="J546" t="s">
        <v>2684</v>
      </c>
      <c r="K546">
        <v>1</v>
      </c>
      <c r="L546" t="s">
        <v>4163</v>
      </c>
      <c r="M546">
        <v>2</v>
      </c>
      <c r="N546">
        <v>2</v>
      </c>
      <c r="O546">
        <v>5881293293.5900011</v>
      </c>
      <c r="P546" t="s">
        <v>2618</v>
      </c>
    </row>
    <row r="547" spans="1:16" x14ac:dyDescent="0.25">
      <c r="A547" t="s">
        <v>2503</v>
      </c>
      <c r="B547" t="s">
        <v>2503</v>
      </c>
      <c r="D547" t="s">
        <v>2504</v>
      </c>
      <c r="E547" t="s">
        <v>2505</v>
      </c>
      <c r="F547" t="s">
        <v>50</v>
      </c>
      <c r="G547" t="s">
        <v>26</v>
      </c>
      <c r="H547">
        <v>8</v>
      </c>
      <c r="I547" t="b">
        <v>0</v>
      </c>
      <c r="J547" t="s">
        <v>2503</v>
      </c>
      <c r="K547">
        <v>1</v>
      </c>
      <c r="L547" t="s">
        <v>25</v>
      </c>
      <c r="M547">
        <v>1</v>
      </c>
      <c r="N547">
        <v>1</v>
      </c>
      <c r="O547">
        <v>5784351836.2099991</v>
      </c>
      <c r="P547" t="s">
        <v>2438</v>
      </c>
    </row>
    <row r="548" spans="1:16" x14ac:dyDescent="0.25">
      <c r="A548" t="s">
        <v>2819</v>
      </c>
      <c r="B548" t="s">
        <v>2819</v>
      </c>
      <c r="D548" t="s">
        <v>2820</v>
      </c>
      <c r="E548" t="s">
        <v>2818</v>
      </c>
      <c r="F548" t="s">
        <v>50</v>
      </c>
      <c r="G548" t="s">
        <v>241</v>
      </c>
      <c r="H548">
        <v>3</v>
      </c>
      <c r="I548" t="b">
        <v>0</v>
      </c>
      <c r="J548" t="s">
        <v>2819</v>
      </c>
      <c r="K548">
        <v>1</v>
      </c>
      <c r="L548" t="s">
        <v>1781</v>
      </c>
      <c r="M548">
        <v>1</v>
      </c>
      <c r="N548">
        <v>1</v>
      </c>
      <c r="O548">
        <v>5731166635.8999987</v>
      </c>
      <c r="P548" t="s">
        <v>2618</v>
      </c>
    </row>
    <row r="549" spans="1:16" x14ac:dyDescent="0.25">
      <c r="A549" t="s">
        <v>2658</v>
      </c>
      <c r="B549" t="s">
        <v>2658</v>
      </c>
      <c r="D549" t="s">
        <v>2659</v>
      </c>
      <c r="E549" t="s">
        <v>1449</v>
      </c>
      <c r="F549" t="s">
        <v>50</v>
      </c>
      <c r="G549" t="s">
        <v>241</v>
      </c>
      <c r="H549">
        <v>3</v>
      </c>
      <c r="I549" t="b">
        <v>0</v>
      </c>
      <c r="J549" t="s">
        <v>2658</v>
      </c>
      <c r="K549">
        <v>1</v>
      </c>
      <c r="L549" t="s">
        <v>4110</v>
      </c>
      <c r="M549">
        <v>3</v>
      </c>
      <c r="N549">
        <v>3</v>
      </c>
      <c r="O549">
        <v>5355051469.8999987</v>
      </c>
      <c r="P549" t="s">
        <v>2618</v>
      </c>
    </row>
    <row r="550" spans="1:16" x14ac:dyDescent="0.25">
      <c r="A550" t="s">
        <v>2483</v>
      </c>
      <c r="B550" t="s">
        <v>2483</v>
      </c>
      <c r="D550" t="s">
        <v>2484</v>
      </c>
      <c r="E550" t="s">
        <v>2485</v>
      </c>
      <c r="F550" t="s">
        <v>50</v>
      </c>
      <c r="G550" t="s">
        <v>32</v>
      </c>
      <c r="H550">
        <v>2</v>
      </c>
      <c r="I550" t="b">
        <v>0</v>
      </c>
      <c r="J550" t="s">
        <v>2483</v>
      </c>
      <c r="K550">
        <v>1</v>
      </c>
      <c r="L550" t="s">
        <v>25</v>
      </c>
      <c r="M550">
        <v>1</v>
      </c>
      <c r="N550">
        <v>1</v>
      </c>
      <c r="O550">
        <v>5334571587.8499994</v>
      </c>
      <c r="P550" t="s">
        <v>2438</v>
      </c>
    </row>
    <row r="551" spans="1:16" x14ac:dyDescent="0.25">
      <c r="A551" t="s">
        <v>2439</v>
      </c>
      <c r="B551" t="s">
        <v>2439</v>
      </c>
      <c r="D551" t="s">
        <v>2440</v>
      </c>
      <c r="E551" t="s">
        <v>2441</v>
      </c>
      <c r="F551" t="s">
        <v>50</v>
      </c>
      <c r="G551" t="s">
        <v>26</v>
      </c>
      <c r="H551">
        <v>10</v>
      </c>
      <c r="I551" t="b">
        <v>0</v>
      </c>
      <c r="J551" t="s">
        <v>2439</v>
      </c>
      <c r="K551">
        <v>1</v>
      </c>
      <c r="L551" t="s">
        <v>25</v>
      </c>
      <c r="M551">
        <v>1</v>
      </c>
      <c r="N551">
        <v>1</v>
      </c>
      <c r="O551">
        <v>5286176232.2599993</v>
      </c>
      <c r="P551" t="s">
        <v>2438</v>
      </c>
    </row>
    <row r="552" spans="1:16" x14ac:dyDescent="0.25">
      <c r="A552" t="s">
        <v>2602</v>
      </c>
      <c r="B552" t="s">
        <v>2602</v>
      </c>
      <c r="D552" t="s">
        <v>2603</v>
      </c>
      <c r="E552" t="s">
        <v>2604</v>
      </c>
      <c r="F552" t="s">
        <v>50</v>
      </c>
      <c r="G552" t="s">
        <v>241</v>
      </c>
      <c r="H552">
        <v>14</v>
      </c>
      <c r="I552" t="b">
        <v>0</v>
      </c>
      <c r="J552" t="s">
        <v>2602</v>
      </c>
      <c r="K552">
        <v>1</v>
      </c>
      <c r="L552" t="s">
        <v>25</v>
      </c>
      <c r="M552">
        <v>1</v>
      </c>
      <c r="N552">
        <v>1</v>
      </c>
      <c r="O552">
        <v>5128357466.9900017</v>
      </c>
      <c r="P552" t="s">
        <v>2438</v>
      </c>
    </row>
    <row r="553" spans="1:16" x14ac:dyDescent="0.25">
      <c r="A553" t="s">
        <v>2655</v>
      </c>
      <c r="B553" t="s">
        <v>2655</v>
      </c>
      <c r="D553" t="s">
        <v>2656</v>
      </c>
      <c r="E553" t="s">
        <v>2657</v>
      </c>
      <c r="F553" t="s">
        <v>50</v>
      </c>
      <c r="G553" t="s">
        <v>241</v>
      </c>
      <c r="H553">
        <v>3</v>
      </c>
      <c r="I553" t="b">
        <v>0</v>
      </c>
      <c r="J553" t="s">
        <v>2655</v>
      </c>
      <c r="K553">
        <v>1</v>
      </c>
      <c r="L553" t="s">
        <v>4108</v>
      </c>
      <c r="M553">
        <v>2</v>
      </c>
      <c r="N553">
        <v>2</v>
      </c>
      <c r="O553">
        <v>5050150967.3000002</v>
      </c>
      <c r="P553" t="s">
        <v>2618</v>
      </c>
    </row>
    <row r="554" spans="1:16" x14ac:dyDescent="0.25">
      <c r="A554" t="s">
        <v>2574</v>
      </c>
      <c r="B554" t="s">
        <v>2574</v>
      </c>
      <c r="D554" t="s">
        <v>2575</v>
      </c>
      <c r="E554" t="s">
        <v>104</v>
      </c>
      <c r="F554" t="s">
        <v>50</v>
      </c>
      <c r="G554" t="s">
        <v>26</v>
      </c>
      <c r="H554">
        <v>8</v>
      </c>
      <c r="I554" t="b">
        <v>0</v>
      </c>
      <c r="J554" t="s">
        <v>2574</v>
      </c>
      <c r="K554">
        <v>1</v>
      </c>
      <c r="L554" t="s">
        <v>25</v>
      </c>
      <c r="M554">
        <v>1</v>
      </c>
      <c r="N554">
        <v>1</v>
      </c>
      <c r="O554">
        <v>4997550000</v>
      </c>
      <c r="P554" t="s">
        <v>2438</v>
      </c>
    </row>
    <row r="555" spans="1:16" x14ac:dyDescent="0.25">
      <c r="A555" t="s">
        <v>2668</v>
      </c>
      <c r="B555" t="s">
        <v>2668</v>
      </c>
      <c r="D555" t="s">
        <v>2669</v>
      </c>
      <c r="E555" t="s">
        <v>1442</v>
      </c>
      <c r="F555" t="s">
        <v>50</v>
      </c>
      <c r="G555" t="s">
        <v>241</v>
      </c>
      <c r="H555">
        <v>3</v>
      </c>
      <c r="I555" t="b">
        <v>0</v>
      </c>
      <c r="J555" t="s">
        <v>2668</v>
      </c>
      <c r="K555">
        <v>1</v>
      </c>
      <c r="L555" t="s">
        <v>4108</v>
      </c>
      <c r="M555">
        <v>2</v>
      </c>
      <c r="N555">
        <v>2</v>
      </c>
      <c r="O555">
        <v>4983945313.4200001</v>
      </c>
      <c r="P555" t="s">
        <v>2618</v>
      </c>
    </row>
    <row r="556" spans="1:16" x14ac:dyDescent="0.25">
      <c r="A556" t="s">
        <v>2845</v>
      </c>
      <c r="B556" t="s">
        <v>2845</v>
      </c>
      <c r="D556" t="s">
        <v>2846</v>
      </c>
      <c r="E556" t="s">
        <v>104</v>
      </c>
      <c r="F556" t="s">
        <v>50</v>
      </c>
      <c r="G556" t="s">
        <v>26</v>
      </c>
      <c r="H556">
        <v>3</v>
      </c>
      <c r="I556" t="b">
        <v>0</v>
      </c>
      <c r="J556" t="s">
        <v>2845</v>
      </c>
      <c r="K556">
        <v>1</v>
      </c>
      <c r="L556" t="s">
        <v>1781</v>
      </c>
      <c r="M556">
        <v>1</v>
      </c>
      <c r="N556">
        <v>1</v>
      </c>
      <c r="O556">
        <v>4935768479.3800001</v>
      </c>
      <c r="P556" t="s">
        <v>2618</v>
      </c>
    </row>
    <row r="557" spans="1:16" x14ac:dyDescent="0.25">
      <c r="A557" t="s">
        <v>2619</v>
      </c>
      <c r="B557" t="s">
        <v>2619</v>
      </c>
      <c r="D557" t="s">
        <v>2620</v>
      </c>
      <c r="E557" t="s">
        <v>1313</v>
      </c>
      <c r="F557" t="s">
        <v>50</v>
      </c>
      <c r="G557" t="s">
        <v>26</v>
      </c>
      <c r="H557">
        <v>3</v>
      </c>
      <c r="I557" t="b">
        <v>0</v>
      </c>
      <c r="J557" t="s">
        <v>2619</v>
      </c>
      <c r="K557">
        <v>1</v>
      </c>
      <c r="L557" t="s">
        <v>25</v>
      </c>
      <c r="M557">
        <v>1</v>
      </c>
      <c r="N557">
        <v>1</v>
      </c>
      <c r="O557">
        <v>4910683036.4499998</v>
      </c>
      <c r="P557" t="s">
        <v>2618</v>
      </c>
    </row>
    <row r="558" spans="1:16" x14ac:dyDescent="0.25">
      <c r="A558" t="s">
        <v>2518</v>
      </c>
      <c r="B558" t="s">
        <v>2518</v>
      </c>
      <c r="D558" t="s">
        <v>2519</v>
      </c>
      <c r="E558" t="s">
        <v>2520</v>
      </c>
      <c r="F558" t="s">
        <v>50</v>
      </c>
      <c r="G558" t="s">
        <v>26</v>
      </c>
      <c r="H558">
        <v>8</v>
      </c>
      <c r="I558" t="b">
        <v>0</v>
      </c>
      <c r="J558" t="s">
        <v>2518</v>
      </c>
      <c r="K558">
        <v>1</v>
      </c>
      <c r="L558" t="s">
        <v>25</v>
      </c>
      <c r="M558">
        <v>1</v>
      </c>
      <c r="N558">
        <v>1</v>
      </c>
      <c r="O558">
        <v>4815559804.1999998</v>
      </c>
      <c r="P558" t="s">
        <v>2438</v>
      </c>
    </row>
    <row r="559" spans="1:16" x14ac:dyDescent="0.25">
      <c r="A559" t="s">
        <v>2564</v>
      </c>
      <c r="B559" t="s">
        <v>2564</v>
      </c>
      <c r="D559" t="s">
        <v>2565</v>
      </c>
      <c r="E559" t="s">
        <v>2566</v>
      </c>
      <c r="F559" t="s">
        <v>50</v>
      </c>
      <c r="G559" t="s">
        <v>32</v>
      </c>
      <c r="H559">
        <v>8</v>
      </c>
      <c r="I559" t="b">
        <v>0</v>
      </c>
      <c r="J559" t="s">
        <v>2564</v>
      </c>
      <c r="K559">
        <v>1</v>
      </c>
      <c r="L559" t="s">
        <v>25</v>
      </c>
      <c r="M559">
        <v>1</v>
      </c>
      <c r="N559">
        <v>1</v>
      </c>
      <c r="O559">
        <v>4614605905.8800001</v>
      </c>
      <c r="P559" t="s">
        <v>2438</v>
      </c>
    </row>
    <row r="560" spans="1:16" x14ac:dyDescent="0.25">
      <c r="A560" t="s">
        <v>2636</v>
      </c>
      <c r="B560" t="s">
        <v>2636</v>
      </c>
      <c r="D560" t="s">
        <v>2637</v>
      </c>
      <c r="E560" t="s">
        <v>2638</v>
      </c>
      <c r="F560" t="s">
        <v>50</v>
      </c>
      <c r="G560" t="s">
        <v>241</v>
      </c>
      <c r="H560">
        <v>3</v>
      </c>
      <c r="I560" t="b">
        <v>0</v>
      </c>
      <c r="J560" t="s">
        <v>2636</v>
      </c>
      <c r="K560">
        <v>1</v>
      </c>
      <c r="L560" t="s">
        <v>4110</v>
      </c>
      <c r="M560">
        <v>3</v>
      </c>
      <c r="N560">
        <v>3</v>
      </c>
      <c r="O560">
        <v>4610413199.6699991</v>
      </c>
      <c r="P560" t="s">
        <v>2618</v>
      </c>
    </row>
    <row r="561" spans="1:16" x14ac:dyDescent="0.25">
      <c r="A561" t="s">
        <v>2596</v>
      </c>
      <c r="B561" t="s">
        <v>2596</v>
      </c>
      <c r="D561" t="s">
        <v>2597</v>
      </c>
      <c r="E561" t="s">
        <v>2598</v>
      </c>
      <c r="F561" t="s">
        <v>50</v>
      </c>
      <c r="G561" t="s">
        <v>241</v>
      </c>
      <c r="H561">
        <v>13</v>
      </c>
      <c r="I561" t="b">
        <v>0</v>
      </c>
      <c r="J561" t="s">
        <v>2596</v>
      </c>
      <c r="K561">
        <v>1</v>
      </c>
      <c r="L561" t="s">
        <v>25</v>
      </c>
      <c r="M561">
        <v>1</v>
      </c>
      <c r="N561">
        <v>1</v>
      </c>
      <c r="O561">
        <v>4404204255.5999994</v>
      </c>
      <c r="P561" t="s">
        <v>2438</v>
      </c>
    </row>
    <row r="562" spans="1:16" x14ac:dyDescent="0.25">
      <c r="A562" t="s">
        <v>2506</v>
      </c>
      <c r="B562" t="s">
        <v>2506</v>
      </c>
      <c r="D562" t="s">
        <v>2507</v>
      </c>
      <c r="E562" t="s">
        <v>2505</v>
      </c>
      <c r="F562" t="s">
        <v>50</v>
      </c>
      <c r="G562" t="s">
        <v>26</v>
      </c>
      <c r="H562">
        <v>8</v>
      </c>
      <c r="I562" t="b">
        <v>0</v>
      </c>
      <c r="J562" t="s">
        <v>2506</v>
      </c>
      <c r="K562">
        <v>1</v>
      </c>
      <c r="L562" t="s">
        <v>25</v>
      </c>
      <c r="M562">
        <v>1</v>
      </c>
      <c r="N562">
        <v>1</v>
      </c>
      <c r="O562">
        <v>4319802187.2799997</v>
      </c>
      <c r="P562" t="s">
        <v>2438</v>
      </c>
    </row>
    <row r="563" spans="1:16" x14ac:dyDescent="0.25">
      <c r="A563" t="s">
        <v>2699</v>
      </c>
      <c r="B563" t="s">
        <v>2699</v>
      </c>
      <c r="D563" t="s">
        <v>2700</v>
      </c>
      <c r="E563" t="s">
        <v>2701</v>
      </c>
      <c r="F563" t="s">
        <v>50</v>
      </c>
      <c r="G563" t="s">
        <v>241</v>
      </c>
      <c r="H563">
        <v>3</v>
      </c>
      <c r="I563" t="b">
        <v>0</v>
      </c>
      <c r="J563" t="s">
        <v>2699</v>
      </c>
      <c r="K563">
        <v>1</v>
      </c>
      <c r="L563" t="s">
        <v>4163</v>
      </c>
      <c r="M563">
        <v>2</v>
      </c>
      <c r="N563">
        <v>2</v>
      </c>
      <c r="O563">
        <v>4297879882.4899998</v>
      </c>
      <c r="P563" t="s">
        <v>2618</v>
      </c>
    </row>
    <row r="564" spans="1:16" x14ac:dyDescent="0.25">
      <c r="A564" t="s">
        <v>2641</v>
      </c>
      <c r="B564" t="s">
        <v>2641</v>
      </c>
      <c r="D564" t="s">
        <v>2642</v>
      </c>
      <c r="E564" t="s">
        <v>2632</v>
      </c>
      <c r="F564" t="s">
        <v>50</v>
      </c>
      <c r="G564" t="s">
        <v>241</v>
      </c>
      <c r="H564">
        <v>3</v>
      </c>
      <c r="I564" t="b">
        <v>0</v>
      </c>
      <c r="J564" t="s">
        <v>2641</v>
      </c>
      <c r="K564">
        <v>1</v>
      </c>
      <c r="L564" t="s">
        <v>4110</v>
      </c>
      <c r="M564">
        <v>3</v>
      </c>
      <c r="N564">
        <v>3</v>
      </c>
      <c r="O564">
        <v>4289917740.02</v>
      </c>
      <c r="P564" t="s">
        <v>2618</v>
      </c>
    </row>
    <row r="565" spans="1:16" x14ac:dyDescent="0.25">
      <c r="A565" t="s">
        <v>2763</v>
      </c>
      <c r="B565" t="s">
        <v>2763</v>
      </c>
      <c r="D565" t="s">
        <v>2764</v>
      </c>
      <c r="E565" t="s">
        <v>2765</v>
      </c>
      <c r="F565" t="s">
        <v>50</v>
      </c>
      <c r="G565" t="s">
        <v>241</v>
      </c>
      <c r="H565">
        <v>3</v>
      </c>
      <c r="I565" t="b">
        <v>0</v>
      </c>
      <c r="J565" t="s">
        <v>2763</v>
      </c>
      <c r="K565">
        <v>1</v>
      </c>
      <c r="L565" t="s">
        <v>4163</v>
      </c>
      <c r="M565">
        <v>2</v>
      </c>
      <c r="N565">
        <v>2</v>
      </c>
      <c r="O565">
        <v>4163781936.4400001</v>
      </c>
      <c r="P565" t="s">
        <v>2618</v>
      </c>
    </row>
    <row r="566" spans="1:16" x14ac:dyDescent="0.25">
      <c r="A566" t="s">
        <v>2808</v>
      </c>
      <c r="B566" t="s">
        <v>2808</v>
      </c>
      <c r="D566" t="s">
        <v>2809</v>
      </c>
      <c r="E566" t="s">
        <v>1902</v>
      </c>
      <c r="F566" t="s">
        <v>50</v>
      </c>
      <c r="G566" t="s">
        <v>241</v>
      </c>
      <c r="H566">
        <v>3</v>
      </c>
      <c r="I566" t="b">
        <v>0</v>
      </c>
      <c r="J566" t="s">
        <v>2808</v>
      </c>
      <c r="K566">
        <v>1</v>
      </c>
      <c r="L566" t="s">
        <v>1781</v>
      </c>
      <c r="M566">
        <v>1</v>
      </c>
      <c r="N566">
        <v>1</v>
      </c>
      <c r="O566">
        <v>4120611853.3400002</v>
      </c>
      <c r="P566" t="s">
        <v>2618</v>
      </c>
    </row>
    <row r="567" spans="1:16" x14ac:dyDescent="0.25">
      <c r="A567" t="s">
        <v>2646</v>
      </c>
      <c r="B567" t="s">
        <v>2646</v>
      </c>
      <c r="D567" t="s">
        <v>2647</v>
      </c>
      <c r="E567" t="s">
        <v>2645</v>
      </c>
      <c r="F567" t="s">
        <v>50</v>
      </c>
      <c r="G567" t="s">
        <v>241</v>
      </c>
      <c r="H567">
        <v>3</v>
      </c>
      <c r="I567" t="b">
        <v>0</v>
      </c>
      <c r="J567" t="s">
        <v>2646</v>
      </c>
      <c r="K567">
        <v>1</v>
      </c>
      <c r="L567" t="s">
        <v>4108</v>
      </c>
      <c r="M567">
        <v>2</v>
      </c>
      <c r="N567">
        <v>2</v>
      </c>
      <c r="O567">
        <v>3851907674.170001</v>
      </c>
      <c r="P567" t="s">
        <v>2618</v>
      </c>
    </row>
    <row r="568" spans="1:16" x14ac:dyDescent="0.25">
      <c r="A568" t="s">
        <v>2561</v>
      </c>
      <c r="B568" t="s">
        <v>2561</v>
      </c>
      <c r="D568" t="s">
        <v>2562</v>
      </c>
      <c r="E568" t="s">
        <v>2563</v>
      </c>
      <c r="F568" t="s">
        <v>50</v>
      </c>
      <c r="G568" t="s">
        <v>241</v>
      </c>
      <c r="H568">
        <v>2</v>
      </c>
      <c r="I568" t="b">
        <v>0</v>
      </c>
      <c r="J568" t="s">
        <v>2561</v>
      </c>
      <c r="K568">
        <v>1</v>
      </c>
      <c r="L568" t="s">
        <v>25</v>
      </c>
      <c r="M568">
        <v>1</v>
      </c>
      <c r="N568">
        <v>1</v>
      </c>
      <c r="O568">
        <v>3786490746.1799989</v>
      </c>
      <c r="P568" t="s">
        <v>2438</v>
      </c>
    </row>
    <row r="569" spans="1:16" x14ac:dyDescent="0.25">
      <c r="A569" t="s">
        <v>2756</v>
      </c>
      <c r="B569" t="s">
        <v>2756</v>
      </c>
      <c r="D569" t="s">
        <v>2757</v>
      </c>
      <c r="E569" t="s">
        <v>2758</v>
      </c>
      <c r="F569" t="s">
        <v>50</v>
      </c>
      <c r="G569" t="s">
        <v>241</v>
      </c>
      <c r="H569">
        <v>3</v>
      </c>
      <c r="I569" t="b">
        <v>0</v>
      </c>
      <c r="J569" t="s">
        <v>2756</v>
      </c>
      <c r="K569">
        <v>1</v>
      </c>
      <c r="L569" t="s">
        <v>1781</v>
      </c>
      <c r="M569">
        <v>1</v>
      </c>
      <c r="N569">
        <v>1</v>
      </c>
      <c r="O569">
        <v>3525704926.9299998</v>
      </c>
      <c r="P569" t="s">
        <v>2618</v>
      </c>
    </row>
    <row r="570" spans="1:16" x14ac:dyDescent="0.25">
      <c r="A570" t="s">
        <v>2796</v>
      </c>
      <c r="B570" t="s">
        <v>2796</v>
      </c>
      <c r="D570" t="s">
        <v>2797</v>
      </c>
      <c r="E570" t="s">
        <v>218</v>
      </c>
      <c r="F570" t="s">
        <v>50</v>
      </c>
      <c r="G570" t="s">
        <v>241</v>
      </c>
      <c r="H570">
        <v>3</v>
      </c>
      <c r="I570" t="b">
        <v>0</v>
      </c>
      <c r="J570" t="s">
        <v>2796</v>
      </c>
      <c r="K570">
        <v>1</v>
      </c>
      <c r="L570" t="s">
        <v>1781</v>
      </c>
      <c r="M570">
        <v>1</v>
      </c>
      <c r="N570">
        <v>1</v>
      </c>
      <c r="O570">
        <v>3443212574.8000002</v>
      </c>
      <c r="P570" t="s">
        <v>2618</v>
      </c>
    </row>
    <row r="571" spans="1:16" x14ac:dyDescent="0.25">
      <c r="A571" t="s">
        <v>2582</v>
      </c>
      <c r="B571" t="s">
        <v>2582</v>
      </c>
      <c r="D571" t="s">
        <v>2583</v>
      </c>
      <c r="E571" t="s">
        <v>1857</v>
      </c>
      <c r="F571" t="s">
        <v>50</v>
      </c>
      <c r="G571" t="s">
        <v>26</v>
      </c>
      <c r="H571">
        <v>4</v>
      </c>
      <c r="I571" t="b">
        <v>0</v>
      </c>
      <c r="J571" t="s">
        <v>2582</v>
      </c>
      <c r="K571">
        <v>1</v>
      </c>
      <c r="L571" t="s">
        <v>25</v>
      </c>
      <c r="M571">
        <v>1</v>
      </c>
      <c r="N571">
        <v>1</v>
      </c>
      <c r="O571">
        <v>3183222400</v>
      </c>
      <c r="P571" t="s">
        <v>2438</v>
      </c>
    </row>
    <row r="572" spans="1:16" x14ac:dyDescent="0.25">
      <c r="A572" t="s">
        <v>2490</v>
      </c>
      <c r="B572" t="s">
        <v>2490</v>
      </c>
      <c r="D572" t="s">
        <v>2491</v>
      </c>
      <c r="E572" t="s">
        <v>2492</v>
      </c>
      <c r="F572" t="s">
        <v>50</v>
      </c>
      <c r="G572" t="s">
        <v>26</v>
      </c>
      <c r="H572">
        <v>8</v>
      </c>
      <c r="I572" t="b">
        <v>0</v>
      </c>
      <c r="J572" t="s">
        <v>2490</v>
      </c>
      <c r="K572">
        <v>1</v>
      </c>
      <c r="L572" t="s">
        <v>25</v>
      </c>
      <c r="M572">
        <v>1</v>
      </c>
      <c r="N572">
        <v>1</v>
      </c>
      <c r="O572">
        <v>3137136555.4299998</v>
      </c>
      <c r="P572" t="s">
        <v>2438</v>
      </c>
    </row>
    <row r="573" spans="1:16" x14ac:dyDescent="0.25">
      <c r="A573" t="s">
        <v>2810</v>
      </c>
      <c r="B573" t="s">
        <v>2810</v>
      </c>
      <c r="D573" t="s">
        <v>2811</v>
      </c>
      <c r="E573" t="s">
        <v>1893</v>
      </c>
      <c r="F573" t="s">
        <v>50</v>
      </c>
      <c r="G573" t="s">
        <v>241</v>
      </c>
      <c r="H573">
        <v>3</v>
      </c>
      <c r="I573" t="b">
        <v>0</v>
      </c>
      <c r="J573" t="s">
        <v>2810</v>
      </c>
      <c r="K573">
        <v>1</v>
      </c>
      <c r="L573" t="s">
        <v>1781</v>
      </c>
      <c r="M573">
        <v>1</v>
      </c>
      <c r="N573">
        <v>1</v>
      </c>
      <c r="O573">
        <v>3095970850.96</v>
      </c>
      <c r="P573" t="s">
        <v>2618</v>
      </c>
    </row>
    <row r="574" spans="1:16" x14ac:dyDescent="0.25">
      <c r="A574" t="s">
        <v>2798</v>
      </c>
      <c r="B574" t="s">
        <v>2798</v>
      </c>
      <c r="D574" t="s">
        <v>2799</v>
      </c>
      <c r="E574" t="s">
        <v>218</v>
      </c>
      <c r="F574" t="s">
        <v>50</v>
      </c>
      <c r="G574" t="s">
        <v>241</v>
      </c>
      <c r="H574">
        <v>3</v>
      </c>
      <c r="I574" t="b">
        <v>0</v>
      </c>
      <c r="J574" t="s">
        <v>2798</v>
      </c>
      <c r="K574">
        <v>1</v>
      </c>
      <c r="L574" t="s">
        <v>1781</v>
      </c>
      <c r="M574">
        <v>1</v>
      </c>
      <c r="N574">
        <v>1</v>
      </c>
      <c r="O574">
        <v>3020742172.79</v>
      </c>
      <c r="P574" t="s">
        <v>2618</v>
      </c>
    </row>
    <row r="575" spans="1:16" x14ac:dyDescent="0.25">
      <c r="A575" t="s">
        <v>2653</v>
      </c>
      <c r="B575" t="s">
        <v>2653</v>
      </c>
      <c r="D575" t="s">
        <v>2654</v>
      </c>
      <c r="E575" t="s">
        <v>1435</v>
      </c>
      <c r="F575" t="s">
        <v>50</v>
      </c>
      <c r="G575" t="s">
        <v>241</v>
      </c>
      <c r="H575">
        <v>3</v>
      </c>
      <c r="I575" t="b">
        <v>0</v>
      </c>
      <c r="J575" t="s">
        <v>2653</v>
      </c>
      <c r="K575">
        <v>1</v>
      </c>
      <c r="L575" t="s">
        <v>4108</v>
      </c>
      <c r="M575">
        <v>2</v>
      </c>
      <c r="N575">
        <v>2</v>
      </c>
      <c r="O575">
        <v>3001490280.5500002</v>
      </c>
      <c r="P575" t="s">
        <v>2618</v>
      </c>
    </row>
    <row r="576" spans="1:16" x14ac:dyDescent="0.25">
      <c r="A576" t="s">
        <v>2766</v>
      </c>
      <c r="B576" t="s">
        <v>2766</v>
      </c>
      <c r="D576" t="s">
        <v>2767</v>
      </c>
      <c r="E576" t="s">
        <v>2768</v>
      </c>
      <c r="F576" t="s">
        <v>50</v>
      </c>
      <c r="G576" t="s">
        <v>241</v>
      </c>
      <c r="H576">
        <v>3</v>
      </c>
      <c r="I576" t="b">
        <v>0</v>
      </c>
      <c r="J576" t="s">
        <v>2766</v>
      </c>
      <c r="K576">
        <v>1</v>
      </c>
      <c r="L576" t="s">
        <v>1781</v>
      </c>
      <c r="M576">
        <v>1</v>
      </c>
      <c r="N576">
        <v>1</v>
      </c>
      <c r="O576">
        <v>2741678382.3800011</v>
      </c>
      <c r="P576" t="s">
        <v>2618</v>
      </c>
    </row>
    <row r="577" spans="1:16" x14ac:dyDescent="0.25">
      <c r="A577" t="s">
        <v>2802</v>
      </c>
      <c r="B577" t="s">
        <v>2802</v>
      </c>
      <c r="D577" t="s">
        <v>2803</v>
      </c>
      <c r="E577" t="s">
        <v>2026</v>
      </c>
      <c r="F577" t="s">
        <v>50</v>
      </c>
      <c r="G577" t="s">
        <v>241</v>
      </c>
      <c r="H577">
        <v>3</v>
      </c>
      <c r="I577" t="b">
        <v>0</v>
      </c>
      <c r="J577" t="s">
        <v>2802</v>
      </c>
      <c r="K577">
        <v>1</v>
      </c>
      <c r="L577" t="s">
        <v>1781</v>
      </c>
      <c r="M577">
        <v>1</v>
      </c>
      <c r="N577">
        <v>1</v>
      </c>
      <c r="O577">
        <v>2589459997.48</v>
      </c>
      <c r="P577" t="s">
        <v>2618</v>
      </c>
    </row>
    <row r="578" spans="1:16" x14ac:dyDescent="0.25">
      <c r="A578" t="s">
        <v>2759</v>
      </c>
      <c r="B578" t="s">
        <v>2759</v>
      </c>
      <c r="D578" t="s">
        <v>2760</v>
      </c>
      <c r="E578" t="s">
        <v>2758</v>
      </c>
      <c r="F578" t="s">
        <v>50</v>
      </c>
      <c r="G578" t="s">
        <v>241</v>
      </c>
      <c r="H578">
        <v>3</v>
      </c>
      <c r="I578" t="b">
        <v>0</v>
      </c>
      <c r="J578" t="s">
        <v>2759</v>
      </c>
      <c r="K578">
        <v>1</v>
      </c>
      <c r="L578" t="s">
        <v>1781</v>
      </c>
      <c r="M578">
        <v>1</v>
      </c>
      <c r="N578">
        <v>1</v>
      </c>
      <c r="O578">
        <v>2545084583.8299999</v>
      </c>
      <c r="P578" t="s">
        <v>2618</v>
      </c>
    </row>
    <row r="579" spans="1:16" x14ac:dyDescent="0.25">
      <c r="A579" t="s">
        <v>2681</v>
      </c>
      <c r="B579" t="s">
        <v>2681</v>
      </c>
      <c r="D579" t="s">
        <v>2682</v>
      </c>
      <c r="E579" t="s">
        <v>2683</v>
      </c>
      <c r="F579" t="s">
        <v>50</v>
      </c>
      <c r="G579" t="s">
        <v>241</v>
      </c>
      <c r="H579">
        <v>3</v>
      </c>
      <c r="I579" t="b">
        <v>0</v>
      </c>
      <c r="J579" t="s">
        <v>2681</v>
      </c>
      <c r="K579">
        <v>1</v>
      </c>
      <c r="L579" t="s">
        <v>1781</v>
      </c>
      <c r="M579">
        <v>1</v>
      </c>
      <c r="N579">
        <v>1</v>
      </c>
      <c r="O579">
        <v>2469268103.420001</v>
      </c>
      <c r="P579" t="s">
        <v>2618</v>
      </c>
    </row>
    <row r="580" spans="1:16" x14ac:dyDescent="0.25">
      <c r="A580" t="s">
        <v>2761</v>
      </c>
      <c r="B580" t="s">
        <v>2761</v>
      </c>
      <c r="D580" t="s">
        <v>2762</v>
      </c>
      <c r="E580" t="s">
        <v>1935</v>
      </c>
      <c r="F580" t="s">
        <v>50</v>
      </c>
      <c r="G580" t="s">
        <v>241</v>
      </c>
      <c r="H580">
        <v>3</v>
      </c>
      <c r="I580" t="b">
        <v>0</v>
      </c>
      <c r="J580" t="s">
        <v>2761</v>
      </c>
      <c r="K580">
        <v>1</v>
      </c>
      <c r="L580" t="s">
        <v>1781</v>
      </c>
      <c r="M580">
        <v>1</v>
      </c>
      <c r="N580">
        <v>1</v>
      </c>
      <c r="O580">
        <v>2424616402</v>
      </c>
      <c r="P580" t="s">
        <v>2618</v>
      </c>
    </row>
    <row r="581" spans="1:16" x14ac:dyDescent="0.25">
      <c r="A581" t="s">
        <v>2495</v>
      </c>
      <c r="B581" t="s">
        <v>2495</v>
      </c>
      <c r="D581" t="s">
        <v>2496</v>
      </c>
      <c r="E581" t="s">
        <v>2492</v>
      </c>
      <c r="F581" t="s">
        <v>50</v>
      </c>
      <c r="G581" t="s">
        <v>26</v>
      </c>
      <c r="H581">
        <v>8</v>
      </c>
      <c r="I581" t="b">
        <v>0</v>
      </c>
      <c r="J581" t="s">
        <v>2495</v>
      </c>
      <c r="K581">
        <v>1</v>
      </c>
      <c r="L581" t="s">
        <v>25</v>
      </c>
      <c r="M581">
        <v>1</v>
      </c>
      <c r="N581">
        <v>1</v>
      </c>
      <c r="O581">
        <v>2405166729.0700002</v>
      </c>
      <c r="P581" t="s">
        <v>2438</v>
      </c>
    </row>
    <row r="582" spans="1:16" x14ac:dyDescent="0.25">
      <c r="A582" t="s">
        <v>2672</v>
      </c>
      <c r="B582" t="s">
        <v>2672</v>
      </c>
      <c r="D582" t="s">
        <v>2673</v>
      </c>
      <c r="E582" t="s">
        <v>1916</v>
      </c>
      <c r="F582" t="s">
        <v>50</v>
      </c>
      <c r="G582" t="s">
        <v>241</v>
      </c>
      <c r="H582">
        <v>3</v>
      </c>
      <c r="I582" t="b">
        <v>0</v>
      </c>
      <c r="J582" t="s">
        <v>2672</v>
      </c>
      <c r="K582">
        <v>1</v>
      </c>
      <c r="L582" t="s">
        <v>4110</v>
      </c>
      <c r="M582">
        <v>3</v>
      </c>
      <c r="N582">
        <v>3</v>
      </c>
      <c r="O582">
        <v>2354312290.8200002</v>
      </c>
      <c r="P582" t="s">
        <v>2618</v>
      </c>
    </row>
    <row r="583" spans="1:16" x14ac:dyDescent="0.25">
      <c r="A583" t="s">
        <v>2772</v>
      </c>
      <c r="B583" t="s">
        <v>2772</v>
      </c>
      <c r="D583" t="s">
        <v>2773</v>
      </c>
      <c r="E583" t="s">
        <v>2774</v>
      </c>
      <c r="F583" t="s">
        <v>50</v>
      </c>
      <c r="G583" t="s">
        <v>241</v>
      </c>
      <c r="H583">
        <v>3</v>
      </c>
      <c r="I583" t="b">
        <v>0</v>
      </c>
      <c r="J583" t="s">
        <v>2772</v>
      </c>
      <c r="K583">
        <v>1</v>
      </c>
      <c r="L583" t="s">
        <v>4163</v>
      </c>
      <c r="M583">
        <v>2</v>
      </c>
      <c r="N583">
        <v>2</v>
      </c>
      <c r="O583">
        <v>2351784294.8799992</v>
      </c>
      <c r="P583" t="s">
        <v>2618</v>
      </c>
    </row>
    <row r="584" spans="1:16" x14ac:dyDescent="0.25">
      <c r="A584" t="s">
        <v>2445</v>
      </c>
      <c r="B584" t="s">
        <v>2445</v>
      </c>
      <c r="D584" t="s">
        <v>2446</v>
      </c>
      <c r="E584" t="s">
        <v>2447</v>
      </c>
      <c r="F584" t="s">
        <v>50</v>
      </c>
      <c r="G584" t="s">
        <v>241</v>
      </c>
      <c r="H584">
        <v>10</v>
      </c>
      <c r="I584" t="b">
        <v>0</v>
      </c>
      <c r="J584" t="s">
        <v>2445</v>
      </c>
      <c r="K584">
        <v>1</v>
      </c>
      <c r="L584" t="s">
        <v>25</v>
      </c>
      <c r="M584">
        <v>1</v>
      </c>
      <c r="N584">
        <v>1</v>
      </c>
      <c r="O584">
        <v>2281258690.0500002</v>
      </c>
      <c r="P584" t="s">
        <v>2438</v>
      </c>
    </row>
    <row r="585" spans="1:16" x14ac:dyDescent="0.25">
      <c r="A585" t="s">
        <v>2788</v>
      </c>
      <c r="B585" t="s">
        <v>2788</v>
      </c>
      <c r="D585" t="s">
        <v>2789</v>
      </c>
      <c r="E585" t="s">
        <v>1634</v>
      </c>
      <c r="F585" t="s">
        <v>50</v>
      </c>
      <c r="G585" t="s">
        <v>241</v>
      </c>
      <c r="H585">
        <v>3</v>
      </c>
      <c r="I585" t="b">
        <v>0</v>
      </c>
      <c r="J585" t="s">
        <v>2788</v>
      </c>
      <c r="K585">
        <v>1</v>
      </c>
      <c r="L585" t="s">
        <v>1781</v>
      </c>
      <c r="M585">
        <v>1</v>
      </c>
      <c r="N585">
        <v>1</v>
      </c>
      <c r="O585">
        <v>2066317458.3199999</v>
      </c>
      <c r="P585" t="s">
        <v>2618</v>
      </c>
    </row>
    <row r="586" spans="1:16" x14ac:dyDescent="0.25">
      <c r="A586" t="s">
        <v>2738</v>
      </c>
      <c r="B586" t="s">
        <v>2738</v>
      </c>
      <c r="D586" t="s">
        <v>2739</v>
      </c>
      <c r="E586" t="s">
        <v>1898</v>
      </c>
      <c r="F586" t="s">
        <v>50</v>
      </c>
      <c r="G586" t="s">
        <v>241</v>
      </c>
      <c r="H586">
        <v>3</v>
      </c>
      <c r="I586" t="b">
        <v>0</v>
      </c>
      <c r="J586" t="s">
        <v>2738</v>
      </c>
      <c r="K586">
        <v>1</v>
      </c>
      <c r="L586" t="s">
        <v>1781</v>
      </c>
      <c r="M586">
        <v>1</v>
      </c>
      <c r="N586">
        <v>1</v>
      </c>
      <c r="O586">
        <v>2062812339.98</v>
      </c>
      <c r="P586" t="s">
        <v>2618</v>
      </c>
    </row>
    <row r="587" spans="1:16" x14ac:dyDescent="0.25">
      <c r="A587" t="s">
        <v>2530</v>
      </c>
      <c r="B587" t="s">
        <v>2530</v>
      </c>
      <c r="D587" t="s">
        <v>2531</v>
      </c>
      <c r="E587" t="s">
        <v>2529</v>
      </c>
      <c r="F587" t="s">
        <v>50</v>
      </c>
      <c r="G587" t="s">
        <v>26</v>
      </c>
      <c r="H587">
        <v>8</v>
      </c>
      <c r="I587" t="b">
        <v>0</v>
      </c>
      <c r="J587" t="s">
        <v>2530</v>
      </c>
      <c r="K587">
        <v>1</v>
      </c>
      <c r="L587" t="s">
        <v>25</v>
      </c>
      <c r="M587">
        <v>1</v>
      </c>
      <c r="N587">
        <v>1</v>
      </c>
      <c r="O587">
        <v>2059725650.95</v>
      </c>
      <c r="P587" t="s">
        <v>2438</v>
      </c>
    </row>
    <row r="588" spans="1:16" x14ac:dyDescent="0.25">
      <c r="A588" t="s">
        <v>2750</v>
      </c>
      <c r="B588" t="s">
        <v>2750</v>
      </c>
      <c r="D588" t="s">
        <v>2751</v>
      </c>
      <c r="E588" t="s">
        <v>2752</v>
      </c>
      <c r="F588" t="s">
        <v>50</v>
      </c>
      <c r="G588" t="s">
        <v>241</v>
      </c>
      <c r="H588">
        <v>3</v>
      </c>
      <c r="I588" t="b">
        <v>0</v>
      </c>
      <c r="J588" t="s">
        <v>2750</v>
      </c>
      <c r="K588">
        <v>1</v>
      </c>
      <c r="L588" t="s">
        <v>4163</v>
      </c>
      <c r="M588">
        <v>2</v>
      </c>
      <c r="N588">
        <v>2</v>
      </c>
      <c r="O588">
        <v>2049674253.9100001</v>
      </c>
      <c r="P588" t="s">
        <v>2618</v>
      </c>
    </row>
    <row r="589" spans="1:16" x14ac:dyDescent="0.25">
      <c r="A589" t="s">
        <v>2777</v>
      </c>
      <c r="B589" t="s">
        <v>2777</v>
      </c>
      <c r="D589" t="s">
        <v>2778</v>
      </c>
      <c r="E589" t="s">
        <v>1996</v>
      </c>
      <c r="F589" t="s">
        <v>50</v>
      </c>
      <c r="G589" t="s">
        <v>241</v>
      </c>
      <c r="H589">
        <v>3</v>
      </c>
      <c r="I589" t="b">
        <v>0</v>
      </c>
      <c r="J589" t="s">
        <v>2777</v>
      </c>
      <c r="K589">
        <v>1</v>
      </c>
      <c r="L589" t="s">
        <v>1781</v>
      </c>
      <c r="M589">
        <v>1</v>
      </c>
      <c r="N589">
        <v>1</v>
      </c>
      <c r="O589">
        <v>2047434091.1500001</v>
      </c>
      <c r="P589" t="s">
        <v>2618</v>
      </c>
    </row>
    <row r="590" spans="1:16" x14ac:dyDescent="0.25">
      <c r="A590" t="s">
        <v>2753</v>
      </c>
      <c r="B590" t="s">
        <v>2753</v>
      </c>
      <c r="D590" t="s">
        <v>2754</v>
      </c>
      <c r="E590" t="s">
        <v>2755</v>
      </c>
      <c r="F590" t="s">
        <v>50</v>
      </c>
      <c r="G590" t="s">
        <v>241</v>
      </c>
      <c r="H590">
        <v>3</v>
      </c>
      <c r="I590" t="b">
        <v>0</v>
      </c>
      <c r="J590" t="s">
        <v>2753</v>
      </c>
      <c r="K590">
        <v>1</v>
      </c>
      <c r="L590" t="s">
        <v>1781</v>
      </c>
      <c r="M590">
        <v>1</v>
      </c>
      <c r="N590">
        <v>1</v>
      </c>
      <c r="O590">
        <v>2015961187.46</v>
      </c>
      <c r="P590" t="s">
        <v>2618</v>
      </c>
    </row>
    <row r="591" spans="1:16" x14ac:dyDescent="0.25">
      <c r="A591" t="s">
        <v>2614</v>
      </c>
      <c r="B591" t="s">
        <v>2614</v>
      </c>
      <c r="D591" t="s">
        <v>2615</v>
      </c>
      <c r="E591" t="s">
        <v>104</v>
      </c>
      <c r="F591" t="s">
        <v>50</v>
      </c>
      <c r="G591" t="s">
        <v>26</v>
      </c>
      <c r="H591">
        <v>8</v>
      </c>
      <c r="I591" t="b">
        <v>0</v>
      </c>
      <c r="J591" t="s">
        <v>2614</v>
      </c>
      <c r="K591">
        <v>1</v>
      </c>
      <c r="L591" t="s">
        <v>4163</v>
      </c>
      <c r="M591">
        <v>2</v>
      </c>
      <c r="N591">
        <v>2</v>
      </c>
      <c r="O591">
        <v>1999675530.5599999</v>
      </c>
      <c r="P591" t="s">
        <v>2438</v>
      </c>
    </row>
    <row r="592" spans="1:16" x14ac:dyDescent="0.25">
      <c r="A592" t="s">
        <v>2532</v>
      </c>
      <c r="B592" t="s">
        <v>2532</v>
      </c>
      <c r="D592" t="s">
        <v>2533</v>
      </c>
      <c r="E592" t="s">
        <v>2529</v>
      </c>
      <c r="F592" t="s">
        <v>50</v>
      </c>
      <c r="G592" t="s">
        <v>26</v>
      </c>
      <c r="H592">
        <v>8</v>
      </c>
      <c r="I592" t="b">
        <v>0</v>
      </c>
      <c r="J592" t="s">
        <v>2532</v>
      </c>
      <c r="K592">
        <v>1</v>
      </c>
      <c r="L592" t="s">
        <v>25</v>
      </c>
      <c r="M592">
        <v>1</v>
      </c>
      <c r="N592">
        <v>1</v>
      </c>
      <c r="O592">
        <v>1901766111.25</v>
      </c>
      <c r="P592" t="s">
        <v>2438</v>
      </c>
    </row>
    <row r="593" spans="1:16" x14ac:dyDescent="0.25">
      <c r="A593" t="s">
        <v>2630</v>
      </c>
      <c r="B593" t="s">
        <v>2630</v>
      </c>
      <c r="D593" t="s">
        <v>2631</v>
      </c>
      <c r="E593" t="s">
        <v>2632</v>
      </c>
      <c r="F593" t="s">
        <v>50</v>
      </c>
      <c r="G593" t="s">
        <v>26</v>
      </c>
      <c r="H593">
        <v>3</v>
      </c>
      <c r="I593" t="b">
        <v>0</v>
      </c>
      <c r="J593" t="s">
        <v>2630</v>
      </c>
      <c r="K593">
        <v>1</v>
      </c>
      <c r="L593" t="s">
        <v>4108</v>
      </c>
      <c r="M593">
        <v>2</v>
      </c>
      <c r="N593">
        <v>2</v>
      </c>
      <c r="O593">
        <v>1828344600</v>
      </c>
      <c r="P593" t="s">
        <v>2618</v>
      </c>
    </row>
    <row r="594" spans="1:16" x14ac:dyDescent="0.25">
      <c r="A594" t="s">
        <v>2559</v>
      </c>
      <c r="B594" t="s">
        <v>2559</v>
      </c>
      <c r="D594" t="s">
        <v>2560</v>
      </c>
      <c r="E594" t="s">
        <v>2541</v>
      </c>
      <c r="F594" t="s">
        <v>50</v>
      </c>
      <c r="G594" t="s">
        <v>241</v>
      </c>
      <c r="H594">
        <v>8</v>
      </c>
      <c r="I594" t="b">
        <v>0</v>
      </c>
      <c r="J594" t="s">
        <v>2559</v>
      </c>
      <c r="K594">
        <v>1</v>
      </c>
      <c r="L594" t="s">
        <v>25</v>
      </c>
      <c r="M594">
        <v>1</v>
      </c>
      <c r="N594">
        <v>1</v>
      </c>
      <c r="O594">
        <v>1786144300.49</v>
      </c>
      <c r="P594" t="s">
        <v>2438</v>
      </c>
    </row>
    <row r="595" spans="1:16" x14ac:dyDescent="0.25">
      <c r="A595" t="s">
        <v>2786</v>
      </c>
      <c r="B595" t="s">
        <v>2786</v>
      </c>
      <c r="D595" t="s">
        <v>2787</v>
      </c>
      <c r="E595" t="s">
        <v>1634</v>
      </c>
      <c r="F595" t="s">
        <v>50</v>
      </c>
      <c r="G595" t="s">
        <v>241</v>
      </c>
      <c r="H595">
        <v>3</v>
      </c>
      <c r="I595" t="b">
        <v>0</v>
      </c>
      <c r="J595" t="s">
        <v>2786</v>
      </c>
      <c r="K595">
        <v>1</v>
      </c>
      <c r="L595" t="s">
        <v>1781</v>
      </c>
      <c r="M595">
        <v>1</v>
      </c>
      <c r="N595">
        <v>1</v>
      </c>
      <c r="O595">
        <v>1781629235.71</v>
      </c>
      <c r="P595" t="s">
        <v>2618</v>
      </c>
    </row>
    <row r="596" spans="1:16" x14ac:dyDescent="0.25">
      <c r="A596" t="s">
        <v>2730</v>
      </c>
      <c r="B596" t="s">
        <v>2730</v>
      </c>
      <c r="D596" t="s">
        <v>2731</v>
      </c>
      <c r="E596" t="s">
        <v>2732</v>
      </c>
      <c r="F596" t="s">
        <v>50</v>
      </c>
      <c r="G596" t="s">
        <v>241</v>
      </c>
      <c r="H596">
        <v>3</v>
      </c>
      <c r="I596" t="b">
        <v>0</v>
      </c>
      <c r="J596" t="s">
        <v>2730</v>
      </c>
      <c r="K596">
        <v>1</v>
      </c>
      <c r="L596" t="s">
        <v>1781</v>
      </c>
      <c r="M596">
        <v>1</v>
      </c>
      <c r="N596">
        <v>1</v>
      </c>
      <c r="O596">
        <v>1774926444.0899999</v>
      </c>
      <c r="P596" t="s">
        <v>2618</v>
      </c>
    </row>
    <row r="597" spans="1:16" x14ac:dyDescent="0.25">
      <c r="A597" t="s">
        <v>2471</v>
      </c>
      <c r="B597" t="s">
        <v>2471</v>
      </c>
      <c r="D597" t="s">
        <v>2472</v>
      </c>
      <c r="E597" t="s">
        <v>2473</v>
      </c>
      <c r="F597" t="s">
        <v>61</v>
      </c>
      <c r="G597" t="s">
        <v>32</v>
      </c>
      <c r="H597">
        <v>10</v>
      </c>
      <c r="I597" t="b">
        <v>0</v>
      </c>
      <c r="J597" t="s">
        <v>2471</v>
      </c>
      <c r="K597">
        <v>1</v>
      </c>
      <c r="L597" t="s">
        <v>25</v>
      </c>
      <c r="M597">
        <v>1</v>
      </c>
      <c r="N597">
        <v>1</v>
      </c>
      <c r="O597">
        <v>1727088275.3699999</v>
      </c>
      <c r="P597" t="s">
        <v>2438</v>
      </c>
    </row>
    <row r="598" spans="1:16" x14ac:dyDescent="0.25">
      <c r="A598" t="s">
        <v>2748</v>
      </c>
      <c r="B598" t="s">
        <v>2748</v>
      </c>
      <c r="D598" t="s">
        <v>2749</v>
      </c>
      <c r="E598" t="s">
        <v>1916</v>
      </c>
      <c r="F598" t="s">
        <v>50</v>
      </c>
      <c r="G598" t="s">
        <v>241</v>
      </c>
      <c r="H598">
        <v>3</v>
      </c>
      <c r="I598" t="b">
        <v>0</v>
      </c>
      <c r="J598" t="s">
        <v>2748</v>
      </c>
      <c r="K598">
        <v>1</v>
      </c>
      <c r="L598" t="s">
        <v>1781</v>
      </c>
      <c r="M598">
        <v>1</v>
      </c>
      <c r="N598">
        <v>1</v>
      </c>
      <c r="O598">
        <v>1704110843.6700001</v>
      </c>
      <c r="P598" t="s">
        <v>2618</v>
      </c>
    </row>
    <row r="599" spans="1:16" x14ac:dyDescent="0.25">
      <c r="A599" t="s">
        <v>2792</v>
      </c>
      <c r="B599" t="s">
        <v>2792</v>
      </c>
      <c r="D599" t="s">
        <v>2793</v>
      </c>
      <c r="E599" t="s">
        <v>1639</v>
      </c>
      <c r="F599" t="s">
        <v>50</v>
      </c>
      <c r="G599" t="s">
        <v>241</v>
      </c>
      <c r="H599">
        <v>3</v>
      </c>
      <c r="I599" t="b">
        <v>0</v>
      </c>
      <c r="J599" t="s">
        <v>2792</v>
      </c>
      <c r="K599">
        <v>1</v>
      </c>
      <c r="L599" t="s">
        <v>1781</v>
      </c>
      <c r="M599">
        <v>1</v>
      </c>
      <c r="N599">
        <v>1</v>
      </c>
      <c r="O599">
        <v>1687670153.0999999</v>
      </c>
      <c r="P599" t="s">
        <v>2618</v>
      </c>
    </row>
    <row r="600" spans="1:16" x14ac:dyDescent="0.25">
      <c r="A600" t="s">
        <v>2709</v>
      </c>
      <c r="B600" t="s">
        <v>2709</v>
      </c>
      <c r="D600" t="s">
        <v>2710</v>
      </c>
      <c r="E600" t="s">
        <v>2645</v>
      </c>
      <c r="F600" t="s">
        <v>50</v>
      </c>
      <c r="G600" t="s">
        <v>241</v>
      </c>
      <c r="H600">
        <v>3</v>
      </c>
      <c r="I600" t="b">
        <v>0</v>
      </c>
      <c r="J600" t="s">
        <v>2709</v>
      </c>
      <c r="K600">
        <v>1</v>
      </c>
      <c r="L600" t="s">
        <v>1781</v>
      </c>
      <c r="M600">
        <v>1</v>
      </c>
      <c r="N600">
        <v>1</v>
      </c>
      <c r="O600">
        <v>1664630641.79</v>
      </c>
      <c r="P600" t="s">
        <v>2618</v>
      </c>
    </row>
    <row r="601" spans="1:16" x14ac:dyDescent="0.25">
      <c r="A601" t="s">
        <v>2516</v>
      </c>
      <c r="B601" t="s">
        <v>2516</v>
      </c>
      <c r="D601" t="s">
        <v>2517</v>
      </c>
      <c r="E601" t="s">
        <v>2515</v>
      </c>
      <c r="F601" t="s">
        <v>50</v>
      </c>
      <c r="G601" t="s">
        <v>26</v>
      </c>
      <c r="H601">
        <v>8</v>
      </c>
      <c r="I601" t="b">
        <v>0</v>
      </c>
      <c r="J601" t="s">
        <v>2516</v>
      </c>
      <c r="K601">
        <v>1</v>
      </c>
      <c r="L601" t="s">
        <v>25</v>
      </c>
      <c r="M601">
        <v>1</v>
      </c>
      <c r="N601">
        <v>1</v>
      </c>
      <c r="O601">
        <v>1663413888.4599969</v>
      </c>
      <c r="P601" t="s">
        <v>2438</v>
      </c>
    </row>
    <row r="602" spans="1:16" x14ac:dyDescent="0.25">
      <c r="A602" t="s">
        <v>2521</v>
      </c>
      <c r="B602" t="s">
        <v>2521</v>
      </c>
      <c r="D602" t="s">
        <v>2522</v>
      </c>
      <c r="E602" t="s">
        <v>2523</v>
      </c>
      <c r="F602" t="s">
        <v>50</v>
      </c>
      <c r="G602" t="s">
        <v>26</v>
      </c>
      <c r="H602">
        <v>8</v>
      </c>
      <c r="I602" t="b">
        <v>0</v>
      </c>
      <c r="J602" t="s">
        <v>2521</v>
      </c>
      <c r="K602">
        <v>1</v>
      </c>
      <c r="L602" t="s">
        <v>25</v>
      </c>
      <c r="M602">
        <v>1</v>
      </c>
      <c r="N602">
        <v>1</v>
      </c>
      <c r="O602">
        <v>1659508292.21</v>
      </c>
      <c r="P602" t="s">
        <v>2438</v>
      </c>
    </row>
    <row r="603" spans="1:16" x14ac:dyDescent="0.25">
      <c r="A603" t="s">
        <v>2784</v>
      </c>
      <c r="B603" t="s">
        <v>2784</v>
      </c>
      <c r="D603" t="s">
        <v>2785</v>
      </c>
      <c r="E603" t="s">
        <v>2050</v>
      </c>
      <c r="F603" t="s">
        <v>50</v>
      </c>
      <c r="G603" t="s">
        <v>241</v>
      </c>
      <c r="H603">
        <v>3</v>
      </c>
      <c r="I603" t="b">
        <v>0</v>
      </c>
      <c r="J603" t="s">
        <v>2784</v>
      </c>
      <c r="K603">
        <v>1</v>
      </c>
      <c r="L603" t="s">
        <v>1781</v>
      </c>
      <c r="M603">
        <v>1</v>
      </c>
      <c r="N603">
        <v>1</v>
      </c>
      <c r="O603">
        <v>1653299298.6199999</v>
      </c>
      <c r="P603" t="s">
        <v>2618</v>
      </c>
    </row>
    <row r="604" spans="1:16" x14ac:dyDescent="0.25">
      <c r="A604" t="s">
        <v>2706</v>
      </c>
      <c r="B604" t="s">
        <v>2706</v>
      </c>
      <c r="D604" t="s">
        <v>2707</v>
      </c>
      <c r="E604" t="s">
        <v>2708</v>
      </c>
      <c r="F604" t="s">
        <v>50</v>
      </c>
      <c r="G604" t="s">
        <v>241</v>
      </c>
      <c r="H604">
        <v>3</v>
      </c>
      <c r="I604" t="b">
        <v>0</v>
      </c>
      <c r="J604" t="s">
        <v>2706</v>
      </c>
      <c r="K604">
        <v>1</v>
      </c>
      <c r="L604" t="s">
        <v>1781</v>
      </c>
      <c r="M604">
        <v>1</v>
      </c>
      <c r="N604">
        <v>1</v>
      </c>
      <c r="O604">
        <v>1637333851.48</v>
      </c>
      <c r="P604" t="s">
        <v>2618</v>
      </c>
    </row>
    <row r="605" spans="1:16" x14ac:dyDescent="0.25">
      <c r="A605" t="s">
        <v>2775</v>
      </c>
      <c r="B605" t="s">
        <v>2775</v>
      </c>
      <c r="D605" t="s">
        <v>2776</v>
      </c>
      <c r="E605" t="s">
        <v>2774</v>
      </c>
      <c r="F605" t="s">
        <v>50</v>
      </c>
      <c r="G605" t="s">
        <v>241</v>
      </c>
      <c r="H605">
        <v>3</v>
      </c>
      <c r="I605" t="b">
        <v>0</v>
      </c>
      <c r="J605" t="s">
        <v>2775</v>
      </c>
      <c r="K605">
        <v>1</v>
      </c>
      <c r="L605" t="s">
        <v>4163</v>
      </c>
      <c r="M605">
        <v>2</v>
      </c>
      <c r="N605">
        <v>2</v>
      </c>
      <c r="O605">
        <v>1617901888.73</v>
      </c>
      <c r="P605" t="s">
        <v>2618</v>
      </c>
    </row>
    <row r="606" spans="1:16" x14ac:dyDescent="0.25">
      <c r="A606" t="s">
        <v>2450</v>
      </c>
      <c r="B606" t="s">
        <v>2450</v>
      </c>
      <c r="D606" t="s">
        <v>2451</v>
      </c>
      <c r="E606" t="s">
        <v>2452</v>
      </c>
      <c r="F606" t="s">
        <v>50</v>
      </c>
      <c r="G606" t="s">
        <v>26</v>
      </c>
      <c r="H606">
        <v>10</v>
      </c>
      <c r="I606" t="b">
        <v>0</v>
      </c>
      <c r="J606" t="s">
        <v>2450</v>
      </c>
      <c r="K606">
        <v>1</v>
      </c>
      <c r="L606" t="s">
        <v>25</v>
      </c>
      <c r="M606">
        <v>1</v>
      </c>
      <c r="N606">
        <v>1</v>
      </c>
      <c r="O606">
        <v>1488034800</v>
      </c>
      <c r="P606" t="s">
        <v>2438</v>
      </c>
    </row>
    <row r="607" spans="1:16" x14ac:dyDescent="0.25">
      <c r="A607" t="s">
        <v>2812</v>
      </c>
      <c r="B607" t="s">
        <v>2812</v>
      </c>
      <c r="D607" t="s">
        <v>2813</v>
      </c>
      <c r="E607" t="s">
        <v>1916</v>
      </c>
      <c r="F607" t="s">
        <v>50</v>
      </c>
      <c r="G607" t="s">
        <v>241</v>
      </c>
      <c r="H607">
        <v>3</v>
      </c>
      <c r="I607" t="b">
        <v>0</v>
      </c>
      <c r="J607" t="s">
        <v>2812</v>
      </c>
      <c r="K607">
        <v>1</v>
      </c>
      <c r="L607" t="s">
        <v>1781</v>
      </c>
      <c r="M607">
        <v>1</v>
      </c>
      <c r="N607">
        <v>1</v>
      </c>
      <c r="O607">
        <v>1471748836.1500001</v>
      </c>
      <c r="P607" t="s">
        <v>2618</v>
      </c>
    </row>
    <row r="608" spans="1:16" x14ac:dyDescent="0.25">
      <c r="A608" t="s">
        <v>2723</v>
      </c>
      <c r="B608" t="s">
        <v>2723</v>
      </c>
      <c r="D608" t="s">
        <v>2724</v>
      </c>
      <c r="E608" t="s">
        <v>1857</v>
      </c>
      <c r="F608" t="s">
        <v>50</v>
      </c>
      <c r="G608" t="s">
        <v>241</v>
      </c>
      <c r="H608">
        <v>3</v>
      </c>
      <c r="I608" t="b">
        <v>0</v>
      </c>
      <c r="J608" t="s">
        <v>2723</v>
      </c>
      <c r="K608">
        <v>1</v>
      </c>
      <c r="L608" t="s">
        <v>1781</v>
      </c>
      <c r="M608">
        <v>1</v>
      </c>
      <c r="N608">
        <v>1</v>
      </c>
      <c r="O608">
        <v>1447956246.75</v>
      </c>
      <c r="P608" t="s">
        <v>2618</v>
      </c>
    </row>
    <row r="609" spans="1:16" x14ac:dyDescent="0.25">
      <c r="A609" t="s">
        <v>2804</v>
      </c>
      <c r="B609" t="s">
        <v>2804</v>
      </c>
      <c r="D609" t="s">
        <v>2805</v>
      </c>
      <c r="E609" t="s">
        <v>1810</v>
      </c>
      <c r="F609" t="s">
        <v>50</v>
      </c>
      <c r="G609" t="s">
        <v>241</v>
      </c>
      <c r="H609">
        <v>3</v>
      </c>
      <c r="I609" t="b">
        <v>0</v>
      </c>
      <c r="J609" t="s">
        <v>2804</v>
      </c>
      <c r="K609">
        <v>1</v>
      </c>
      <c r="L609" t="s">
        <v>1781</v>
      </c>
      <c r="M609">
        <v>1</v>
      </c>
      <c r="N609">
        <v>1</v>
      </c>
      <c r="O609">
        <v>1425553151.74</v>
      </c>
      <c r="P609" t="s">
        <v>2618</v>
      </c>
    </row>
    <row r="610" spans="1:16" x14ac:dyDescent="0.25">
      <c r="A610" t="s">
        <v>2580</v>
      </c>
      <c r="B610" t="s">
        <v>2580</v>
      </c>
      <c r="D610" t="s">
        <v>2581</v>
      </c>
      <c r="E610" t="s">
        <v>1857</v>
      </c>
      <c r="F610" t="s">
        <v>50</v>
      </c>
      <c r="G610" t="s">
        <v>26</v>
      </c>
      <c r="H610">
        <v>5</v>
      </c>
      <c r="I610" t="b">
        <v>0</v>
      </c>
      <c r="J610" t="s">
        <v>2580</v>
      </c>
      <c r="K610">
        <v>1</v>
      </c>
      <c r="L610" t="s">
        <v>25</v>
      </c>
      <c r="M610">
        <v>1</v>
      </c>
      <c r="N610">
        <v>1</v>
      </c>
      <c r="O610">
        <v>1410377424.45</v>
      </c>
      <c r="P610" t="s">
        <v>2438</v>
      </c>
    </row>
    <row r="611" spans="1:16" x14ac:dyDescent="0.25">
      <c r="A611" t="s">
        <v>2831</v>
      </c>
      <c r="B611" t="s">
        <v>2831</v>
      </c>
      <c r="D611" t="s">
        <v>2832</v>
      </c>
      <c r="E611" t="s">
        <v>1857</v>
      </c>
      <c r="F611" t="s">
        <v>50</v>
      </c>
      <c r="G611" t="s">
        <v>241</v>
      </c>
      <c r="H611">
        <v>3</v>
      </c>
      <c r="I611" t="b">
        <v>0</v>
      </c>
      <c r="J611" t="s">
        <v>2831</v>
      </c>
      <c r="K611">
        <v>1</v>
      </c>
      <c r="L611" t="s">
        <v>1781</v>
      </c>
      <c r="M611">
        <v>1</v>
      </c>
      <c r="N611">
        <v>1</v>
      </c>
      <c r="O611">
        <v>1355034240.5799999</v>
      </c>
      <c r="P611" t="s">
        <v>2618</v>
      </c>
    </row>
    <row r="612" spans="1:16" x14ac:dyDescent="0.25">
      <c r="A612" t="s">
        <v>2794</v>
      </c>
      <c r="B612" t="s">
        <v>2794</v>
      </c>
      <c r="D612" t="s">
        <v>2795</v>
      </c>
      <c r="E612" t="s">
        <v>1853</v>
      </c>
      <c r="F612" t="s">
        <v>50</v>
      </c>
      <c r="G612" t="s">
        <v>241</v>
      </c>
      <c r="H612">
        <v>3</v>
      </c>
      <c r="I612" t="b">
        <v>0</v>
      </c>
      <c r="J612" t="s">
        <v>2794</v>
      </c>
      <c r="K612">
        <v>1</v>
      </c>
      <c r="L612" t="s">
        <v>1781</v>
      </c>
      <c r="M612">
        <v>1</v>
      </c>
      <c r="N612">
        <v>1</v>
      </c>
      <c r="O612">
        <v>1331593527.75</v>
      </c>
      <c r="P612" t="s">
        <v>2618</v>
      </c>
    </row>
    <row r="613" spans="1:16" x14ac:dyDescent="0.25">
      <c r="A613" t="s">
        <v>2779</v>
      </c>
      <c r="B613" t="s">
        <v>2779</v>
      </c>
      <c r="D613" t="s">
        <v>2780</v>
      </c>
      <c r="E613" t="s">
        <v>1996</v>
      </c>
      <c r="F613" t="s">
        <v>50</v>
      </c>
      <c r="G613" t="s">
        <v>241</v>
      </c>
      <c r="H613">
        <v>3</v>
      </c>
      <c r="I613" t="b">
        <v>0</v>
      </c>
      <c r="J613" t="s">
        <v>2779</v>
      </c>
      <c r="K613">
        <v>1</v>
      </c>
      <c r="L613" t="s">
        <v>1781</v>
      </c>
      <c r="M613">
        <v>1</v>
      </c>
      <c r="N613">
        <v>1</v>
      </c>
      <c r="O613">
        <v>1290291722.1700001</v>
      </c>
      <c r="P613" t="s">
        <v>2618</v>
      </c>
    </row>
    <row r="614" spans="1:16" x14ac:dyDescent="0.25">
      <c r="A614" t="s">
        <v>2488</v>
      </c>
      <c r="B614" t="s">
        <v>2488</v>
      </c>
      <c r="D614" t="s">
        <v>2489</v>
      </c>
      <c r="E614" t="s">
        <v>1453</v>
      </c>
      <c r="F614" t="s">
        <v>50</v>
      </c>
      <c r="G614" t="s">
        <v>26</v>
      </c>
      <c r="H614">
        <v>8</v>
      </c>
      <c r="I614" t="b">
        <v>0</v>
      </c>
      <c r="J614" t="s">
        <v>2488</v>
      </c>
      <c r="K614">
        <v>1</v>
      </c>
      <c r="L614" t="s">
        <v>25</v>
      </c>
      <c r="M614">
        <v>1</v>
      </c>
      <c r="N614">
        <v>1</v>
      </c>
      <c r="O614">
        <v>1290117323.53</v>
      </c>
      <c r="P614" t="s">
        <v>2438</v>
      </c>
    </row>
    <row r="615" spans="1:16" x14ac:dyDescent="0.25">
      <c r="A615" t="s">
        <v>2493</v>
      </c>
      <c r="B615" t="s">
        <v>2493</v>
      </c>
      <c r="D615" t="s">
        <v>2494</v>
      </c>
      <c r="E615" t="s">
        <v>1453</v>
      </c>
      <c r="F615" t="s">
        <v>50</v>
      </c>
      <c r="G615" t="s">
        <v>26</v>
      </c>
      <c r="H615">
        <v>8</v>
      </c>
      <c r="I615" t="b">
        <v>0</v>
      </c>
      <c r="J615" t="s">
        <v>2493</v>
      </c>
      <c r="K615">
        <v>1</v>
      </c>
      <c r="L615" t="s">
        <v>25</v>
      </c>
      <c r="M615">
        <v>1</v>
      </c>
      <c r="N615">
        <v>1</v>
      </c>
      <c r="O615">
        <v>1290117323.53</v>
      </c>
      <c r="P615" t="s">
        <v>2438</v>
      </c>
    </row>
    <row r="616" spans="1:16" x14ac:dyDescent="0.25">
      <c r="A616" t="s">
        <v>2497</v>
      </c>
      <c r="B616" t="s">
        <v>2497</v>
      </c>
      <c r="D616" t="s">
        <v>2498</v>
      </c>
      <c r="E616" t="s">
        <v>1453</v>
      </c>
      <c r="F616" t="s">
        <v>50</v>
      </c>
      <c r="G616" t="s">
        <v>26</v>
      </c>
      <c r="H616">
        <v>8</v>
      </c>
      <c r="I616" t="b">
        <v>0</v>
      </c>
      <c r="J616" t="s">
        <v>2497</v>
      </c>
      <c r="K616">
        <v>1</v>
      </c>
      <c r="L616" t="s">
        <v>25</v>
      </c>
      <c r="M616">
        <v>1</v>
      </c>
      <c r="N616">
        <v>1</v>
      </c>
      <c r="O616">
        <v>1290117323.53</v>
      </c>
      <c r="P616" t="s">
        <v>2438</v>
      </c>
    </row>
    <row r="617" spans="1:16" x14ac:dyDescent="0.25">
      <c r="A617" t="s">
        <v>2499</v>
      </c>
      <c r="B617" t="s">
        <v>2499</v>
      </c>
      <c r="D617" t="s">
        <v>2500</v>
      </c>
      <c r="E617" t="s">
        <v>1453</v>
      </c>
      <c r="F617" t="s">
        <v>50</v>
      </c>
      <c r="G617" t="s">
        <v>26</v>
      </c>
      <c r="H617">
        <v>8</v>
      </c>
      <c r="I617" t="b">
        <v>0</v>
      </c>
      <c r="J617" t="s">
        <v>2499</v>
      </c>
      <c r="K617">
        <v>1</v>
      </c>
      <c r="L617" t="s">
        <v>25</v>
      </c>
      <c r="M617">
        <v>1</v>
      </c>
      <c r="N617">
        <v>1</v>
      </c>
      <c r="O617">
        <v>1290117323.53</v>
      </c>
      <c r="P617" t="s">
        <v>2438</v>
      </c>
    </row>
    <row r="618" spans="1:16" x14ac:dyDescent="0.25">
      <c r="A618" t="s">
        <v>2501</v>
      </c>
      <c r="B618" t="s">
        <v>2501</v>
      </c>
      <c r="D618" t="s">
        <v>2502</v>
      </c>
      <c r="E618" t="s">
        <v>1453</v>
      </c>
      <c r="F618" t="s">
        <v>50</v>
      </c>
      <c r="G618" t="s">
        <v>26</v>
      </c>
      <c r="H618">
        <v>8</v>
      </c>
      <c r="I618" t="b">
        <v>0</v>
      </c>
      <c r="J618" t="s">
        <v>2501</v>
      </c>
      <c r="K618">
        <v>1</v>
      </c>
      <c r="L618" t="s">
        <v>25</v>
      </c>
      <c r="M618">
        <v>1</v>
      </c>
      <c r="N618">
        <v>1</v>
      </c>
      <c r="O618">
        <v>1290117323.53</v>
      </c>
      <c r="P618" t="s">
        <v>2438</v>
      </c>
    </row>
    <row r="619" spans="1:16" x14ac:dyDescent="0.25">
      <c r="A619" t="s">
        <v>2806</v>
      </c>
      <c r="B619" t="s">
        <v>2806</v>
      </c>
      <c r="D619" t="s">
        <v>2807</v>
      </c>
      <c r="E619" t="s">
        <v>2696</v>
      </c>
      <c r="F619" t="s">
        <v>50</v>
      </c>
      <c r="G619" t="s">
        <v>241</v>
      </c>
      <c r="H619">
        <v>3</v>
      </c>
      <c r="I619" t="b">
        <v>0</v>
      </c>
      <c r="J619" t="s">
        <v>2806</v>
      </c>
      <c r="K619">
        <v>1</v>
      </c>
      <c r="L619" t="s">
        <v>1781</v>
      </c>
      <c r="M619">
        <v>1</v>
      </c>
      <c r="N619">
        <v>1</v>
      </c>
      <c r="O619">
        <v>1281553781.97</v>
      </c>
      <c r="P619" t="s">
        <v>2618</v>
      </c>
    </row>
    <row r="620" spans="1:16" x14ac:dyDescent="0.25">
      <c r="A620" t="s">
        <v>2740</v>
      </c>
      <c r="B620" t="s">
        <v>2740</v>
      </c>
      <c r="D620" t="s">
        <v>2741</v>
      </c>
      <c r="E620" t="s">
        <v>1893</v>
      </c>
      <c r="F620" t="s">
        <v>50</v>
      </c>
      <c r="G620" t="s">
        <v>241</v>
      </c>
      <c r="H620">
        <v>3</v>
      </c>
      <c r="I620" t="b">
        <v>0</v>
      </c>
      <c r="J620" t="s">
        <v>2740</v>
      </c>
      <c r="K620">
        <v>1</v>
      </c>
      <c r="L620" t="s">
        <v>1781</v>
      </c>
      <c r="M620">
        <v>1</v>
      </c>
      <c r="N620">
        <v>1</v>
      </c>
      <c r="O620">
        <v>1257487589.8800001</v>
      </c>
      <c r="P620" t="s">
        <v>2618</v>
      </c>
    </row>
    <row r="621" spans="1:16" x14ac:dyDescent="0.25">
      <c r="A621" t="s">
        <v>2508</v>
      </c>
      <c r="B621" t="s">
        <v>2508</v>
      </c>
      <c r="D621" t="s">
        <v>2509</v>
      </c>
      <c r="E621" t="s">
        <v>2510</v>
      </c>
      <c r="F621" t="s">
        <v>50</v>
      </c>
      <c r="G621" t="s">
        <v>26</v>
      </c>
      <c r="H621">
        <v>8</v>
      </c>
      <c r="I621" t="b">
        <v>0</v>
      </c>
      <c r="J621" t="s">
        <v>2508</v>
      </c>
      <c r="K621">
        <v>1</v>
      </c>
      <c r="L621" t="s">
        <v>25</v>
      </c>
      <c r="M621">
        <v>1</v>
      </c>
      <c r="N621">
        <v>1</v>
      </c>
      <c r="O621">
        <v>1257243994.23</v>
      </c>
      <c r="P621" t="s">
        <v>2438</v>
      </c>
    </row>
    <row r="622" spans="1:16" x14ac:dyDescent="0.25">
      <c r="A622" t="s">
        <v>2746</v>
      </c>
      <c r="B622" t="s">
        <v>2746</v>
      </c>
      <c r="D622" t="s">
        <v>2747</v>
      </c>
      <c r="E622" t="s">
        <v>1916</v>
      </c>
      <c r="F622" t="s">
        <v>50</v>
      </c>
      <c r="G622" t="s">
        <v>241</v>
      </c>
      <c r="H622">
        <v>3</v>
      </c>
      <c r="I622" t="b">
        <v>0</v>
      </c>
      <c r="J622" t="s">
        <v>2746</v>
      </c>
      <c r="K622">
        <v>1</v>
      </c>
      <c r="L622" t="s">
        <v>1781</v>
      </c>
      <c r="M622">
        <v>1</v>
      </c>
      <c r="N622">
        <v>1</v>
      </c>
      <c r="O622">
        <v>1255718336.53</v>
      </c>
      <c r="P622" t="s">
        <v>2618</v>
      </c>
    </row>
    <row r="623" spans="1:16" x14ac:dyDescent="0.25">
      <c r="A623" t="s">
        <v>2689</v>
      </c>
      <c r="B623" t="s">
        <v>2689</v>
      </c>
      <c r="D623" t="s">
        <v>2690</v>
      </c>
      <c r="E623" t="s">
        <v>1558</v>
      </c>
      <c r="F623" t="s">
        <v>50</v>
      </c>
      <c r="G623" t="s">
        <v>241</v>
      </c>
      <c r="H623">
        <v>3</v>
      </c>
      <c r="I623" t="b">
        <v>0</v>
      </c>
      <c r="J623" t="s">
        <v>2689</v>
      </c>
      <c r="K623">
        <v>1</v>
      </c>
      <c r="L623" t="s">
        <v>1781</v>
      </c>
      <c r="M623">
        <v>1</v>
      </c>
      <c r="N623">
        <v>1</v>
      </c>
      <c r="O623">
        <v>1254897642.22</v>
      </c>
      <c r="P623" t="s">
        <v>2618</v>
      </c>
    </row>
    <row r="624" spans="1:16" x14ac:dyDescent="0.25">
      <c r="A624" t="s">
        <v>2511</v>
      </c>
      <c r="B624" t="s">
        <v>2511</v>
      </c>
      <c r="D624" t="s">
        <v>2512</v>
      </c>
      <c r="E624" t="s">
        <v>2510</v>
      </c>
      <c r="F624" t="s">
        <v>50</v>
      </c>
      <c r="G624" t="s">
        <v>26</v>
      </c>
      <c r="H624">
        <v>8</v>
      </c>
      <c r="I624" t="b">
        <v>0</v>
      </c>
      <c r="J624" t="s">
        <v>2511</v>
      </c>
      <c r="K624">
        <v>1</v>
      </c>
      <c r="L624" t="s">
        <v>25</v>
      </c>
      <c r="M624">
        <v>1</v>
      </c>
      <c r="N624">
        <v>1</v>
      </c>
      <c r="O624">
        <v>1215335860.3800001</v>
      </c>
      <c r="P624" t="s">
        <v>2438</v>
      </c>
    </row>
    <row r="625" spans="1:16" x14ac:dyDescent="0.25">
      <c r="A625" t="s">
        <v>2713</v>
      </c>
      <c r="B625" t="s">
        <v>2713</v>
      </c>
      <c r="D625" t="s">
        <v>2714</v>
      </c>
      <c r="E625" t="s">
        <v>2018</v>
      </c>
      <c r="F625" t="s">
        <v>50</v>
      </c>
      <c r="G625" t="s">
        <v>241</v>
      </c>
      <c r="H625">
        <v>3</v>
      </c>
      <c r="I625" t="b">
        <v>0</v>
      </c>
      <c r="J625" t="s">
        <v>2713</v>
      </c>
      <c r="K625">
        <v>1</v>
      </c>
      <c r="L625" t="s">
        <v>1781</v>
      </c>
      <c r="M625">
        <v>1</v>
      </c>
      <c r="N625">
        <v>1</v>
      </c>
      <c r="O625">
        <v>1185741274.1800001</v>
      </c>
      <c r="P625" t="s">
        <v>2618</v>
      </c>
    </row>
    <row r="626" spans="1:16" x14ac:dyDescent="0.25">
      <c r="A626" t="s">
        <v>2555</v>
      </c>
      <c r="B626" t="s">
        <v>2555</v>
      </c>
      <c r="D626" t="s">
        <v>2556</v>
      </c>
      <c r="E626" t="s">
        <v>2554</v>
      </c>
      <c r="F626" t="s">
        <v>50</v>
      </c>
      <c r="G626" t="s">
        <v>241</v>
      </c>
      <c r="H626">
        <v>8</v>
      </c>
      <c r="I626" t="b">
        <v>0</v>
      </c>
      <c r="J626" t="s">
        <v>2555</v>
      </c>
      <c r="K626">
        <v>1</v>
      </c>
      <c r="L626" t="s">
        <v>25</v>
      </c>
      <c r="M626">
        <v>1</v>
      </c>
      <c r="N626">
        <v>1</v>
      </c>
      <c r="O626">
        <v>1183890707.25</v>
      </c>
      <c r="P626" t="s">
        <v>2438</v>
      </c>
    </row>
    <row r="627" spans="1:16" x14ac:dyDescent="0.25">
      <c r="A627" t="s">
        <v>2733</v>
      </c>
      <c r="B627" t="s">
        <v>2733</v>
      </c>
      <c r="D627" t="s">
        <v>2734</v>
      </c>
      <c r="E627" t="s">
        <v>2676</v>
      </c>
      <c r="F627" t="s">
        <v>50</v>
      </c>
      <c r="G627" t="s">
        <v>241</v>
      </c>
      <c r="H627">
        <v>3</v>
      </c>
      <c r="I627" t="b">
        <v>0</v>
      </c>
      <c r="J627" t="s">
        <v>2733</v>
      </c>
      <c r="K627">
        <v>1</v>
      </c>
      <c r="L627" t="s">
        <v>1781</v>
      </c>
      <c r="M627">
        <v>1</v>
      </c>
      <c r="N627">
        <v>1</v>
      </c>
      <c r="O627">
        <v>1155779953.79</v>
      </c>
      <c r="P627" t="s">
        <v>2618</v>
      </c>
    </row>
    <row r="628" spans="1:16" x14ac:dyDescent="0.25">
      <c r="A628" t="s">
        <v>2853</v>
      </c>
      <c r="B628" t="s">
        <v>2853</v>
      </c>
      <c r="D628" t="s">
        <v>2854</v>
      </c>
      <c r="E628" t="s">
        <v>887</v>
      </c>
      <c r="F628" t="s">
        <v>50</v>
      </c>
      <c r="G628" t="s">
        <v>241</v>
      </c>
      <c r="H628">
        <v>6</v>
      </c>
      <c r="I628" t="b">
        <v>0</v>
      </c>
      <c r="J628" t="s">
        <v>2853</v>
      </c>
      <c r="K628">
        <v>1</v>
      </c>
      <c r="L628" t="s">
        <v>1781</v>
      </c>
      <c r="M628">
        <v>1</v>
      </c>
      <c r="N628">
        <v>1</v>
      </c>
      <c r="O628">
        <v>1086227686.21</v>
      </c>
      <c r="P628" t="s">
        <v>2438</v>
      </c>
    </row>
    <row r="629" spans="1:16" x14ac:dyDescent="0.25">
      <c r="A629" t="s">
        <v>2790</v>
      </c>
      <c r="B629" t="s">
        <v>2790</v>
      </c>
      <c r="D629" t="s">
        <v>2791</v>
      </c>
      <c r="E629" t="s">
        <v>1634</v>
      </c>
      <c r="F629" t="s">
        <v>50</v>
      </c>
      <c r="G629" t="s">
        <v>241</v>
      </c>
      <c r="H629">
        <v>3</v>
      </c>
      <c r="I629" t="b">
        <v>0</v>
      </c>
      <c r="J629" t="s">
        <v>2790</v>
      </c>
      <c r="K629">
        <v>1</v>
      </c>
      <c r="L629" t="s">
        <v>1781</v>
      </c>
      <c r="M629">
        <v>1</v>
      </c>
      <c r="N629">
        <v>1</v>
      </c>
      <c r="O629">
        <v>1078210938.1500001</v>
      </c>
      <c r="P629" t="s">
        <v>2618</v>
      </c>
    </row>
    <row r="630" spans="1:16" x14ac:dyDescent="0.25">
      <c r="A630" t="s">
        <v>2711</v>
      </c>
      <c r="B630" t="s">
        <v>2711</v>
      </c>
      <c r="D630" t="s">
        <v>2712</v>
      </c>
      <c r="E630" t="s">
        <v>2018</v>
      </c>
      <c r="F630" t="s">
        <v>50</v>
      </c>
      <c r="G630" t="s">
        <v>241</v>
      </c>
      <c r="H630">
        <v>3</v>
      </c>
      <c r="I630" t="b">
        <v>0</v>
      </c>
      <c r="J630" t="s">
        <v>2711</v>
      </c>
      <c r="K630">
        <v>1</v>
      </c>
      <c r="L630" t="s">
        <v>1781</v>
      </c>
      <c r="M630">
        <v>1</v>
      </c>
      <c r="N630">
        <v>1</v>
      </c>
      <c r="O630">
        <v>1056632661.11</v>
      </c>
      <c r="P630" t="s">
        <v>2618</v>
      </c>
    </row>
    <row r="631" spans="1:16" x14ac:dyDescent="0.25">
      <c r="A631" t="s">
        <v>2717</v>
      </c>
      <c r="B631" t="s">
        <v>2717</v>
      </c>
      <c r="D631" t="s">
        <v>2718</v>
      </c>
      <c r="E631" t="s">
        <v>1857</v>
      </c>
      <c r="F631" t="s">
        <v>50</v>
      </c>
      <c r="G631" t="s">
        <v>241</v>
      </c>
      <c r="H631">
        <v>3</v>
      </c>
      <c r="I631" t="b">
        <v>0</v>
      </c>
      <c r="J631" t="s">
        <v>2717</v>
      </c>
      <c r="K631">
        <v>1</v>
      </c>
      <c r="L631" t="s">
        <v>1781</v>
      </c>
      <c r="M631">
        <v>1</v>
      </c>
      <c r="N631">
        <v>1</v>
      </c>
      <c r="O631">
        <v>1046439299.17</v>
      </c>
      <c r="P631" t="s">
        <v>2618</v>
      </c>
    </row>
    <row r="632" spans="1:16" x14ac:dyDescent="0.25">
      <c r="A632" t="s">
        <v>2704</v>
      </c>
      <c r="B632" t="s">
        <v>2704</v>
      </c>
      <c r="D632" t="s">
        <v>2705</v>
      </c>
      <c r="E632" t="s">
        <v>444</v>
      </c>
      <c r="F632" t="s">
        <v>50</v>
      </c>
      <c r="G632" t="s">
        <v>241</v>
      </c>
      <c r="H632">
        <v>3</v>
      </c>
      <c r="I632" t="b">
        <v>0</v>
      </c>
      <c r="J632" t="s">
        <v>2704</v>
      </c>
      <c r="K632">
        <v>1</v>
      </c>
      <c r="L632" t="s">
        <v>1781</v>
      </c>
      <c r="M632">
        <v>1</v>
      </c>
      <c r="N632">
        <v>1</v>
      </c>
      <c r="O632">
        <v>1018906370.83</v>
      </c>
      <c r="P632" t="s">
        <v>2618</v>
      </c>
    </row>
    <row r="633" spans="1:16" x14ac:dyDescent="0.25">
      <c r="A633" t="s">
        <v>2679</v>
      </c>
      <c r="B633" t="s">
        <v>2679</v>
      </c>
      <c r="D633" t="s">
        <v>2680</v>
      </c>
      <c r="E633" t="s">
        <v>1935</v>
      </c>
      <c r="F633" t="s">
        <v>50</v>
      </c>
      <c r="G633" t="s">
        <v>26</v>
      </c>
      <c r="H633">
        <v>3</v>
      </c>
      <c r="I633" t="b">
        <v>0</v>
      </c>
      <c r="J633" t="s">
        <v>2679</v>
      </c>
      <c r="K633">
        <v>1</v>
      </c>
      <c r="L633" t="s">
        <v>1781</v>
      </c>
      <c r="M633">
        <v>1</v>
      </c>
      <c r="N633">
        <v>1</v>
      </c>
      <c r="O633">
        <v>1006511829.58</v>
      </c>
      <c r="P633" t="s">
        <v>2618</v>
      </c>
    </row>
    <row r="634" spans="1:16" x14ac:dyDescent="0.25">
      <c r="A634" t="s">
        <v>2442</v>
      </c>
      <c r="B634" t="s">
        <v>2442</v>
      </c>
      <c r="D634" t="s">
        <v>2443</v>
      </c>
      <c r="E634" t="s">
        <v>2444</v>
      </c>
      <c r="F634" t="s">
        <v>50</v>
      </c>
      <c r="G634" t="s">
        <v>241</v>
      </c>
      <c r="H634">
        <v>10</v>
      </c>
      <c r="I634" t="b">
        <v>0</v>
      </c>
      <c r="J634" t="s">
        <v>2442</v>
      </c>
      <c r="K634">
        <v>1</v>
      </c>
      <c r="L634" t="s">
        <v>25</v>
      </c>
      <c r="M634">
        <v>1</v>
      </c>
      <c r="N634">
        <v>1</v>
      </c>
      <c r="O634">
        <v>999823485.61000001</v>
      </c>
      <c r="P634" t="s">
        <v>2438</v>
      </c>
    </row>
    <row r="635" spans="1:16" x14ac:dyDescent="0.25">
      <c r="A635" t="s">
        <v>2715</v>
      </c>
      <c r="B635" t="s">
        <v>2715</v>
      </c>
      <c r="D635" t="s">
        <v>2716</v>
      </c>
      <c r="E635" t="s">
        <v>2018</v>
      </c>
      <c r="F635" t="s">
        <v>50</v>
      </c>
      <c r="G635" t="s">
        <v>241</v>
      </c>
      <c r="H635">
        <v>3</v>
      </c>
      <c r="I635" t="b">
        <v>0</v>
      </c>
      <c r="J635" t="s">
        <v>2715</v>
      </c>
      <c r="K635">
        <v>1</v>
      </c>
      <c r="L635" t="s">
        <v>1781</v>
      </c>
      <c r="M635">
        <v>1</v>
      </c>
      <c r="N635">
        <v>1</v>
      </c>
      <c r="O635">
        <v>996036536.19999993</v>
      </c>
      <c r="P635" t="s">
        <v>2618</v>
      </c>
    </row>
    <row r="636" spans="1:16" x14ac:dyDescent="0.25">
      <c r="A636" t="s">
        <v>2735</v>
      </c>
      <c r="B636" t="s">
        <v>2735</v>
      </c>
      <c r="D636" t="s">
        <v>2736</v>
      </c>
      <c r="E636" t="s">
        <v>2737</v>
      </c>
      <c r="F636" t="s">
        <v>50</v>
      </c>
      <c r="G636" t="s">
        <v>241</v>
      </c>
      <c r="H636">
        <v>3</v>
      </c>
      <c r="I636" t="b">
        <v>0</v>
      </c>
      <c r="J636" t="s">
        <v>2735</v>
      </c>
      <c r="K636">
        <v>1</v>
      </c>
      <c r="L636" t="s">
        <v>1781</v>
      </c>
      <c r="M636">
        <v>1</v>
      </c>
      <c r="N636">
        <v>1</v>
      </c>
      <c r="O636">
        <v>944791958.9000001</v>
      </c>
      <c r="P636" t="s">
        <v>2618</v>
      </c>
    </row>
    <row r="637" spans="1:16" x14ac:dyDescent="0.25">
      <c r="A637" t="s">
        <v>2456</v>
      </c>
      <c r="B637" t="s">
        <v>2456</v>
      </c>
      <c r="D637" t="s">
        <v>2457</v>
      </c>
      <c r="E637" t="s">
        <v>2458</v>
      </c>
      <c r="F637" t="s">
        <v>50</v>
      </c>
      <c r="G637" t="s">
        <v>26</v>
      </c>
      <c r="H637">
        <v>10</v>
      </c>
      <c r="I637" t="b">
        <v>0</v>
      </c>
      <c r="J637" t="s">
        <v>2456</v>
      </c>
      <c r="K637">
        <v>1</v>
      </c>
      <c r="L637" t="s">
        <v>25</v>
      </c>
      <c r="M637">
        <v>1</v>
      </c>
      <c r="N637">
        <v>1</v>
      </c>
      <c r="O637">
        <v>842644084.44000006</v>
      </c>
      <c r="P637" t="s">
        <v>2438</v>
      </c>
    </row>
    <row r="638" spans="1:16" x14ac:dyDescent="0.25">
      <c r="A638" t="s">
        <v>2823</v>
      </c>
      <c r="B638" t="s">
        <v>2823</v>
      </c>
      <c r="D638" t="s">
        <v>2824</v>
      </c>
      <c r="E638" t="s">
        <v>2825</v>
      </c>
      <c r="F638" t="s">
        <v>50</v>
      </c>
      <c r="G638" t="s">
        <v>241</v>
      </c>
      <c r="H638">
        <v>3</v>
      </c>
      <c r="I638" t="b">
        <v>0</v>
      </c>
      <c r="J638" t="s">
        <v>2823</v>
      </c>
      <c r="K638">
        <v>1</v>
      </c>
      <c r="L638" t="s">
        <v>1781</v>
      </c>
      <c r="M638">
        <v>1</v>
      </c>
      <c r="N638">
        <v>1</v>
      </c>
      <c r="O638">
        <v>842144807.86999989</v>
      </c>
      <c r="P638" t="s">
        <v>2618</v>
      </c>
    </row>
    <row r="639" spans="1:16" x14ac:dyDescent="0.25">
      <c r="A639" t="s">
        <v>2742</v>
      </c>
      <c r="B639" t="s">
        <v>2742</v>
      </c>
      <c r="D639" t="s">
        <v>2743</v>
      </c>
      <c r="E639" t="s">
        <v>1893</v>
      </c>
      <c r="F639" t="s">
        <v>50</v>
      </c>
      <c r="G639" t="s">
        <v>241</v>
      </c>
      <c r="H639">
        <v>3</v>
      </c>
      <c r="I639" t="b">
        <v>0</v>
      </c>
      <c r="J639" t="s">
        <v>2742</v>
      </c>
      <c r="K639">
        <v>1</v>
      </c>
      <c r="L639" t="s">
        <v>1781</v>
      </c>
      <c r="M639">
        <v>1</v>
      </c>
      <c r="N639">
        <v>1</v>
      </c>
      <c r="O639">
        <v>838151796.32000005</v>
      </c>
      <c r="P639" t="s">
        <v>2618</v>
      </c>
    </row>
    <row r="640" spans="1:16" x14ac:dyDescent="0.25">
      <c r="A640" t="s">
        <v>2721</v>
      </c>
      <c r="B640" t="s">
        <v>2721</v>
      </c>
      <c r="D640" t="s">
        <v>2722</v>
      </c>
      <c r="E640" t="s">
        <v>1857</v>
      </c>
      <c r="F640" t="s">
        <v>50</v>
      </c>
      <c r="G640" t="s">
        <v>241</v>
      </c>
      <c r="H640">
        <v>3</v>
      </c>
      <c r="I640" t="b">
        <v>0</v>
      </c>
      <c r="J640" t="s">
        <v>2721</v>
      </c>
      <c r="K640">
        <v>1</v>
      </c>
      <c r="L640" t="s">
        <v>1781</v>
      </c>
      <c r="M640">
        <v>1</v>
      </c>
      <c r="N640">
        <v>1</v>
      </c>
      <c r="O640">
        <v>836737418.38999999</v>
      </c>
      <c r="P640" t="s">
        <v>2618</v>
      </c>
    </row>
    <row r="641" spans="1:16" x14ac:dyDescent="0.25">
      <c r="A641" t="s">
        <v>2816</v>
      </c>
      <c r="B641" t="s">
        <v>2816</v>
      </c>
      <c r="D641" t="s">
        <v>2817</v>
      </c>
      <c r="E641" t="s">
        <v>2818</v>
      </c>
      <c r="F641" t="s">
        <v>50</v>
      </c>
      <c r="G641" t="s">
        <v>241</v>
      </c>
      <c r="H641">
        <v>3</v>
      </c>
      <c r="I641" t="b">
        <v>0</v>
      </c>
      <c r="J641" t="s">
        <v>2816</v>
      </c>
      <c r="K641">
        <v>1</v>
      </c>
      <c r="L641" t="s">
        <v>1781</v>
      </c>
      <c r="M641">
        <v>1</v>
      </c>
      <c r="N641">
        <v>1</v>
      </c>
      <c r="O641">
        <v>808527301.80999982</v>
      </c>
      <c r="P641" t="s">
        <v>2618</v>
      </c>
    </row>
    <row r="642" spans="1:16" x14ac:dyDescent="0.25">
      <c r="A642" t="s">
        <v>2744</v>
      </c>
      <c r="B642" t="s">
        <v>2744</v>
      </c>
      <c r="D642" t="s">
        <v>2745</v>
      </c>
      <c r="E642" t="s">
        <v>887</v>
      </c>
      <c r="F642" t="s">
        <v>50</v>
      </c>
      <c r="G642" t="s">
        <v>241</v>
      </c>
      <c r="H642">
        <v>3</v>
      </c>
      <c r="I642" t="b">
        <v>0</v>
      </c>
      <c r="J642" t="s">
        <v>2744</v>
      </c>
      <c r="K642">
        <v>1</v>
      </c>
      <c r="L642" t="s">
        <v>1781</v>
      </c>
      <c r="M642">
        <v>1</v>
      </c>
      <c r="N642">
        <v>1</v>
      </c>
      <c r="O642">
        <v>803699937.54999995</v>
      </c>
      <c r="P642" t="s">
        <v>2618</v>
      </c>
    </row>
    <row r="643" spans="1:16" x14ac:dyDescent="0.25">
      <c r="A643" t="s">
        <v>2855</v>
      </c>
      <c r="B643" t="s">
        <v>2855</v>
      </c>
      <c r="D643" t="s">
        <v>2856</v>
      </c>
      <c r="E643" t="s">
        <v>887</v>
      </c>
      <c r="F643" t="s">
        <v>50</v>
      </c>
      <c r="G643" t="s">
        <v>241</v>
      </c>
      <c r="H643">
        <v>6</v>
      </c>
      <c r="I643" t="b">
        <v>0</v>
      </c>
      <c r="J643" t="s">
        <v>2855</v>
      </c>
      <c r="K643">
        <v>1</v>
      </c>
      <c r="L643" t="s">
        <v>1781</v>
      </c>
      <c r="M643">
        <v>1</v>
      </c>
      <c r="N643">
        <v>1</v>
      </c>
      <c r="O643">
        <v>783885623.77999985</v>
      </c>
      <c r="P643" t="s">
        <v>2438</v>
      </c>
    </row>
    <row r="644" spans="1:16" x14ac:dyDescent="0.25">
      <c r="A644" t="s">
        <v>2687</v>
      </c>
      <c r="B644" t="s">
        <v>2687</v>
      </c>
      <c r="D644" t="s">
        <v>2688</v>
      </c>
      <c r="E644" t="s">
        <v>1412</v>
      </c>
      <c r="F644" t="s">
        <v>50</v>
      </c>
      <c r="G644" t="s">
        <v>241</v>
      </c>
      <c r="H644">
        <v>3</v>
      </c>
      <c r="I644" t="b">
        <v>0</v>
      </c>
      <c r="J644" t="s">
        <v>2687</v>
      </c>
      <c r="K644">
        <v>1</v>
      </c>
      <c r="L644" t="s">
        <v>1781</v>
      </c>
      <c r="M644">
        <v>1</v>
      </c>
      <c r="N644">
        <v>1</v>
      </c>
      <c r="O644">
        <v>774037966.02999997</v>
      </c>
      <c r="P644" t="s">
        <v>2618</v>
      </c>
    </row>
    <row r="645" spans="1:16" x14ac:dyDescent="0.25">
      <c r="A645" t="s">
        <v>2539</v>
      </c>
      <c r="B645" t="s">
        <v>2539</v>
      </c>
      <c r="D645" t="s">
        <v>2540</v>
      </c>
      <c r="E645" t="s">
        <v>2541</v>
      </c>
      <c r="F645" t="s">
        <v>50</v>
      </c>
      <c r="G645" t="s">
        <v>241</v>
      </c>
      <c r="H645">
        <v>8</v>
      </c>
      <c r="I645" t="b">
        <v>0</v>
      </c>
      <c r="J645" t="s">
        <v>2539</v>
      </c>
      <c r="K645">
        <v>1</v>
      </c>
      <c r="L645" t="s">
        <v>25</v>
      </c>
      <c r="M645">
        <v>1</v>
      </c>
      <c r="N645">
        <v>1</v>
      </c>
      <c r="O645">
        <v>771137381.75999999</v>
      </c>
      <c r="P645" t="s">
        <v>2438</v>
      </c>
    </row>
    <row r="646" spans="1:16" x14ac:dyDescent="0.25">
      <c r="A646" t="s">
        <v>2725</v>
      </c>
      <c r="B646" t="s">
        <v>2725</v>
      </c>
      <c r="D646" t="s">
        <v>2726</v>
      </c>
      <c r="E646" t="s">
        <v>1795</v>
      </c>
      <c r="F646" t="s">
        <v>50</v>
      </c>
      <c r="G646" t="s">
        <v>241</v>
      </c>
      <c r="H646">
        <v>3</v>
      </c>
      <c r="I646" t="b">
        <v>0</v>
      </c>
      <c r="J646" t="s">
        <v>2725</v>
      </c>
      <c r="K646">
        <v>1</v>
      </c>
      <c r="L646" t="s">
        <v>1781</v>
      </c>
      <c r="M646">
        <v>1</v>
      </c>
      <c r="N646">
        <v>1</v>
      </c>
      <c r="O646">
        <v>767403600.66999996</v>
      </c>
      <c r="P646" t="s">
        <v>2618</v>
      </c>
    </row>
    <row r="647" spans="1:16" x14ac:dyDescent="0.25">
      <c r="A647" t="s">
        <v>2769</v>
      </c>
      <c r="B647" t="s">
        <v>2769</v>
      </c>
      <c r="D647" t="s">
        <v>2770</v>
      </c>
      <c r="E647" t="s">
        <v>2771</v>
      </c>
      <c r="F647" t="s">
        <v>50</v>
      </c>
      <c r="G647" t="s">
        <v>241</v>
      </c>
      <c r="H647">
        <v>3</v>
      </c>
      <c r="I647" t="b">
        <v>0</v>
      </c>
      <c r="J647" t="s">
        <v>2769</v>
      </c>
      <c r="K647">
        <v>1</v>
      </c>
      <c r="L647" t="s">
        <v>1781</v>
      </c>
      <c r="M647">
        <v>1</v>
      </c>
      <c r="N647">
        <v>1</v>
      </c>
      <c r="O647">
        <v>766567457.88999999</v>
      </c>
      <c r="P647" t="s">
        <v>2618</v>
      </c>
    </row>
    <row r="648" spans="1:16" x14ac:dyDescent="0.25">
      <c r="A648" t="s">
        <v>2843</v>
      </c>
      <c r="B648" t="s">
        <v>2843</v>
      </c>
      <c r="D648" t="s">
        <v>2844</v>
      </c>
      <c r="E648" t="s">
        <v>2842</v>
      </c>
      <c r="F648" t="s">
        <v>50</v>
      </c>
      <c r="G648" t="s">
        <v>241</v>
      </c>
      <c r="H648">
        <v>3</v>
      </c>
      <c r="I648" t="b">
        <v>0</v>
      </c>
      <c r="J648" t="s">
        <v>2843</v>
      </c>
      <c r="K648">
        <v>1</v>
      </c>
      <c r="L648" t="s">
        <v>1781</v>
      </c>
      <c r="M648">
        <v>1</v>
      </c>
      <c r="N648">
        <v>1</v>
      </c>
      <c r="O648">
        <v>745211271.12</v>
      </c>
      <c r="P648" t="s">
        <v>2618</v>
      </c>
    </row>
    <row r="649" spans="1:16" x14ac:dyDescent="0.25">
      <c r="A649" t="s">
        <v>2826</v>
      </c>
      <c r="B649" t="s">
        <v>2826</v>
      </c>
      <c r="D649" t="s">
        <v>2827</v>
      </c>
      <c r="E649" t="s">
        <v>2828</v>
      </c>
      <c r="F649" t="s">
        <v>50</v>
      </c>
      <c r="G649" t="s">
        <v>241</v>
      </c>
      <c r="H649">
        <v>3</v>
      </c>
      <c r="I649" t="b">
        <v>0</v>
      </c>
      <c r="J649" t="s">
        <v>2826</v>
      </c>
      <c r="K649">
        <v>1</v>
      </c>
      <c r="L649" t="s">
        <v>4163</v>
      </c>
      <c r="M649">
        <v>2</v>
      </c>
      <c r="N649">
        <v>2</v>
      </c>
      <c r="O649">
        <v>714207332.24999976</v>
      </c>
      <c r="P649" t="s">
        <v>2618</v>
      </c>
    </row>
    <row r="650" spans="1:16" x14ac:dyDescent="0.25">
      <c r="A650" t="s">
        <v>2702</v>
      </c>
      <c r="B650" t="s">
        <v>2702</v>
      </c>
      <c r="D650" t="s">
        <v>2703</v>
      </c>
      <c r="E650" t="s">
        <v>2701</v>
      </c>
      <c r="F650" t="s">
        <v>50</v>
      </c>
      <c r="G650" t="s">
        <v>241</v>
      </c>
      <c r="H650">
        <v>3</v>
      </c>
      <c r="I650" t="b">
        <v>0</v>
      </c>
      <c r="J650" t="s">
        <v>2702</v>
      </c>
      <c r="K650">
        <v>1</v>
      </c>
      <c r="L650" t="s">
        <v>1781</v>
      </c>
      <c r="M650">
        <v>1</v>
      </c>
      <c r="N650">
        <v>1</v>
      </c>
      <c r="O650">
        <v>653008224.48000002</v>
      </c>
      <c r="P650" t="s">
        <v>2618</v>
      </c>
    </row>
    <row r="651" spans="1:16" x14ac:dyDescent="0.25">
      <c r="A651" t="s">
        <v>2527</v>
      </c>
      <c r="B651" t="s">
        <v>2527</v>
      </c>
      <c r="D651" t="s">
        <v>2528</v>
      </c>
      <c r="E651" t="s">
        <v>2529</v>
      </c>
      <c r="F651" t="s">
        <v>50</v>
      </c>
      <c r="G651" t="s">
        <v>26</v>
      </c>
      <c r="H651">
        <v>8</v>
      </c>
      <c r="I651" t="b">
        <v>0</v>
      </c>
      <c r="J651" t="s">
        <v>2527</v>
      </c>
      <c r="K651">
        <v>1</v>
      </c>
      <c r="L651" t="s">
        <v>25</v>
      </c>
      <c r="M651">
        <v>1</v>
      </c>
      <c r="N651">
        <v>1</v>
      </c>
      <c r="O651">
        <v>646727876.13999999</v>
      </c>
      <c r="P651" t="s">
        <v>2438</v>
      </c>
    </row>
    <row r="652" spans="1:16" x14ac:dyDescent="0.25">
      <c r="A652" t="s">
        <v>2633</v>
      </c>
      <c r="B652" t="s">
        <v>2633</v>
      </c>
      <c r="D652" t="s">
        <v>2634</v>
      </c>
      <c r="E652" t="s">
        <v>2635</v>
      </c>
      <c r="F652" t="s">
        <v>50</v>
      </c>
      <c r="G652" t="s">
        <v>241</v>
      </c>
      <c r="H652">
        <v>3</v>
      </c>
      <c r="I652" t="b">
        <v>0</v>
      </c>
      <c r="J652" t="s">
        <v>2633</v>
      </c>
      <c r="K652">
        <v>1</v>
      </c>
      <c r="L652" t="s">
        <v>4108</v>
      </c>
      <c r="M652">
        <v>2</v>
      </c>
      <c r="N652">
        <v>2</v>
      </c>
      <c r="O652">
        <v>642908431.13999999</v>
      </c>
      <c r="P652" t="s">
        <v>2618</v>
      </c>
    </row>
    <row r="653" spans="1:16" x14ac:dyDescent="0.25">
      <c r="A653" t="s">
        <v>2468</v>
      </c>
      <c r="B653" t="s">
        <v>2468</v>
      </c>
      <c r="D653" t="s">
        <v>2469</v>
      </c>
      <c r="E653" t="s">
        <v>2470</v>
      </c>
      <c r="F653" t="s">
        <v>61</v>
      </c>
      <c r="G653" t="s">
        <v>32</v>
      </c>
      <c r="H653">
        <v>10</v>
      </c>
      <c r="I653" t="b">
        <v>0</v>
      </c>
      <c r="J653" t="s">
        <v>2468</v>
      </c>
      <c r="K653">
        <v>1</v>
      </c>
      <c r="L653" t="s">
        <v>25</v>
      </c>
      <c r="M653">
        <v>1</v>
      </c>
      <c r="N653">
        <v>1</v>
      </c>
      <c r="O653">
        <v>631588510</v>
      </c>
      <c r="P653" t="s">
        <v>2438</v>
      </c>
    </row>
    <row r="654" spans="1:16" x14ac:dyDescent="0.25">
      <c r="A654" t="s">
        <v>2643</v>
      </c>
      <c r="B654" t="s">
        <v>2643</v>
      </c>
      <c r="D654" t="s">
        <v>2644</v>
      </c>
      <c r="E654" t="s">
        <v>2645</v>
      </c>
      <c r="F654" t="s">
        <v>50</v>
      </c>
      <c r="G654" t="s">
        <v>241</v>
      </c>
      <c r="H654">
        <v>3</v>
      </c>
      <c r="I654" t="b">
        <v>0</v>
      </c>
      <c r="J654" t="s">
        <v>2643</v>
      </c>
      <c r="K654">
        <v>1</v>
      </c>
      <c r="L654" t="s">
        <v>4108</v>
      </c>
      <c r="M654">
        <v>2</v>
      </c>
      <c r="N654">
        <v>2</v>
      </c>
      <c r="O654">
        <v>614928048.13</v>
      </c>
      <c r="P654" t="s">
        <v>2618</v>
      </c>
    </row>
    <row r="655" spans="1:16" x14ac:dyDescent="0.25">
      <c r="A655" t="s">
        <v>2697</v>
      </c>
      <c r="B655" t="s">
        <v>2697</v>
      </c>
      <c r="D655" t="s">
        <v>2698</v>
      </c>
      <c r="E655" t="s">
        <v>2696</v>
      </c>
      <c r="F655" t="s">
        <v>50</v>
      </c>
      <c r="G655" t="s">
        <v>241</v>
      </c>
      <c r="H655">
        <v>3</v>
      </c>
      <c r="I655" t="b">
        <v>0</v>
      </c>
      <c r="J655" t="s">
        <v>2697</v>
      </c>
      <c r="K655">
        <v>1</v>
      </c>
      <c r="L655" t="s">
        <v>1781</v>
      </c>
      <c r="M655">
        <v>1</v>
      </c>
      <c r="N655">
        <v>1</v>
      </c>
      <c r="O655">
        <v>602798915.43000007</v>
      </c>
      <c r="P655" t="s">
        <v>2618</v>
      </c>
    </row>
    <row r="656" spans="1:16" x14ac:dyDescent="0.25">
      <c r="A656" t="s">
        <v>2542</v>
      </c>
      <c r="B656" t="s">
        <v>2542</v>
      </c>
      <c r="D656" t="s">
        <v>2543</v>
      </c>
      <c r="E656" t="s">
        <v>2541</v>
      </c>
      <c r="F656" t="s">
        <v>50</v>
      </c>
      <c r="G656" t="s">
        <v>241</v>
      </c>
      <c r="H656">
        <v>8</v>
      </c>
      <c r="I656" t="b">
        <v>0</v>
      </c>
      <c r="J656" t="s">
        <v>2542</v>
      </c>
      <c r="K656">
        <v>1</v>
      </c>
      <c r="L656" t="s">
        <v>25</v>
      </c>
      <c r="M656">
        <v>1</v>
      </c>
      <c r="N656">
        <v>1</v>
      </c>
      <c r="O656">
        <v>593142730.55999994</v>
      </c>
      <c r="P656" t="s">
        <v>2438</v>
      </c>
    </row>
    <row r="657" spans="1:16" x14ac:dyDescent="0.25">
      <c r="A657" t="s">
        <v>2814</v>
      </c>
      <c r="B657" t="s">
        <v>2814</v>
      </c>
      <c r="D657" t="s">
        <v>2815</v>
      </c>
      <c r="E657" t="s">
        <v>2042</v>
      </c>
      <c r="F657" t="s">
        <v>50</v>
      </c>
      <c r="G657" t="s">
        <v>241</v>
      </c>
      <c r="H657">
        <v>3</v>
      </c>
      <c r="I657" t="b">
        <v>0</v>
      </c>
      <c r="J657" t="s">
        <v>2814</v>
      </c>
      <c r="K657">
        <v>1</v>
      </c>
      <c r="L657" t="s">
        <v>1781</v>
      </c>
      <c r="M657">
        <v>1</v>
      </c>
      <c r="N657">
        <v>1</v>
      </c>
      <c r="O657">
        <v>584941032.06000006</v>
      </c>
      <c r="P657" t="s">
        <v>2618</v>
      </c>
    </row>
    <row r="658" spans="1:16" x14ac:dyDescent="0.25">
      <c r="A658" t="s">
        <v>2459</v>
      </c>
      <c r="B658" t="s">
        <v>2459</v>
      </c>
      <c r="D658" t="s">
        <v>2460</v>
      </c>
      <c r="E658" t="s">
        <v>2461</v>
      </c>
      <c r="F658" t="s">
        <v>50</v>
      </c>
      <c r="G658" t="s">
        <v>26</v>
      </c>
      <c r="H658">
        <v>10</v>
      </c>
      <c r="I658" t="b">
        <v>0</v>
      </c>
      <c r="J658" t="s">
        <v>2459</v>
      </c>
      <c r="K658">
        <v>1</v>
      </c>
      <c r="L658" t="s">
        <v>25</v>
      </c>
      <c r="M658">
        <v>1</v>
      </c>
      <c r="N658">
        <v>1</v>
      </c>
      <c r="O658">
        <v>498810000</v>
      </c>
      <c r="P658" t="s">
        <v>2438</v>
      </c>
    </row>
    <row r="659" spans="1:16" x14ac:dyDescent="0.25">
      <c r="A659" t="s">
        <v>2694</v>
      </c>
      <c r="B659" t="s">
        <v>2694</v>
      </c>
      <c r="D659" t="s">
        <v>2695</v>
      </c>
      <c r="E659" t="s">
        <v>2696</v>
      </c>
      <c r="F659" t="s">
        <v>50</v>
      </c>
      <c r="G659" t="s">
        <v>241</v>
      </c>
      <c r="H659">
        <v>3</v>
      </c>
      <c r="I659" t="b">
        <v>0</v>
      </c>
      <c r="J659" t="s">
        <v>2694</v>
      </c>
      <c r="K659">
        <v>1</v>
      </c>
      <c r="L659" t="s">
        <v>1781</v>
      </c>
      <c r="M659">
        <v>1</v>
      </c>
      <c r="N659">
        <v>1</v>
      </c>
      <c r="O659">
        <v>432014288.67000002</v>
      </c>
      <c r="P659" t="s">
        <v>2618</v>
      </c>
    </row>
    <row r="660" spans="1:16" x14ac:dyDescent="0.25">
      <c r="A660" t="s">
        <v>2719</v>
      </c>
      <c r="B660" t="s">
        <v>2719</v>
      </c>
      <c r="D660" t="s">
        <v>2720</v>
      </c>
      <c r="E660" t="s">
        <v>1857</v>
      </c>
      <c r="F660" t="s">
        <v>50</v>
      </c>
      <c r="G660" t="s">
        <v>241</v>
      </c>
      <c r="H660">
        <v>3</v>
      </c>
      <c r="I660" t="b">
        <v>0</v>
      </c>
      <c r="J660" t="s">
        <v>2719</v>
      </c>
      <c r="K660">
        <v>1</v>
      </c>
      <c r="L660" t="s">
        <v>1781</v>
      </c>
      <c r="M660">
        <v>1</v>
      </c>
      <c r="N660">
        <v>1</v>
      </c>
      <c r="O660">
        <v>416362394.95999998</v>
      </c>
      <c r="P660" t="s">
        <v>2618</v>
      </c>
    </row>
    <row r="661" spans="1:16" x14ac:dyDescent="0.25">
      <c r="A661" t="s">
        <v>2833</v>
      </c>
      <c r="B661" t="s">
        <v>2833</v>
      </c>
      <c r="D661" t="s">
        <v>2834</v>
      </c>
      <c r="E661" t="s">
        <v>1795</v>
      </c>
      <c r="F661" t="s">
        <v>50</v>
      </c>
      <c r="G661" t="s">
        <v>241</v>
      </c>
      <c r="H661">
        <v>3</v>
      </c>
      <c r="I661" t="b">
        <v>0</v>
      </c>
      <c r="J661" t="s">
        <v>2833</v>
      </c>
      <c r="K661">
        <v>1</v>
      </c>
      <c r="L661" t="s">
        <v>1781</v>
      </c>
      <c r="M661">
        <v>1</v>
      </c>
      <c r="N661">
        <v>1</v>
      </c>
      <c r="O661">
        <v>401882526.61000007</v>
      </c>
      <c r="P661" t="s">
        <v>2618</v>
      </c>
    </row>
    <row r="662" spans="1:16" x14ac:dyDescent="0.25">
      <c r="A662" t="s">
        <v>2670</v>
      </c>
      <c r="B662" t="s">
        <v>2670</v>
      </c>
      <c r="D662" t="s">
        <v>2671</v>
      </c>
      <c r="E662" t="s">
        <v>1442</v>
      </c>
      <c r="F662" t="s">
        <v>50</v>
      </c>
      <c r="G662" t="s">
        <v>241</v>
      </c>
      <c r="H662">
        <v>3</v>
      </c>
      <c r="I662" t="b">
        <v>0</v>
      </c>
      <c r="J662" t="s">
        <v>2670</v>
      </c>
      <c r="K662">
        <v>1</v>
      </c>
      <c r="L662" t="s">
        <v>4108</v>
      </c>
      <c r="M662">
        <v>2</v>
      </c>
      <c r="N662">
        <v>2</v>
      </c>
      <c r="O662">
        <v>397712241.60000002</v>
      </c>
      <c r="P662" t="s">
        <v>2618</v>
      </c>
    </row>
    <row r="663" spans="1:16" x14ac:dyDescent="0.25">
      <c r="A663" t="s">
        <v>2691</v>
      </c>
      <c r="B663" t="s">
        <v>2691</v>
      </c>
      <c r="D663" t="s">
        <v>2692</v>
      </c>
      <c r="E663" t="s">
        <v>2693</v>
      </c>
      <c r="F663" t="s">
        <v>50</v>
      </c>
      <c r="G663" t="s">
        <v>241</v>
      </c>
      <c r="H663">
        <v>3</v>
      </c>
      <c r="I663" t="b">
        <v>0</v>
      </c>
      <c r="J663" t="s">
        <v>2691</v>
      </c>
      <c r="K663">
        <v>1</v>
      </c>
      <c r="L663" t="s">
        <v>1781</v>
      </c>
      <c r="M663">
        <v>1</v>
      </c>
      <c r="N663">
        <v>1</v>
      </c>
      <c r="O663">
        <v>345268661.45999998</v>
      </c>
      <c r="P663" t="s">
        <v>2618</v>
      </c>
    </row>
    <row r="664" spans="1:16" x14ac:dyDescent="0.25">
      <c r="A664" t="s">
        <v>2557</v>
      </c>
      <c r="B664" t="s">
        <v>2557</v>
      </c>
      <c r="D664" t="s">
        <v>2558</v>
      </c>
      <c r="E664" t="s">
        <v>2554</v>
      </c>
      <c r="F664" t="s">
        <v>50</v>
      </c>
      <c r="G664" t="s">
        <v>241</v>
      </c>
      <c r="H664">
        <v>8</v>
      </c>
      <c r="I664" t="b">
        <v>0</v>
      </c>
      <c r="J664" t="s">
        <v>2557</v>
      </c>
      <c r="K664">
        <v>1</v>
      </c>
      <c r="L664" t="s">
        <v>25</v>
      </c>
      <c r="M664">
        <v>1</v>
      </c>
      <c r="N664">
        <v>1</v>
      </c>
      <c r="O664">
        <v>331071879.73000002</v>
      </c>
      <c r="P664" t="s">
        <v>2438</v>
      </c>
    </row>
    <row r="665" spans="1:16" x14ac:dyDescent="0.25">
      <c r="A665" t="s">
        <v>2544</v>
      </c>
      <c r="B665" t="s">
        <v>2544</v>
      </c>
      <c r="D665" t="s">
        <v>2545</v>
      </c>
      <c r="E665" t="s">
        <v>2546</v>
      </c>
      <c r="F665" t="s">
        <v>50</v>
      </c>
      <c r="G665" t="s">
        <v>241</v>
      </c>
      <c r="H665">
        <v>8</v>
      </c>
      <c r="I665" t="b">
        <v>0</v>
      </c>
      <c r="J665" t="s">
        <v>2544</v>
      </c>
      <c r="K665">
        <v>1</v>
      </c>
      <c r="L665" t="s">
        <v>25</v>
      </c>
      <c r="M665">
        <v>1</v>
      </c>
      <c r="N665">
        <v>1</v>
      </c>
      <c r="O665">
        <v>285298842.45999998</v>
      </c>
      <c r="P665" t="s">
        <v>2438</v>
      </c>
    </row>
    <row r="666" spans="1:16" x14ac:dyDescent="0.25">
      <c r="A666" t="s">
        <v>2552</v>
      </c>
      <c r="B666" t="s">
        <v>2552</v>
      </c>
      <c r="D666" t="s">
        <v>2553</v>
      </c>
      <c r="E666" t="s">
        <v>2554</v>
      </c>
      <c r="F666" t="s">
        <v>50</v>
      </c>
      <c r="G666" t="s">
        <v>241</v>
      </c>
      <c r="H666">
        <v>8</v>
      </c>
      <c r="I666" t="b">
        <v>0</v>
      </c>
      <c r="J666" t="s">
        <v>2552</v>
      </c>
      <c r="K666">
        <v>1</v>
      </c>
      <c r="L666" t="s">
        <v>25</v>
      </c>
      <c r="M666">
        <v>1</v>
      </c>
      <c r="N666">
        <v>1</v>
      </c>
      <c r="O666">
        <v>282939127.54000002</v>
      </c>
      <c r="P666" t="s">
        <v>2438</v>
      </c>
    </row>
    <row r="667" spans="1:16" x14ac:dyDescent="0.25">
      <c r="A667" t="s">
        <v>2549</v>
      </c>
      <c r="B667" t="s">
        <v>2549</v>
      </c>
      <c r="D667" t="s">
        <v>2550</v>
      </c>
      <c r="E667" t="s">
        <v>2551</v>
      </c>
      <c r="F667" t="s">
        <v>50</v>
      </c>
      <c r="G667" t="s">
        <v>241</v>
      </c>
      <c r="H667">
        <v>8</v>
      </c>
      <c r="I667" t="b">
        <v>0</v>
      </c>
      <c r="J667" t="s">
        <v>2549</v>
      </c>
      <c r="K667">
        <v>1</v>
      </c>
      <c r="L667" t="s">
        <v>25</v>
      </c>
      <c r="M667">
        <v>1</v>
      </c>
      <c r="N667">
        <v>1</v>
      </c>
      <c r="O667">
        <v>241639224.22999999</v>
      </c>
      <c r="P667" t="s">
        <v>2438</v>
      </c>
    </row>
    <row r="668" spans="1:16" x14ac:dyDescent="0.25">
      <c r="A668" t="s">
        <v>2781</v>
      </c>
      <c r="B668" t="s">
        <v>2781</v>
      </c>
      <c r="D668" t="s">
        <v>2782</v>
      </c>
      <c r="E668" t="s">
        <v>2783</v>
      </c>
      <c r="F668" t="s">
        <v>50</v>
      </c>
      <c r="G668" t="s">
        <v>241</v>
      </c>
      <c r="H668">
        <v>3</v>
      </c>
      <c r="I668" t="b">
        <v>0</v>
      </c>
      <c r="J668" t="s">
        <v>2781</v>
      </c>
      <c r="K668">
        <v>1</v>
      </c>
      <c r="L668" t="s">
        <v>1781</v>
      </c>
      <c r="M668">
        <v>1</v>
      </c>
      <c r="N668">
        <v>1</v>
      </c>
      <c r="O668">
        <v>218186874.30000001</v>
      </c>
      <c r="P668" t="s">
        <v>2618</v>
      </c>
    </row>
    <row r="669" spans="1:16" x14ac:dyDescent="0.25">
      <c r="A669" t="s">
        <v>2800</v>
      </c>
      <c r="B669" t="s">
        <v>2800</v>
      </c>
      <c r="D669" t="s">
        <v>2801</v>
      </c>
      <c r="E669" t="s">
        <v>2026</v>
      </c>
      <c r="F669" t="s">
        <v>50</v>
      </c>
      <c r="G669" t="s">
        <v>241</v>
      </c>
      <c r="H669">
        <v>3</v>
      </c>
      <c r="I669" t="b">
        <v>0</v>
      </c>
      <c r="J669" t="s">
        <v>2800</v>
      </c>
      <c r="K669">
        <v>1</v>
      </c>
      <c r="L669" t="s">
        <v>1781</v>
      </c>
      <c r="M669">
        <v>1</v>
      </c>
      <c r="N669">
        <v>1</v>
      </c>
      <c r="O669">
        <v>123347154.09</v>
      </c>
      <c r="P669" t="s">
        <v>2618</v>
      </c>
    </row>
    <row r="670" spans="1:16" x14ac:dyDescent="0.25">
      <c r="A670" t="s">
        <v>2840</v>
      </c>
      <c r="B670" t="s">
        <v>2840</v>
      </c>
      <c r="D670" t="s">
        <v>2841</v>
      </c>
      <c r="E670" t="s">
        <v>2842</v>
      </c>
      <c r="F670" t="s">
        <v>50</v>
      </c>
      <c r="G670" t="s">
        <v>241</v>
      </c>
      <c r="H670">
        <v>3</v>
      </c>
      <c r="I670" t="b">
        <v>0</v>
      </c>
      <c r="J670" t="s">
        <v>2840</v>
      </c>
      <c r="K670">
        <v>1</v>
      </c>
      <c r="L670" t="s">
        <v>1781</v>
      </c>
      <c r="M670">
        <v>1</v>
      </c>
      <c r="N670">
        <v>1</v>
      </c>
      <c r="O670">
        <v>106943096.77</v>
      </c>
      <c r="P670" t="s">
        <v>2618</v>
      </c>
    </row>
    <row r="671" spans="1:16" x14ac:dyDescent="0.25">
      <c r="A671" t="s">
        <v>2534</v>
      </c>
      <c r="B671" t="s">
        <v>2534</v>
      </c>
      <c r="D671" t="s">
        <v>2535</v>
      </c>
      <c r="E671" t="s">
        <v>2536</v>
      </c>
      <c r="F671" t="s">
        <v>50</v>
      </c>
      <c r="G671" t="s">
        <v>241</v>
      </c>
      <c r="H671">
        <v>8</v>
      </c>
      <c r="I671" t="b">
        <v>0</v>
      </c>
      <c r="J671" t="s">
        <v>2534</v>
      </c>
      <c r="K671">
        <v>1</v>
      </c>
      <c r="L671" t="s">
        <v>25</v>
      </c>
      <c r="M671">
        <v>1</v>
      </c>
      <c r="N671">
        <v>1</v>
      </c>
      <c r="O671">
        <v>96542634.640000015</v>
      </c>
      <c r="P671" t="s">
        <v>2438</v>
      </c>
    </row>
    <row r="672" spans="1:16" x14ac:dyDescent="0.25">
      <c r="A672" t="s">
        <v>2537</v>
      </c>
      <c r="B672" t="s">
        <v>2537</v>
      </c>
      <c r="D672" t="s">
        <v>2538</v>
      </c>
      <c r="E672" t="s">
        <v>2536</v>
      </c>
      <c r="F672" t="s">
        <v>50</v>
      </c>
      <c r="G672" t="s">
        <v>241</v>
      </c>
      <c r="H672">
        <v>8</v>
      </c>
      <c r="I672" t="b">
        <v>0</v>
      </c>
      <c r="J672" t="s">
        <v>2537</v>
      </c>
      <c r="K672">
        <v>1</v>
      </c>
      <c r="L672" t="s">
        <v>25</v>
      </c>
      <c r="M672">
        <v>1</v>
      </c>
      <c r="N672">
        <v>1</v>
      </c>
      <c r="O672">
        <v>73402182.149999976</v>
      </c>
      <c r="P672" t="s">
        <v>2438</v>
      </c>
    </row>
    <row r="673" spans="1:16" x14ac:dyDescent="0.25">
      <c r="A673" t="s">
        <v>2857</v>
      </c>
      <c r="B673" t="s">
        <v>2857</v>
      </c>
      <c r="D673" t="s">
        <v>2858</v>
      </c>
      <c r="E673" t="s">
        <v>887</v>
      </c>
      <c r="F673" t="s">
        <v>50</v>
      </c>
      <c r="G673" t="s">
        <v>241</v>
      </c>
      <c r="H673">
        <v>6</v>
      </c>
      <c r="I673" t="b">
        <v>0</v>
      </c>
      <c r="J673" t="s">
        <v>2857</v>
      </c>
      <c r="K673">
        <v>1</v>
      </c>
      <c r="L673" t="s">
        <v>1781</v>
      </c>
      <c r="M673">
        <v>1</v>
      </c>
      <c r="N673">
        <v>1</v>
      </c>
      <c r="O673">
        <v>60452276.459999993</v>
      </c>
      <c r="P673" t="s">
        <v>2438</v>
      </c>
    </row>
    <row r="674" spans="1:16" x14ac:dyDescent="0.25">
      <c r="A674" t="s">
        <v>2448</v>
      </c>
      <c r="B674" t="s">
        <v>2448</v>
      </c>
      <c r="D674" t="s">
        <v>2449</v>
      </c>
      <c r="E674" t="s">
        <v>2449</v>
      </c>
      <c r="F674" t="s">
        <v>50</v>
      </c>
      <c r="G674" t="s">
        <v>241</v>
      </c>
      <c r="H674">
        <v>10</v>
      </c>
      <c r="I674" t="b">
        <v>0</v>
      </c>
      <c r="J674" t="s">
        <v>2448</v>
      </c>
      <c r="K674">
        <v>1</v>
      </c>
      <c r="L674" t="s">
        <v>25</v>
      </c>
      <c r="M674">
        <v>1</v>
      </c>
      <c r="N674">
        <v>1</v>
      </c>
      <c r="O674">
        <v>55734941.389999993</v>
      </c>
      <c r="P674" t="s">
        <v>2438</v>
      </c>
    </row>
    <row r="675" spans="1:16" x14ac:dyDescent="0.25">
      <c r="A675" t="s">
        <v>2821</v>
      </c>
      <c r="B675" t="s">
        <v>2821</v>
      </c>
      <c r="D675" t="s">
        <v>2822</v>
      </c>
      <c r="E675" t="s">
        <v>2000</v>
      </c>
      <c r="F675" t="s">
        <v>50</v>
      </c>
      <c r="G675" t="s">
        <v>241</v>
      </c>
      <c r="H675">
        <v>3</v>
      </c>
      <c r="I675" t="b">
        <v>0</v>
      </c>
      <c r="J675" t="s">
        <v>2821</v>
      </c>
      <c r="K675">
        <v>1</v>
      </c>
      <c r="L675" t="s">
        <v>1781</v>
      </c>
      <c r="M675">
        <v>1</v>
      </c>
      <c r="N675">
        <v>1</v>
      </c>
      <c r="O675">
        <v>43695443.200000003</v>
      </c>
      <c r="P675" t="s">
        <v>2618</v>
      </c>
    </row>
    <row r="676" spans="1:16" x14ac:dyDescent="0.25">
      <c r="A676" t="s">
        <v>2829</v>
      </c>
      <c r="B676" t="s">
        <v>2829</v>
      </c>
      <c r="D676" t="s">
        <v>2830</v>
      </c>
      <c r="E676" t="s">
        <v>2768</v>
      </c>
      <c r="F676" t="s">
        <v>50</v>
      </c>
      <c r="G676" t="s">
        <v>241</v>
      </c>
      <c r="H676">
        <v>3</v>
      </c>
      <c r="I676" t="b">
        <v>0</v>
      </c>
      <c r="J676" t="s">
        <v>2829</v>
      </c>
      <c r="K676">
        <v>1</v>
      </c>
      <c r="L676" t="s">
        <v>1781</v>
      </c>
      <c r="M676">
        <v>1</v>
      </c>
      <c r="N676">
        <v>1</v>
      </c>
      <c r="O676">
        <v>41813385.409999996</v>
      </c>
      <c r="P676" t="s">
        <v>2618</v>
      </c>
    </row>
    <row r="677" spans="1:16" x14ac:dyDescent="0.25">
      <c r="A677" t="s">
        <v>2569</v>
      </c>
      <c r="B677" t="s">
        <v>2569</v>
      </c>
      <c r="D677" t="s">
        <v>2570</v>
      </c>
      <c r="E677" t="s">
        <v>2571</v>
      </c>
      <c r="F677" t="s">
        <v>50</v>
      </c>
      <c r="G677" t="s">
        <v>241</v>
      </c>
      <c r="H677">
        <v>10</v>
      </c>
      <c r="I677" t="b">
        <v>0</v>
      </c>
      <c r="J677" t="s">
        <v>2569</v>
      </c>
      <c r="K677">
        <v>1</v>
      </c>
      <c r="L677" t="s">
        <v>25</v>
      </c>
      <c r="M677">
        <v>1</v>
      </c>
      <c r="N677">
        <v>1</v>
      </c>
      <c r="O677">
        <v>40844790</v>
      </c>
      <c r="P677" t="s">
        <v>2438</v>
      </c>
    </row>
    <row r="678" spans="1:16" x14ac:dyDescent="0.25">
      <c r="A678" t="s">
        <v>2567</v>
      </c>
      <c r="B678" t="s">
        <v>2567</v>
      </c>
      <c r="D678" t="s">
        <v>2568</v>
      </c>
      <c r="E678" t="s">
        <v>2568</v>
      </c>
      <c r="F678" t="s">
        <v>50</v>
      </c>
      <c r="G678" t="s">
        <v>26</v>
      </c>
      <c r="H678">
        <v>10</v>
      </c>
      <c r="I678" t="b">
        <v>0</v>
      </c>
      <c r="J678" t="s">
        <v>2567</v>
      </c>
      <c r="K678">
        <v>1</v>
      </c>
      <c r="L678" t="s">
        <v>25</v>
      </c>
      <c r="M678">
        <v>1</v>
      </c>
      <c r="N678">
        <v>1</v>
      </c>
      <c r="O678">
        <v>40000000</v>
      </c>
      <c r="P678" t="s">
        <v>2438</v>
      </c>
    </row>
    <row r="679" spans="1:16" x14ac:dyDescent="0.25">
      <c r="A679" t="s">
        <v>2849</v>
      </c>
      <c r="B679" t="s">
        <v>2849</v>
      </c>
      <c r="D679" t="s">
        <v>2850</v>
      </c>
      <c r="E679" t="s">
        <v>887</v>
      </c>
      <c r="F679" t="s">
        <v>50</v>
      </c>
      <c r="G679" t="s">
        <v>241</v>
      </c>
      <c r="H679">
        <v>6</v>
      </c>
      <c r="I679" t="b">
        <v>0</v>
      </c>
      <c r="J679" t="s">
        <v>2849</v>
      </c>
      <c r="K679">
        <v>1</v>
      </c>
      <c r="L679" t="s">
        <v>1781</v>
      </c>
      <c r="M679">
        <v>1</v>
      </c>
      <c r="N679">
        <v>1</v>
      </c>
      <c r="O679">
        <v>30358870.449999999</v>
      </c>
      <c r="P679" t="s">
        <v>2438</v>
      </c>
    </row>
    <row r="680" spans="1:16" x14ac:dyDescent="0.25">
      <c r="A680" t="s">
        <v>2835</v>
      </c>
      <c r="B680" t="s">
        <v>2835</v>
      </c>
      <c r="D680" t="s">
        <v>2836</v>
      </c>
      <c r="E680" t="s">
        <v>1935</v>
      </c>
      <c r="F680" t="s">
        <v>50</v>
      </c>
      <c r="G680" t="s">
        <v>241</v>
      </c>
      <c r="H680">
        <v>3</v>
      </c>
      <c r="I680" t="b">
        <v>0</v>
      </c>
      <c r="J680" t="s">
        <v>2835</v>
      </c>
      <c r="K680">
        <v>1</v>
      </c>
      <c r="L680" t="s">
        <v>1781</v>
      </c>
      <c r="M680">
        <v>1</v>
      </c>
      <c r="N680">
        <v>1</v>
      </c>
      <c r="O680">
        <v>21064482.210000001</v>
      </c>
      <c r="P680" t="s">
        <v>2618</v>
      </c>
    </row>
    <row r="681" spans="1:16" x14ac:dyDescent="0.25">
      <c r="A681" t="s">
        <v>2837</v>
      </c>
      <c r="B681" t="s">
        <v>2837</v>
      </c>
      <c r="D681" t="s">
        <v>2838</v>
      </c>
      <c r="E681" t="s">
        <v>2839</v>
      </c>
      <c r="F681" t="s">
        <v>50</v>
      </c>
      <c r="G681" t="s">
        <v>241</v>
      </c>
      <c r="H681">
        <v>3</v>
      </c>
      <c r="I681" t="b">
        <v>0</v>
      </c>
      <c r="J681" t="s">
        <v>2837</v>
      </c>
      <c r="K681">
        <v>1</v>
      </c>
      <c r="L681" t="s">
        <v>1781</v>
      </c>
      <c r="M681">
        <v>1</v>
      </c>
      <c r="N681">
        <v>1</v>
      </c>
      <c r="O681">
        <v>19605388.18</v>
      </c>
      <c r="P681" t="s">
        <v>2618</v>
      </c>
    </row>
    <row r="682" spans="1:16" x14ac:dyDescent="0.25">
      <c r="A682" t="s">
        <v>2727</v>
      </c>
      <c r="B682" t="s">
        <v>2727</v>
      </c>
      <c r="D682" t="s">
        <v>2728</v>
      </c>
      <c r="E682" t="s">
        <v>2729</v>
      </c>
      <c r="F682" t="s">
        <v>50</v>
      </c>
      <c r="G682" t="s">
        <v>241</v>
      </c>
      <c r="H682">
        <v>3</v>
      </c>
      <c r="I682" t="b">
        <v>0</v>
      </c>
      <c r="J682" t="s">
        <v>2727</v>
      </c>
      <c r="K682">
        <v>1</v>
      </c>
      <c r="L682" t="s">
        <v>1781</v>
      </c>
      <c r="M682">
        <v>1</v>
      </c>
      <c r="N682">
        <v>1</v>
      </c>
      <c r="O682">
        <v>16063335.359999999</v>
      </c>
      <c r="P682" t="s">
        <v>2618</v>
      </c>
    </row>
    <row r="683" spans="1:16" x14ac:dyDescent="0.25">
      <c r="A683" t="s">
        <v>2576</v>
      </c>
      <c r="B683" t="s">
        <v>2576</v>
      </c>
      <c r="D683" t="s">
        <v>2577</v>
      </c>
      <c r="E683" t="s">
        <v>1857</v>
      </c>
      <c r="F683" t="s">
        <v>50</v>
      </c>
      <c r="G683" t="s">
        <v>26</v>
      </c>
      <c r="H683">
        <v>4</v>
      </c>
      <c r="I683" t="b">
        <v>0</v>
      </c>
      <c r="J683" t="s">
        <v>2576</v>
      </c>
      <c r="K683">
        <v>1</v>
      </c>
      <c r="L683" t="s">
        <v>25</v>
      </c>
      <c r="M683">
        <v>1</v>
      </c>
      <c r="N683">
        <v>1</v>
      </c>
      <c r="O683">
        <v>15052200</v>
      </c>
      <c r="P683" t="s">
        <v>2438</v>
      </c>
    </row>
    <row r="684" spans="1:16" x14ac:dyDescent="0.25">
      <c r="A684" t="s">
        <v>2578</v>
      </c>
      <c r="B684" t="s">
        <v>2578</v>
      </c>
      <c r="D684" t="s">
        <v>2579</v>
      </c>
      <c r="E684" t="s">
        <v>1857</v>
      </c>
      <c r="F684" t="s">
        <v>50</v>
      </c>
      <c r="G684" t="s">
        <v>26</v>
      </c>
      <c r="H684">
        <v>4</v>
      </c>
      <c r="I684" t="b">
        <v>0</v>
      </c>
      <c r="J684" t="s">
        <v>2578</v>
      </c>
      <c r="K684">
        <v>1</v>
      </c>
      <c r="L684" t="s">
        <v>25</v>
      </c>
      <c r="M684">
        <v>1</v>
      </c>
      <c r="N684">
        <v>1</v>
      </c>
      <c r="O684">
        <v>15045000</v>
      </c>
      <c r="P684" t="s">
        <v>2438</v>
      </c>
    </row>
    <row r="685" spans="1:16" x14ac:dyDescent="0.25">
      <c r="A685" t="s">
        <v>2609</v>
      </c>
      <c r="B685" t="s">
        <v>2609</v>
      </c>
      <c r="D685" t="s">
        <v>2610</v>
      </c>
      <c r="E685" t="s">
        <v>2611</v>
      </c>
      <c r="F685" t="s">
        <v>81</v>
      </c>
      <c r="G685" t="s">
        <v>129</v>
      </c>
      <c r="H685">
        <v>3</v>
      </c>
      <c r="I685" t="b">
        <v>0</v>
      </c>
      <c r="J685" t="s">
        <v>2609</v>
      </c>
      <c r="K685">
        <v>1</v>
      </c>
      <c r="L685" t="s">
        <v>124</v>
      </c>
      <c r="M685">
        <v>1</v>
      </c>
      <c r="N685">
        <v>1</v>
      </c>
      <c r="O685">
        <v>14536552.810000001</v>
      </c>
      <c r="P685" t="s">
        <v>2438</v>
      </c>
    </row>
    <row r="686" spans="1:16" x14ac:dyDescent="0.25">
      <c r="A686" t="s">
        <v>2861</v>
      </c>
      <c r="B686" t="s">
        <v>2861</v>
      </c>
      <c r="D686" t="s">
        <v>2862</v>
      </c>
      <c r="E686" t="s">
        <v>2611</v>
      </c>
      <c r="F686" t="s">
        <v>81</v>
      </c>
      <c r="G686" t="s">
        <v>32</v>
      </c>
      <c r="H686">
        <v>3</v>
      </c>
      <c r="I686" t="b">
        <v>0</v>
      </c>
      <c r="J686" t="s">
        <v>2861</v>
      </c>
      <c r="K686">
        <v>1</v>
      </c>
      <c r="L686" t="s">
        <v>2174</v>
      </c>
      <c r="M686">
        <v>1</v>
      </c>
      <c r="N686">
        <v>1</v>
      </c>
      <c r="O686">
        <v>11266791.67</v>
      </c>
      <c r="P686" t="s">
        <v>2438</v>
      </c>
    </row>
    <row r="687" spans="1:16" x14ac:dyDescent="0.25">
      <c r="A687" t="s">
        <v>2628</v>
      </c>
      <c r="B687" t="s">
        <v>2628</v>
      </c>
      <c r="D687" t="s">
        <v>2629</v>
      </c>
      <c r="E687" t="s">
        <v>2627</v>
      </c>
      <c r="F687" t="s">
        <v>50</v>
      </c>
      <c r="G687" t="s">
        <v>26</v>
      </c>
      <c r="H687">
        <v>3</v>
      </c>
      <c r="I687" t="b">
        <v>0</v>
      </c>
      <c r="J687" t="s">
        <v>2628</v>
      </c>
      <c r="K687">
        <v>1</v>
      </c>
      <c r="L687" t="s">
        <v>25</v>
      </c>
      <c r="M687">
        <v>1</v>
      </c>
      <c r="N687">
        <v>1</v>
      </c>
      <c r="O687">
        <v>5200368.1399999997</v>
      </c>
      <c r="P687" t="s">
        <v>2618</v>
      </c>
    </row>
    <row r="688" spans="1:16" x14ac:dyDescent="0.25">
      <c r="A688" t="s">
        <v>2612</v>
      </c>
      <c r="B688" t="s">
        <v>2612</v>
      </c>
      <c r="D688" t="s">
        <v>2613</v>
      </c>
      <c r="E688" t="s">
        <v>104</v>
      </c>
      <c r="F688" t="s">
        <v>50</v>
      </c>
      <c r="G688" t="s">
        <v>26</v>
      </c>
      <c r="H688">
        <v>8</v>
      </c>
      <c r="I688" t="b">
        <v>0</v>
      </c>
      <c r="J688" t="s">
        <v>2612</v>
      </c>
      <c r="K688">
        <v>1</v>
      </c>
      <c r="L688" t="s">
        <v>124</v>
      </c>
      <c r="M688">
        <v>1</v>
      </c>
      <c r="N688">
        <v>1</v>
      </c>
      <c r="O688">
        <v>3230136.15</v>
      </c>
      <c r="P688" t="s">
        <v>2438</v>
      </c>
    </row>
    <row r="689" spans="1:16" x14ac:dyDescent="0.25">
      <c r="A689" t="s">
        <v>2851</v>
      </c>
      <c r="B689" t="s">
        <v>2851</v>
      </c>
      <c r="D689" t="s">
        <v>2852</v>
      </c>
      <c r="E689" t="s">
        <v>887</v>
      </c>
      <c r="F689" t="s">
        <v>50</v>
      </c>
      <c r="G689" t="s">
        <v>241</v>
      </c>
      <c r="H689">
        <v>6</v>
      </c>
      <c r="I689" t="b">
        <v>0</v>
      </c>
      <c r="J689" t="s">
        <v>2851</v>
      </c>
      <c r="K689">
        <v>1</v>
      </c>
      <c r="L689" t="s">
        <v>1781</v>
      </c>
      <c r="M689">
        <v>1</v>
      </c>
      <c r="N689">
        <v>1</v>
      </c>
      <c r="O689">
        <v>2596035.1799999988</v>
      </c>
      <c r="P689" t="s">
        <v>2438</v>
      </c>
    </row>
    <row r="690" spans="1:16" x14ac:dyDescent="0.25">
      <c r="A690" t="s">
        <v>2434</v>
      </c>
      <c r="B690" t="s">
        <v>2434</v>
      </c>
      <c r="D690" t="s">
        <v>2435</v>
      </c>
      <c r="E690" t="s">
        <v>2436</v>
      </c>
      <c r="F690" t="s">
        <v>39</v>
      </c>
      <c r="G690" t="s">
        <v>2437</v>
      </c>
      <c r="H690">
        <v>3</v>
      </c>
      <c r="I690" t="b">
        <v>0</v>
      </c>
      <c r="J690" t="s">
        <v>2434</v>
      </c>
      <c r="K690">
        <v>1</v>
      </c>
      <c r="L690" t="s">
        <v>124</v>
      </c>
      <c r="M690">
        <v>1</v>
      </c>
      <c r="N690">
        <v>1</v>
      </c>
      <c r="O690">
        <v>1592640.62</v>
      </c>
      <c r="P690" t="s">
        <v>2438</v>
      </c>
    </row>
    <row r="691" spans="1:16" x14ac:dyDescent="0.25">
      <c r="A691" t="s">
        <v>2625</v>
      </c>
      <c r="B691" t="s">
        <v>2625</v>
      </c>
      <c r="D691" t="s">
        <v>2626</v>
      </c>
      <c r="E691" t="s">
        <v>2627</v>
      </c>
      <c r="F691" t="s">
        <v>50</v>
      </c>
      <c r="G691" t="s">
        <v>26</v>
      </c>
      <c r="H691">
        <v>3</v>
      </c>
      <c r="I691" t="b">
        <v>0</v>
      </c>
      <c r="J691" t="s">
        <v>2625</v>
      </c>
      <c r="K691">
        <v>1</v>
      </c>
      <c r="L691" t="s">
        <v>25</v>
      </c>
      <c r="M691">
        <v>1</v>
      </c>
      <c r="N691">
        <v>1</v>
      </c>
      <c r="O691">
        <v>1418588.57</v>
      </c>
      <c r="P691" t="s">
        <v>2618</v>
      </c>
    </row>
    <row r="692" spans="1:16" x14ac:dyDescent="0.25">
      <c r="A692" t="s">
        <v>2486</v>
      </c>
      <c r="B692" t="s">
        <v>2486</v>
      </c>
      <c r="D692" t="s">
        <v>2487</v>
      </c>
      <c r="E692" t="s">
        <v>987</v>
      </c>
      <c r="F692" t="s">
        <v>112</v>
      </c>
      <c r="G692" t="s">
        <v>32</v>
      </c>
      <c r="H692">
        <v>3</v>
      </c>
      <c r="I692" t="b">
        <v>0</v>
      </c>
      <c r="J692" t="s">
        <v>2486</v>
      </c>
      <c r="K692">
        <v>1</v>
      </c>
      <c r="L692" t="s">
        <v>4143</v>
      </c>
      <c r="M692">
        <v>5</v>
      </c>
      <c r="N692">
        <v>5</v>
      </c>
      <c r="O692">
        <v>1143818.25</v>
      </c>
      <c r="P692" t="s">
        <v>2438</v>
      </c>
    </row>
    <row r="693" spans="1:16" x14ac:dyDescent="0.25">
      <c r="A693" t="s">
        <v>2591</v>
      </c>
      <c r="B693" t="s">
        <v>2591</v>
      </c>
      <c r="D693" t="s">
        <v>2592</v>
      </c>
      <c r="E693" t="s">
        <v>111</v>
      </c>
      <c r="F693" t="s">
        <v>112</v>
      </c>
      <c r="G693" t="s">
        <v>490</v>
      </c>
      <c r="H693">
        <v>3</v>
      </c>
      <c r="I693" t="b">
        <v>0</v>
      </c>
      <c r="J693" t="s">
        <v>2591</v>
      </c>
      <c r="K693">
        <v>1</v>
      </c>
      <c r="L693" t="s">
        <v>124</v>
      </c>
      <c r="M693">
        <v>1</v>
      </c>
      <c r="N693">
        <v>1</v>
      </c>
      <c r="O693">
        <v>922290.20000000007</v>
      </c>
      <c r="P693" t="s">
        <v>2438</v>
      </c>
    </row>
    <row r="694" spans="1:16" x14ac:dyDescent="0.25">
      <c r="A694" t="s">
        <v>2589</v>
      </c>
      <c r="B694" t="s">
        <v>2589</v>
      </c>
      <c r="D694" t="s">
        <v>2590</v>
      </c>
      <c r="E694" t="s">
        <v>111</v>
      </c>
      <c r="F694" t="s">
        <v>112</v>
      </c>
      <c r="G694" t="s">
        <v>490</v>
      </c>
      <c r="H694">
        <v>3</v>
      </c>
      <c r="I694" t="b">
        <v>0</v>
      </c>
      <c r="J694" t="s">
        <v>2589</v>
      </c>
      <c r="K694">
        <v>1</v>
      </c>
      <c r="L694" t="s">
        <v>124</v>
      </c>
      <c r="M694">
        <v>1</v>
      </c>
      <c r="N694">
        <v>1</v>
      </c>
      <c r="O694">
        <v>914766.34000000008</v>
      </c>
      <c r="P694" t="s">
        <v>2438</v>
      </c>
    </row>
    <row r="695" spans="1:16" x14ac:dyDescent="0.25">
      <c r="A695" t="s">
        <v>2674</v>
      </c>
      <c r="B695" t="s">
        <v>2674</v>
      </c>
      <c r="D695" t="s">
        <v>2675</v>
      </c>
      <c r="E695" t="s">
        <v>2676</v>
      </c>
      <c r="F695" t="s">
        <v>50</v>
      </c>
      <c r="G695" t="s">
        <v>241</v>
      </c>
      <c r="H695">
        <v>3</v>
      </c>
      <c r="I695" t="b">
        <v>0</v>
      </c>
      <c r="J695" t="s">
        <v>2674</v>
      </c>
      <c r="K695">
        <v>1</v>
      </c>
      <c r="L695" t="s">
        <v>25</v>
      </c>
      <c r="M695">
        <v>1</v>
      </c>
      <c r="N695">
        <v>1</v>
      </c>
      <c r="O695">
        <v>41917.959999988372</v>
      </c>
      <c r="P695" t="s">
        <v>2618</v>
      </c>
    </row>
    <row r="696" spans="1:16" x14ac:dyDescent="0.25">
      <c r="A696" t="s">
        <v>2623</v>
      </c>
      <c r="B696" t="s">
        <v>2623</v>
      </c>
      <c r="D696" t="s">
        <v>2624</v>
      </c>
      <c r="E696" t="s">
        <v>1076</v>
      </c>
      <c r="F696" t="s">
        <v>50</v>
      </c>
      <c r="G696" t="s">
        <v>26</v>
      </c>
      <c r="H696">
        <v>3</v>
      </c>
      <c r="I696" t="b">
        <v>0</v>
      </c>
      <c r="J696" t="s">
        <v>2623</v>
      </c>
      <c r="K696">
        <v>1</v>
      </c>
      <c r="L696" t="s">
        <v>25</v>
      </c>
      <c r="M696">
        <v>1</v>
      </c>
      <c r="N696">
        <v>1</v>
      </c>
      <c r="O696">
        <v>0</v>
      </c>
      <c r="P696" t="s">
        <v>2618</v>
      </c>
    </row>
    <row r="697" spans="1:16" x14ac:dyDescent="0.25">
      <c r="A697" t="s">
        <v>2524</v>
      </c>
      <c r="B697" t="s">
        <v>2524</v>
      </c>
      <c r="D697" t="s">
        <v>2525</v>
      </c>
      <c r="E697" t="s">
        <v>2526</v>
      </c>
      <c r="F697" t="s">
        <v>50</v>
      </c>
      <c r="G697" t="s">
        <v>26</v>
      </c>
      <c r="H697">
        <v>8</v>
      </c>
      <c r="I697" t="b">
        <v>0</v>
      </c>
      <c r="J697" t="s">
        <v>2524</v>
      </c>
      <c r="K697">
        <v>1</v>
      </c>
      <c r="L697" t="s">
        <v>25</v>
      </c>
      <c r="M697">
        <v>1</v>
      </c>
      <c r="N697">
        <v>1</v>
      </c>
      <c r="O697">
        <v>0</v>
      </c>
      <c r="P697" t="s">
        <v>2438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5" customWidth="1"/>
    <col min="2" max="2" width="8" customWidth="1"/>
    <col min="3" max="3" width="39" customWidth="1"/>
  </cols>
  <sheetData>
    <row r="1" spans="1:3" ht="27.95" customHeight="1" x14ac:dyDescent="0.25">
      <c r="A1" s="6" t="s">
        <v>4256</v>
      </c>
      <c r="B1" s="6" t="s">
        <v>4257</v>
      </c>
      <c r="C1" s="6" t="s">
        <v>4258</v>
      </c>
    </row>
    <row r="2" spans="1:3" x14ac:dyDescent="0.25">
      <c r="A2" t="s">
        <v>4259</v>
      </c>
    </row>
    <row r="3" spans="1:3" x14ac:dyDescent="0.25">
      <c r="A3" t="s">
        <v>4260</v>
      </c>
      <c r="B3">
        <v>2126</v>
      </c>
    </row>
    <row r="4" spans="1:3" x14ac:dyDescent="0.25">
      <c r="A4" t="s">
        <v>4261</v>
      </c>
      <c r="B4">
        <v>-194</v>
      </c>
      <c r="C4" t="s">
        <v>4262</v>
      </c>
    </row>
    <row r="5" spans="1:3" x14ac:dyDescent="0.25">
      <c r="A5" t="s">
        <v>4263</v>
      </c>
      <c r="B5">
        <v>-472</v>
      </c>
      <c r="C5" t="s">
        <v>4264</v>
      </c>
    </row>
    <row r="6" spans="1:3" x14ac:dyDescent="0.25">
      <c r="A6" t="e">
        <f>Posiciones vigentes</f>
        <v>#NAME?</v>
      </c>
      <c r="B6">
        <v>1460</v>
      </c>
    </row>
    <row r="7" spans="1:3" x14ac:dyDescent="0.25">
      <c r="A7" t="s">
        <v>4265</v>
      </c>
      <c r="B7">
        <v>-673</v>
      </c>
    </row>
    <row r="8" spans="1:3" x14ac:dyDescent="0.25">
      <c r="A8" t="e">
        <f>PK2 únicos</f>
        <v>#NAME?</v>
      </c>
      <c r="B8">
        <v>787</v>
      </c>
    </row>
    <row r="9" spans="1:3" x14ac:dyDescent="0.25">
      <c r="A9" t="s">
        <v>4266</v>
      </c>
      <c r="B9">
        <v>-91</v>
      </c>
      <c r="C9" t="s">
        <v>4267</v>
      </c>
    </row>
    <row r="10" spans="1:3" x14ac:dyDescent="0.25">
      <c r="A10" t="e">
        <f>INSTRUMENTOS A BUSCAR</f>
        <v>#NAME?</v>
      </c>
      <c r="B10">
        <v>696</v>
      </c>
      <c r="C10" t="s">
        <v>4268</v>
      </c>
    </row>
    <row r="11" spans="1:3" x14ac:dyDescent="0.25">
      <c r="A11" t="s">
        <v>4269</v>
      </c>
      <c r="B11">
        <v>518</v>
      </c>
    </row>
    <row r="12" spans="1:3" x14ac:dyDescent="0.25">
      <c r="A12" t="s">
        <v>4270</v>
      </c>
      <c r="B12">
        <v>178</v>
      </c>
    </row>
    <row r="14" spans="1:3" x14ac:dyDescent="0.25">
      <c r="A14" t="s">
        <v>4271</v>
      </c>
    </row>
    <row r="15" spans="1:3" x14ac:dyDescent="0.25">
      <c r="A15" t="s">
        <v>4272</v>
      </c>
      <c r="B15">
        <v>1235</v>
      </c>
    </row>
    <row r="16" spans="1:3" x14ac:dyDescent="0.25">
      <c r="A16" t="s">
        <v>4273</v>
      </c>
      <c r="B16">
        <v>225</v>
      </c>
    </row>
    <row r="18" spans="1:3" x14ac:dyDescent="0.25">
      <c r="A18" t="s">
        <v>4274</v>
      </c>
    </row>
    <row r="19" spans="1:3" x14ac:dyDescent="0.25">
      <c r="A19" t="s">
        <v>4275</v>
      </c>
      <c r="B19">
        <v>165</v>
      </c>
      <c r="C19" t="s">
        <v>4276</v>
      </c>
    </row>
    <row r="20" spans="1:3" x14ac:dyDescent="0.25">
      <c r="A20" t="s">
        <v>4277</v>
      </c>
      <c r="B20">
        <v>11</v>
      </c>
      <c r="C20" t="s">
        <v>4278</v>
      </c>
    </row>
    <row r="21" spans="1:3" x14ac:dyDescent="0.25">
      <c r="A21" t="s">
        <v>4279</v>
      </c>
      <c r="B21">
        <v>238</v>
      </c>
      <c r="C21" t="s">
        <v>4280</v>
      </c>
    </row>
    <row r="22" spans="1:3" x14ac:dyDescent="0.25">
      <c r="A22" t="s">
        <v>4281</v>
      </c>
      <c r="B22">
        <v>236</v>
      </c>
      <c r="C22" t="s">
        <v>4282</v>
      </c>
    </row>
    <row r="23" spans="1:3" x14ac:dyDescent="0.25">
      <c r="A23" t="s">
        <v>4283</v>
      </c>
      <c r="B23">
        <v>199</v>
      </c>
      <c r="C23" t="s">
        <v>4284</v>
      </c>
    </row>
    <row r="24" spans="1:3" x14ac:dyDescent="0.25">
      <c r="A24" t="s">
        <v>4285</v>
      </c>
      <c r="B24">
        <v>170</v>
      </c>
      <c r="C24" t="s">
        <v>4286</v>
      </c>
    </row>
    <row r="25" spans="1:3" x14ac:dyDescent="0.25">
      <c r="A25" t="s">
        <v>4287</v>
      </c>
      <c r="B25">
        <v>216</v>
      </c>
      <c r="C25" t="s">
        <v>4288</v>
      </c>
    </row>
    <row r="26" spans="1:3" x14ac:dyDescent="0.25">
      <c r="A26" t="s">
        <v>4289</v>
      </c>
      <c r="B26">
        <v>208</v>
      </c>
      <c r="C26" t="s">
        <v>4290</v>
      </c>
    </row>
    <row r="27" spans="1:3" x14ac:dyDescent="0.25">
      <c r="A27" t="s">
        <v>4291</v>
      </c>
      <c r="B27">
        <v>17</v>
      </c>
      <c r="C27" t="s">
        <v>4292</v>
      </c>
    </row>
    <row r="29" spans="1:3" x14ac:dyDescent="0.25">
      <c r="A29" t="s">
        <v>4293</v>
      </c>
    </row>
    <row r="30" spans="1:3" x14ac:dyDescent="0.25">
      <c r="A30" t="s">
        <v>4109</v>
      </c>
      <c r="B30">
        <v>518</v>
      </c>
    </row>
    <row r="31" spans="1:3" x14ac:dyDescent="0.25">
      <c r="A31" t="s">
        <v>2618</v>
      </c>
      <c r="B31">
        <v>100</v>
      </c>
    </row>
    <row r="32" spans="1:3" x14ac:dyDescent="0.25">
      <c r="A32" t="s">
        <v>2438</v>
      </c>
      <c r="B32">
        <v>78</v>
      </c>
    </row>
    <row r="34" spans="1:3" x14ac:dyDescent="0.25">
      <c r="A34" t="s">
        <v>4294</v>
      </c>
    </row>
    <row r="35" spans="1:3" x14ac:dyDescent="0.25">
      <c r="A35" t="s">
        <v>4295</v>
      </c>
      <c r="B35">
        <v>14</v>
      </c>
      <c r="C35" t="s">
        <v>4296</v>
      </c>
    </row>
    <row r="36" spans="1:3" x14ac:dyDescent="0.25">
      <c r="A36" t="s">
        <v>4297</v>
      </c>
      <c r="B36">
        <v>59</v>
      </c>
      <c r="C36" t="s">
        <v>4298</v>
      </c>
    </row>
    <row r="37" spans="1:3" x14ac:dyDescent="0.25">
      <c r="A37" t="s">
        <v>4299</v>
      </c>
      <c r="B37">
        <v>58</v>
      </c>
      <c r="C37" t="s">
        <v>4300</v>
      </c>
    </row>
    <row r="39" spans="1:3" x14ac:dyDescent="0.25">
      <c r="A39" t="s">
        <v>4301</v>
      </c>
    </row>
    <row r="40" spans="1:3" x14ac:dyDescent="0.25">
      <c r="A40" t="s">
        <v>4302</v>
      </c>
      <c r="B40">
        <v>94</v>
      </c>
    </row>
    <row r="41" spans="1:3" x14ac:dyDescent="0.25">
      <c r="A41" t="s">
        <v>4303</v>
      </c>
      <c r="B41">
        <v>418</v>
      </c>
    </row>
    <row r="43" spans="1:3" x14ac:dyDescent="0.25">
      <c r="A43" t="s">
        <v>4304</v>
      </c>
      <c r="B43">
        <v>1</v>
      </c>
      <c r="C43" t="s">
        <v>4305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44" customWidth="1"/>
    <col min="3" max="3" width="45" customWidth="1"/>
    <col min="4" max="4" width="9" customWidth="1"/>
    <col min="5" max="5" width="10" customWidth="1"/>
    <col min="6" max="6" width="20" customWidth="1"/>
    <col min="7" max="8" width="14" customWidth="1"/>
    <col min="9" max="9" width="15" customWidth="1"/>
  </cols>
  <sheetData>
    <row r="1" spans="1:9" ht="27.95" customHeight="1" x14ac:dyDescent="0.25">
      <c r="A1" s="7" t="s">
        <v>4306</v>
      </c>
      <c r="B1" s="7" t="s">
        <v>4307</v>
      </c>
      <c r="C1" s="7" t="s">
        <v>4258</v>
      </c>
      <c r="D1" s="7" t="s">
        <v>0</v>
      </c>
      <c r="E1" s="7" t="s">
        <v>3</v>
      </c>
      <c r="F1" s="7" t="s">
        <v>6</v>
      </c>
      <c r="G1" s="7" t="s">
        <v>5</v>
      </c>
      <c r="H1" s="7" t="s">
        <v>12</v>
      </c>
      <c r="I1" s="7" t="s">
        <v>13</v>
      </c>
    </row>
    <row r="2" spans="1:9" x14ac:dyDescent="0.25">
      <c r="A2" t="s">
        <v>4308</v>
      </c>
      <c r="B2" t="s">
        <v>4309</v>
      </c>
      <c r="C2" t="s">
        <v>4310</v>
      </c>
      <c r="D2">
        <v>17</v>
      </c>
      <c r="E2" t="s">
        <v>446</v>
      </c>
      <c r="F2" t="s">
        <v>448</v>
      </c>
      <c r="G2" t="s">
        <v>447</v>
      </c>
      <c r="H2" t="s">
        <v>452</v>
      </c>
      <c r="I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con_ISIN</vt:lpstr>
      <vt:lpstr>sin_ISIN</vt:lpstr>
      <vt:lpstr>defaulteados</vt:lpstr>
      <vt:lpstr>facturas</vt:lpstr>
      <vt:lpstr>universo_objetivo</vt:lpstr>
      <vt:lpstr>resumen</vt:lpstr>
      <vt:lpstr>warnings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Olmedo, Cristopher</cp:lastModifiedBy>
  <dcterms:created xsi:type="dcterms:W3CDTF">2026-09-23T21:29:29Z</dcterms:created>
  <dcterms:modified xsi:type="dcterms:W3CDTF">2026-09-23T22:45:16Z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d901c-baa3-4fc7-85f5-befb772939a5_Enabled">
    <vt:lpwstr>true</vt:lpwstr>
  </property>
  <property fmtid="{D5CDD505-2E9C-101B-9397-08002B2CF9AE}" pid="3" name="MSIP_Label_9f9d901c-baa3-4fc7-85f5-befb772939a5_SetDate">
    <vt:lpwstr>2026-09-23T22:00:16Z</vt:lpwstr>
  </property>
  <property fmtid="{D5CDD505-2E9C-101B-9397-08002B2CF9AE}" pid="4" name="MSIP_Label_9f9d901c-baa3-4fc7-85f5-befb772939a5_Method">
    <vt:lpwstr>Privileged</vt:lpwstr>
  </property>
  <property fmtid="{D5CDD505-2E9C-101B-9397-08002B2CF9AE}" pid="5" name="MSIP_Label_9f9d901c-baa3-4fc7-85f5-befb772939a5_Name">
    <vt:lpwstr>Internal</vt:lpwstr>
  </property>
  <property fmtid="{D5CDD505-2E9C-101B-9397-08002B2CF9AE}" pid="6" name="MSIP_Label_9f9d901c-baa3-4fc7-85f5-befb772939a5_SiteId">
    <vt:lpwstr>60367fa4-9ea6-46cb-8d81-c9698bb7db3a</vt:lpwstr>
  </property>
  <property fmtid="{D5CDD505-2E9C-101B-9397-08002B2CF9AE}" pid="7" name="MSIP_Label_9f9d901c-baa3-4fc7-85f5-befb772939a5_ActionId">
    <vt:lpwstr>2544a0e0-12d0-44d3-bc37-7bed712bad7c</vt:lpwstr>
  </property>
  <property fmtid="{D5CDD505-2E9C-101B-9397-08002B2CF9AE}" pid="8" name="MSIP_Label_9f9d901c-baa3-4fc7-85f5-befb772939a5_ContentBits">
    <vt:lpwstr>0</vt:lpwstr>
  </property>
  <property fmtid="{D5CDD505-2E9C-101B-9397-08002B2CF9AE}" pid="9" name="MSIP_Label_9f9d901c-baa3-4fc7-85f5-befb772939a5_Tag">
    <vt:lpwstr>10, 0, 1, 1</vt:lpwstr>
  </property>
</Properties>
</file>