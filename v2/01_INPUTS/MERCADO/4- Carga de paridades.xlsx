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moneda03\Operaciones\CONTROL\03 Precios\CARGA PARIDADES\07-2026\"/>
    </mc:Choice>
  </mc:AlternateContent>
  <xr:revisionPtr revIDLastSave="0" documentId="13_ncr:1_{F16C34BE-89A2-493B-B62A-53C2F75754E6}" xr6:coauthVersionLast="44" xr6:coauthVersionMax="44" xr10:uidLastSave="{00000000-0000-0000-0000-000000000000}"/>
  <bookViews>
    <workbookView xWindow="1950" yWindow="1950" windowWidth="21600" windowHeight="11385" tabRatio="568" xr2:uid="{00000000-000D-0000-FFFF-FFFF00000000}"/>
  </bookViews>
  <sheets>
    <sheet name="RESUMEN PARIDADES" sheetId="3" r:id="rId1"/>
    <sheet name="Data Paridad NY" sheetId="1" r:id="rId2"/>
    <sheet name="Data Paridad LDN" sheetId="4" r:id="rId3"/>
    <sheet name="Data EUR|USD OBS" sheetId="5" r:id="rId4"/>
  </sheets>
  <definedNames>
    <definedName name="_xlnm._FilterDatabase" localSheetId="2" hidden="1">'Data Paridad LDN'!$A$1:$E$19</definedName>
    <definedName name="_xlnm._FilterDatabase" localSheetId="1" hidden="1">'Data Paridad NY'!$A$1:$E$52</definedName>
    <definedName name="_xlnm._FilterDatabase" localSheetId="0" hidden="1">'RESUMEN PARIDADES'!$B$4:$F$28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3" l="1"/>
  <c r="T6" i="3" s="1"/>
  <c r="R6" i="3"/>
  <c r="L16" i="3"/>
  <c r="M16" i="3" s="1"/>
  <c r="K16" i="3"/>
  <c r="M15" i="3"/>
  <c r="L15" i="3"/>
  <c r="K15" i="3"/>
  <c r="L14" i="3"/>
  <c r="M14" i="3" s="1"/>
  <c r="K14" i="3"/>
  <c r="L13" i="3"/>
  <c r="M13" i="3" s="1"/>
  <c r="K13" i="3"/>
  <c r="L12" i="3"/>
  <c r="M12" i="3" s="1"/>
  <c r="K12" i="3"/>
  <c r="M11" i="3"/>
  <c r="L11" i="3"/>
  <c r="K11" i="3"/>
  <c r="L10" i="3"/>
  <c r="M10" i="3" s="1"/>
  <c r="K10" i="3"/>
  <c r="L9" i="3"/>
  <c r="M9" i="3" s="1"/>
  <c r="K9" i="3"/>
  <c r="L8" i="3"/>
  <c r="M8" i="3" s="1"/>
  <c r="K8" i="3"/>
  <c r="M7" i="3"/>
  <c r="L7" i="3"/>
  <c r="K7" i="3"/>
  <c r="L6" i="3"/>
  <c r="M6" i="3" s="1"/>
  <c r="K6" i="3"/>
  <c r="F45" i="3"/>
  <c r="E45" i="3"/>
  <c r="D45" i="3"/>
  <c r="E44" i="3"/>
  <c r="F44" i="3" s="1"/>
  <c r="D44" i="3"/>
  <c r="E43" i="3"/>
  <c r="D43" i="3"/>
  <c r="F43" i="3" s="1"/>
  <c r="E42" i="3"/>
  <c r="F42" i="3" s="1"/>
  <c r="D42" i="3"/>
  <c r="F41" i="3"/>
  <c r="E41" i="3"/>
  <c r="D41" i="3"/>
  <c r="E40" i="3"/>
  <c r="F40" i="3" s="1"/>
  <c r="D40" i="3"/>
  <c r="E39" i="3"/>
  <c r="D39" i="3"/>
  <c r="F39" i="3" s="1"/>
  <c r="E38" i="3"/>
  <c r="F38" i="3" s="1"/>
  <c r="D38" i="3"/>
  <c r="F37" i="3"/>
  <c r="E37" i="3"/>
  <c r="D37" i="3"/>
  <c r="E36" i="3"/>
  <c r="F36" i="3" s="1"/>
  <c r="D36" i="3"/>
  <c r="E35" i="3"/>
  <c r="D35" i="3"/>
  <c r="F35" i="3" s="1"/>
  <c r="F34" i="3"/>
  <c r="E34" i="3"/>
  <c r="D34" i="3"/>
  <c r="F33" i="3"/>
  <c r="E33" i="3"/>
  <c r="D33" i="3"/>
  <c r="E32" i="3"/>
  <c r="F32" i="3" s="1"/>
  <c r="D32" i="3"/>
  <c r="E31" i="3"/>
  <c r="D31" i="3"/>
  <c r="F31" i="3" s="1"/>
  <c r="F30" i="3"/>
  <c r="E30" i="3"/>
  <c r="D30" i="3"/>
  <c r="F29" i="3"/>
  <c r="E29" i="3"/>
  <c r="D29" i="3"/>
  <c r="E28" i="3"/>
  <c r="F28" i="3" s="1"/>
  <c r="D28" i="3"/>
  <c r="E27" i="3"/>
  <c r="D27" i="3"/>
  <c r="F27" i="3" s="1"/>
  <c r="F26" i="3"/>
  <c r="E26" i="3"/>
  <c r="D26" i="3"/>
  <c r="F25" i="3"/>
  <c r="E25" i="3"/>
  <c r="D25" i="3"/>
  <c r="E24" i="3"/>
  <c r="F24" i="3" s="1"/>
  <c r="D24" i="3"/>
  <c r="E23" i="3"/>
  <c r="D23" i="3"/>
  <c r="F23" i="3" s="1"/>
  <c r="F22" i="3"/>
  <c r="E22" i="3"/>
  <c r="D22" i="3"/>
  <c r="F21" i="3"/>
  <c r="E21" i="3"/>
  <c r="D21" i="3"/>
  <c r="E20" i="3"/>
  <c r="F20" i="3" s="1"/>
  <c r="D20" i="3"/>
  <c r="E19" i="3"/>
  <c r="D19" i="3"/>
  <c r="F19" i="3" s="1"/>
  <c r="F18" i="3"/>
  <c r="E18" i="3"/>
  <c r="D18" i="3"/>
  <c r="F17" i="3"/>
  <c r="E17" i="3"/>
  <c r="D17" i="3"/>
  <c r="E16" i="3"/>
  <c r="F16" i="3" s="1"/>
  <c r="D16" i="3"/>
  <c r="E15" i="3"/>
  <c r="F15" i="3" s="1"/>
  <c r="D15" i="3"/>
  <c r="F14" i="3"/>
  <c r="E14" i="3"/>
  <c r="D14" i="3"/>
  <c r="F13" i="3"/>
  <c r="E13" i="3"/>
  <c r="D13" i="3"/>
  <c r="E12" i="3"/>
  <c r="F12" i="3" s="1"/>
  <c r="D12" i="3"/>
  <c r="E11" i="3"/>
  <c r="F11" i="3" s="1"/>
  <c r="D11" i="3"/>
  <c r="F10" i="3"/>
  <c r="E10" i="3"/>
  <c r="D10" i="3"/>
  <c r="F9" i="3"/>
  <c r="E9" i="3"/>
  <c r="D9" i="3"/>
  <c r="E8" i="3"/>
  <c r="F8" i="3" s="1"/>
  <c r="D8" i="3"/>
  <c r="E7" i="3"/>
  <c r="F7" i="3" s="1"/>
  <c r="D7" i="3"/>
  <c r="F6" i="3"/>
  <c r="E6" i="3"/>
  <c r="D6" i="3"/>
  <c r="F2" i="5" l="1"/>
  <c r="F3" i="5"/>
  <c r="F4" i="5"/>
  <c r="F5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S5" i="3" l="1"/>
  <c r="R5" i="3"/>
  <c r="K5" i="3" l="1"/>
  <c r="L5" i="3"/>
  <c r="T5" i="3"/>
  <c r="O5" i="3"/>
  <c r="M5" i="3" l="1"/>
  <c r="D5" i="3" l="1"/>
  <c r="E5" i="3"/>
  <c r="F5" i="3" l="1"/>
</calcChain>
</file>

<file path=xl/sharedStrings.xml><?xml version="1.0" encoding="utf-8"?>
<sst xmlns="http://schemas.openxmlformats.org/spreadsheetml/2006/main" count="467" uniqueCount="52">
  <si>
    <t>Date</t>
  </si>
  <si>
    <t>Price</t>
  </si>
  <si>
    <t>Investment Code</t>
  </si>
  <si>
    <t>PriceDenomination Code</t>
  </si>
  <si>
    <t>PriceList Code</t>
  </si>
  <si>
    <t>NEMO</t>
  </si>
  <si>
    <t>MON</t>
  </si>
  <si>
    <t>VAR</t>
  </si>
  <si>
    <t>PARIDAD NY</t>
  </si>
  <si>
    <t>PARIDAD LDN</t>
  </si>
  <si>
    <t>PARIDAD USD / EUR OBSERVADO</t>
  </si>
  <si>
    <t>ARS</t>
  </si>
  <si>
    <t>ARS MAE</t>
  </si>
  <si>
    <t>BL_DL_CCYALL_CLOSENY</t>
  </si>
  <si>
    <t>AUD</t>
  </si>
  <si>
    <t>USD</t>
  </si>
  <si>
    <t>CLF</t>
  </si>
  <si>
    <t>CLP</t>
  </si>
  <si>
    <t>EUR</t>
  </si>
  <si>
    <t>GBP</t>
  </si>
  <si>
    <t>NZD</t>
  </si>
  <si>
    <t>UI Curncy</t>
  </si>
  <si>
    <t>BRL</t>
  </si>
  <si>
    <t>CAD</t>
  </si>
  <si>
    <t>CHF</t>
  </si>
  <si>
    <t>CNY</t>
  </si>
  <si>
    <t>COP</t>
  </si>
  <si>
    <t>COP TRM</t>
  </si>
  <si>
    <t>CRC</t>
  </si>
  <si>
    <t>DKK</t>
  </si>
  <si>
    <t>DOP</t>
  </si>
  <si>
    <t>HKD</t>
  </si>
  <si>
    <t>HUF</t>
  </si>
  <si>
    <t>INR</t>
  </si>
  <si>
    <t>ISK</t>
  </si>
  <si>
    <t>JPY</t>
  </si>
  <si>
    <t>MXN</t>
  </si>
  <si>
    <t>NOK</t>
  </si>
  <si>
    <t>PEN</t>
  </si>
  <si>
    <t>PYG</t>
  </si>
  <si>
    <t>RUB</t>
  </si>
  <si>
    <t>SEK</t>
  </si>
  <si>
    <t>SGD</t>
  </si>
  <si>
    <t>THB</t>
  </si>
  <si>
    <t>TWD</t>
  </si>
  <si>
    <t>UDI</t>
  </si>
  <si>
    <t>USM</t>
  </si>
  <si>
    <t>UYU</t>
  </si>
  <si>
    <t>ZAR</t>
  </si>
  <si>
    <t>UVR Curncy</t>
  </si>
  <si>
    <t>BL_DL_CCYALL_CLOSELDN</t>
  </si>
  <si>
    <t>BL_DL_USDOBS_CLOSE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</si>
</sst>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7" formatCode="0.0000%"/>
    <numFmt numFmtId="168" formatCode="0.0000"/>
    <numFmt numFmtId="169" formatCode="_(* #,##0.00_);_(* \(#,##0.00\);_(* &quot;-&quot;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4B4B4B"/>
      <name val="Arial"/>
      <family val="2"/>
    </font>
    <font>
      <sz val="8"/>
      <name val="Arial"/>
      <family val="2"/>
    </font>
    <font>
      <b/>
      <sz val="10"/>
      <color theme="0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sz val="10"/>
      <color theme="1"/>
      <name val="Calibri"/>
      <family val="2"/>
      <scheme val="minor"/>
    </font>
    <font>
      <sz val="9"/>
      <name val="Trebuchet MS"/>
      <family val="2"/>
    </font>
    <font>
      <sz val="9"/>
      <color theme="1"/>
      <name val="Trebuchet MS"/>
      <family val="2"/>
    </font>
    <font>
      <sz val="9"/>
      <color theme="0"/>
      <name val="Trebuchet MS"/>
      <family val="2"/>
    </font>
    <font>
      <sz val="11"/>
      <color rgb="FF22546E"/>
      <name val="Trebuchet MS"/>
      <family val="2"/>
    </font>
    <font>
      <b/>
      <sz val="9"/>
      <color theme="1"/>
      <name val="Trebuchet MS"/>
      <family val="2"/>
    </font>
    <font>
      <b/>
      <sz val="9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6FAFB"/>
      </patternFill>
    </fill>
    <fill>
      <patternFill patternType="solid">
        <fgColor theme="0"/>
        <bgColor indexed="64"/>
      </patternFill>
    </fill>
    <fill>
      <patternFill patternType="solid">
        <fgColor rgb="FF988F60"/>
        <bgColor indexed="64"/>
      </patternFill>
    </fill>
    <fill>
      <patternFill patternType="solid">
        <fgColor rgb="FFDDDBD2"/>
        <bgColor indexed="64"/>
      </patternFill>
    </fill>
    <fill>
      <patternFill patternType="solid">
        <fgColor rgb="FFEFEEEA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/>
      <diagonal/>
    </border>
    <border>
      <left/>
      <right/>
      <top style="thin">
        <color rgb="FF988F60"/>
      </top>
      <bottom/>
      <diagonal/>
    </border>
    <border>
      <left/>
      <right style="dotted">
        <color rgb="FF988F60"/>
      </right>
      <top style="thin">
        <color rgb="FF988F60"/>
      </top>
      <bottom/>
      <diagonal/>
    </border>
    <border>
      <left style="dotted">
        <color rgb="FF988F60"/>
      </left>
      <right style="dotted">
        <color rgb="FF988F60"/>
      </right>
      <top style="thin">
        <color rgb="FF988F60"/>
      </top>
      <bottom/>
      <diagonal/>
    </border>
    <border>
      <left style="dotted">
        <color rgb="FF988F60"/>
      </left>
      <right/>
      <top style="thin">
        <color rgb="FF988F60"/>
      </top>
      <bottom/>
      <diagonal/>
    </border>
    <border>
      <left/>
      <right style="dotted">
        <color rgb="FF988F60"/>
      </right>
      <top/>
      <bottom/>
      <diagonal/>
    </border>
    <border>
      <left style="dotted">
        <color rgb="FF988F60"/>
      </left>
      <right style="dotted">
        <color rgb="FF988F60"/>
      </right>
      <top/>
      <bottom/>
      <diagonal/>
    </border>
    <border>
      <left style="dotted">
        <color rgb="FF988F6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14" fontId="4" fillId="4" borderId="4" xfId="2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5" fillId="0" borderId="0" xfId="0" applyFont="1"/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14" fontId="4" fillId="4" borderId="6" xfId="2" applyNumberFormat="1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5" borderId="8" xfId="0" applyFont="1" applyFill="1" applyBorder="1" applyAlignment="1">
      <alignment vertical="center"/>
    </xf>
    <xf numFmtId="169" fontId="8" fillId="5" borderId="9" xfId="3" applyNumberFormat="1" applyFont="1" applyFill="1" applyBorder="1" applyAlignment="1">
      <alignment horizontal="left" vertical="center"/>
    </xf>
    <xf numFmtId="168" fontId="8" fillId="5" borderId="9" xfId="3" applyNumberFormat="1" applyFont="1" applyFill="1" applyBorder="1" applyAlignment="1">
      <alignment horizontal="right" vertical="center"/>
    </xf>
    <xf numFmtId="168" fontId="8" fillId="5" borderId="9" xfId="1" applyNumberFormat="1" applyFont="1" applyFill="1" applyBorder="1" applyAlignment="1">
      <alignment horizontal="right" vertical="center"/>
    </xf>
    <xf numFmtId="167" fontId="9" fillId="0" borderId="0" xfId="1" applyNumberFormat="1" applyFont="1"/>
    <xf numFmtId="0" fontId="9" fillId="0" borderId="0" xfId="0" applyFont="1"/>
    <xf numFmtId="0" fontId="10" fillId="3" borderId="0" xfId="0" applyFont="1" applyFill="1"/>
    <xf numFmtId="0" fontId="8" fillId="6" borderId="8" xfId="0" applyFont="1" applyFill="1" applyBorder="1" applyAlignment="1">
      <alignment vertical="center"/>
    </xf>
    <xf numFmtId="169" fontId="8" fillId="6" borderId="9" xfId="3" applyNumberFormat="1" applyFont="1" applyFill="1" applyBorder="1" applyAlignment="1">
      <alignment horizontal="left" vertical="center"/>
    </xf>
    <xf numFmtId="168" fontId="8" fillId="6" borderId="9" xfId="1" applyNumberFormat="1" applyFont="1" applyFill="1" applyBorder="1" applyAlignment="1">
      <alignment horizontal="right" vertical="center"/>
    </xf>
    <xf numFmtId="10" fontId="8" fillId="6" borderId="10" xfId="1" applyNumberFormat="1" applyFont="1" applyFill="1" applyBorder="1" applyAlignment="1">
      <alignment horizontal="center" vertical="center"/>
    </xf>
    <xf numFmtId="10" fontId="4" fillId="4" borderId="7" xfId="0" applyNumberFormat="1" applyFont="1" applyFill="1" applyBorder="1" applyAlignment="1">
      <alignment horizontal="right" vertical="center"/>
    </xf>
    <xf numFmtId="10" fontId="8" fillId="5" borderId="10" xfId="1" applyNumberFormat="1" applyFont="1" applyFill="1" applyBorder="1" applyAlignment="1">
      <alignment horizontal="center" vertical="center"/>
    </xf>
    <xf numFmtId="10" fontId="5" fillId="0" borderId="0" xfId="0" applyNumberFormat="1" applyFont="1"/>
    <xf numFmtId="10" fontId="9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/>
    </xf>
    <xf numFmtId="0" fontId="12" fillId="6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/>
    </xf>
    <xf numFmtId="168" fontId="13" fillId="6" borderId="9" xfId="1" applyNumberFormat="1" applyFont="1" applyFill="1" applyBorder="1" applyAlignment="1">
      <alignment horizontal="right" vertical="center"/>
    </xf>
    <xf numFmtId="10" fontId="13" fillId="6" borderId="10" xfId="1" applyNumberFormat="1" applyFont="1" applyFill="1" applyBorder="1" applyAlignment="1">
      <alignment horizontal="center" vertical="center"/>
    </xf>
    <xf numFmtId="168" fontId="8" fillId="6" borderId="9" xfId="3" applyNumberFormat="1" applyFont="1" applyFill="1" applyBorder="1" applyAlignment="1">
      <alignment horizontal="right" vertical="center"/>
    </xf>
    <xf numFmtId="168" fontId="13" fillId="6" borderId="9" xfId="3" applyNumberFormat="1" applyFont="1" applyFill="1" applyBorder="1" applyAlignment="1">
      <alignment horizontal="right" vertical="center"/>
    </xf>
    <xf numFmtId="0" fontId="13" fillId="6" borderId="8" xfId="0" applyFont="1" applyFill="1" applyBorder="1" applyAlignment="1">
      <alignment vertical="center"/>
    </xf>
    <xf numFmtId="169" fontId="13" fillId="6" borderId="9" xfId="3" applyNumberFormat="1" applyFont="1" applyFill="1" applyBorder="1" applyAlignment="1">
      <alignment horizontal="left" vertical="center"/>
    </xf>
  </cellXfs>
  <cellStyles count="4">
    <cellStyle name="Millares" xfId="2" builtinId="3"/>
    <cellStyle name="Millares [0]" xfId="3" builtinId="6"/>
    <cellStyle name="Normal" xfId="0" builtinId="0"/>
    <cellStyle name="Porcentaje" xfId="1" builtinId="5"/>
  </cellStyles>
  <dxfs count="8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U45"/>
  <sheetViews>
    <sheetView showGridLines="0" tabSelected="1" topLeftCell="A4" zoomScale="80" zoomScaleNormal="80" workbookViewId="0">
      <selection activeCell="P6" sqref="P6"/>
    </sheetView>
  </sheetViews>
  <sheetFormatPr baseColWidth="10" defaultRowHeight="16.5" x14ac:dyDescent="0.3"/>
  <cols>
    <col min="1" max="1" width="15.7109375" bestFit="1" customWidth="1"/>
    <col min="2" max="2" width="11.7109375" style="34" customWidth="1"/>
    <col min="3" max="3" width="10.140625" style="35" customWidth="1"/>
    <col min="4" max="5" width="11.5703125" style="11" customWidth="1"/>
    <col min="6" max="6" width="8.5703125" style="30" customWidth="1"/>
    <col min="7" max="8" width="3.28515625" style="11" customWidth="1"/>
    <col min="9" max="9" width="6.42578125" style="34" customWidth="1"/>
    <col min="10" max="10" width="6" style="35" customWidth="1"/>
    <col min="11" max="12" width="11.5703125" style="11" customWidth="1"/>
    <col min="13" max="13" width="8.5703125" style="30" customWidth="1"/>
    <col min="14" max="14" width="5.85546875" style="11" customWidth="1"/>
    <col min="15" max="15" width="8.42578125" style="11" bestFit="1" customWidth="1"/>
    <col min="16" max="16" width="6.42578125" style="34" bestFit="1" customWidth="1"/>
    <col min="17" max="17" width="7.140625" style="35" bestFit="1" customWidth="1"/>
    <col min="18" max="19" width="11.5703125" style="11" bestFit="1" customWidth="1"/>
    <col min="20" max="20" width="8.5703125" style="30" customWidth="1"/>
  </cols>
  <sheetData>
    <row r="1" spans="2:21" x14ac:dyDescent="0.3">
      <c r="B1" s="32"/>
      <c r="C1" s="33"/>
      <c r="I1" s="11"/>
      <c r="J1" s="11"/>
      <c r="M1" s="11"/>
      <c r="P1" s="11"/>
      <c r="Q1" s="11"/>
      <c r="T1" s="11"/>
    </row>
    <row r="2" spans="2:21" x14ac:dyDescent="0.3">
      <c r="B2" s="36" t="s">
        <v>8</v>
      </c>
      <c r="C2" s="36"/>
      <c r="D2" s="36"/>
      <c r="E2" s="36"/>
      <c r="F2" s="36"/>
      <c r="I2" s="36" t="s">
        <v>9</v>
      </c>
      <c r="J2" s="36"/>
      <c r="K2" s="36"/>
      <c r="L2" s="36"/>
      <c r="M2" s="36"/>
      <c r="P2" s="36" t="s">
        <v>10</v>
      </c>
      <c r="Q2" s="36"/>
      <c r="R2" s="36"/>
      <c r="S2" s="36"/>
      <c r="T2" s="36"/>
    </row>
    <row r="3" spans="2:21" x14ac:dyDescent="0.3">
      <c r="B3" s="32"/>
      <c r="C3" s="11"/>
      <c r="I3" s="11"/>
      <c r="J3" s="11"/>
      <c r="M3" s="11"/>
      <c r="P3" s="11"/>
      <c r="Q3" s="11"/>
      <c r="T3" s="11"/>
    </row>
    <row r="4" spans="2:21" ht="15.75" x14ac:dyDescent="0.3">
      <c r="B4" s="12" t="s">
        <v>5</v>
      </c>
      <c r="C4" s="13" t="s">
        <v>6</v>
      </c>
      <c r="D4" s="14">
        <v>46233</v>
      </c>
      <c r="E4" s="14">
        <v>46234</v>
      </c>
      <c r="F4" s="28" t="s">
        <v>7</v>
      </c>
      <c r="G4" s="15"/>
      <c r="H4" s="15"/>
      <c r="I4" s="7" t="s">
        <v>5</v>
      </c>
      <c r="J4" s="8" t="s">
        <v>6</v>
      </c>
      <c r="K4" s="9">
        <v>46233</v>
      </c>
      <c r="L4" s="9">
        <v>46234</v>
      </c>
      <c r="M4" s="10" t="s">
        <v>7</v>
      </c>
      <c r="N4" s="15"/>
      <c r="O4" s="15"/>
      <c r="P4" s="7" t="s">
        <v>5</v>
      </c>
      <c r="Q4" s="8" t="s">
        <v>6</v>
      </c>
      <c r="R4" s="9">
        <v>46233</v>
      </c>
      <c r="S4" s="9">
        <v>46234</v>
      </c>
      <c r="T4" s="10" t="s">
        <v>7</v>
      </c>
      <c r="U4" s="16"/>
    </row>
    <row r="5" spans="2:21" x14ac:dyDescent="0.35">
      <c r="B5" s="17" t="s">
        <v>14</v>
      </c>
      <c r="C5" s="18" t="s">
        <v>15</v>
      </c>
      <c r="D5" s="20">
        <f>SUMIFS('Data Paridad NY'!B:B,'Data Paridad NY'!F:F,CONCATENATE(B5,C5),'Data Paridad NY'!A:A,$D$4)</f>
        <v>0.70269999999999999</v>
      </c>
      <c r="E5" s="20">
        <f>SUMIFS('Data Paridad NY'!B:B,'Data Paridad NY'!F:F,CONCATENATE(B5,C5),'Data Paridad NY'!A:A,$E$4)</f>
        <v>0.70189999999999997</v>
      </c>
      <c r="F5" s="29">
        <f>IF(+E5/D5-1=-1,0,+E5/D5-1)</f>
        <v>-1.1384659171765898E-3</v>
      </c>
      <c r="G5" s="21"/>
      <c r="H5" s="21"/>
      <c r="I5" s="17" t="s">
        <v>18</v>
      </c>
      <c r="J5" s="18" t="s">
        <v>15</v>
      </c>
      <c r="K5" s="19">
        <f>SUMIFS('Data Paridad LDN'!B:B,'Data Paridad LDN'!F:F,_xlfn.CONCAT(I5,J5),'Data Paridad LDN'!A:A,$K$4)</f>
        <v>1.1503509000000001</v>
      </c>
      <c r="L5" s="19">
        <f>SUMIFS('Data Paridad LDN'!B:B,'Data Paridad LDN'!F:F,_xlfn.CONCAT(I5,J5),'Data Paridad LDN'!A:A,$L$4)</f>
        <v>1.1505494000000001</v>
      </c>
      <c r="M5" s="29">
        <f>IF(+L5/K5-1=-1,0,+L5/K5-1)</f>
        <v>1.7255604355148613E-4</v>
      </c>
      <c r="N5" s="22"/>
      <c r="O5" s="23" t="str">
        <f>CONCATENATE(P5,Q5)</f>
        <v>EURCLP</v>
      </c>
      <c r="P5" s="17" t="s">
        <v>18</v>
      </c>
      <c r="Q5" s="18" t="s">
        <v>17</v>
      </c>
      <c r="R5" s="19">
        <f>SUMIFS('Data EUR|USD OBS'!B:B,'Data EUR|USD OBS'!F:F,_xlfn.CONCAT(P5,Q5),'Data EUR|USD OBS'!A:A,$R$4)</f>
        <v>1066.4000000000001</v>
      </c>
      <c r="S5" s="20">
        <f>SUMIFS('Data EUR|USD OBS'!B:B,'Data EUR|USD OBS'!F:F,_xlfn.CONCAT(P5,Q5),'Data EUR|USD OBS'!A:A,$S$4)</f>
        <v>1070.3499999999999</v>
      </c>
      <c r="T5" s="29">
        <f>IF(+S5/R5-1=-1,0,+S5/R5-1)</f>
        <v>3.7040510127530624E-3</v>
      </c>
      <c r="U5" s="16"/>
    </row>
    <row r="6" spans="2:21" x14ac:dyDescent="0.35">
      <c r="B6" s="24" t="s">
        <v>16</v>
      </c>
      <c r="C6" s="25" t="s">
        <v>17</v>
      </c>
      <c r="D6" s="26">
        <f>SUMIFS('Data Paridad NY'!B:B,'Data Paridad NY'!F:F,CONCATENATE(B6,C6),'Data Paridad NY'!A:A,$D$4)</f>
        <v>40844.79</v>
      </c>
      <c r="E6" s="26">
        <f>SUMIFS('Data Paridad NY'!B:B,'Data Paridad NY'!F:F,CONCATENATE(B6,C6),'Data Paridad NY'!A:A,$E$4)</f>
        <v>40844.79</v>
      </c>
      <c r="F6" s="27">
        <f t="shared" ref="F6:F45" si="0">IF(+E6/D6-1=-1,0,+E6/D6-1)</f>
        <v>0</v>
      </c>
      <c r="G6" s="21"/>
      <c r="H6" s="21"/>
      <c r="I6" s="24" t="s">
        <v>15</v>
      </c>
      <c r="J6" s="25" t="s">
        <v>22</v>
      </c>
      <c r="K6" s="45">
        <f>SUMIFS('Data Paridad LDN'!B:B,'Data Paridad LDN'!F:F,_xlfn.CONCAT(I6,J6),'Data Paridad LDN'!A:A,$K$4)</f>
        <v>5.0692500000000003</v>
      </c>
      <c r="L6" s="45">
        <f>SUMIFS('Data Paridad LDN'!B:B,'Data Paridad LDN'!F:F,_xlfn.CONCAT(I6,J6),'Data Paridad LDN'!A:A,$L$4)</f>
        <v>5.0806500000000003</v>
      </c>
      <c r="M6" s="27">
        <f t="shared" ref="M6:M16" si="1">IF(+L6/K6-1=-1,0,+L6/K6-1)</f>
        <v>2.2488533806777067E-3</v>
      </c>
      <c r="N6" s="22"/>
      <c r="O6" s="22"/>
      <c r="P6" s="47" t="s">
        <v>15</v>
      </c>
      <c r="Q6" s="48" t="s">
        <v>17</v>
      </c>
      <c r="R6" s="46">
        <f>SUMIFS('Data EUR|USD OBS'!B:B,'Data EUR|USD OBS'!F:F,_xlfn.CONCAT(P6,Q6),'Data EUR|USD OBS'!A:A,$R$4)</f>
        <v>924.78</v>
      </c>
      <c r="S6" s="43">
        <f>SUMIFS('Data EUR|USD OBS'!B:B,'Data EUR|USD OBS'!F:F,_xlfn.CONCAT(P6,Q6),'Data EUR|USD OBS'!A:A,$S$4)</f>
        <v>928.42</v>
      </c>
      <c r="T6" s="44">
        <f t="shared" ref="T6" si="2">IF(+S6/R6-1=-1,0,+S6/R6-1)</f>
        <v>3.9360712818183874E-3</v>
      </c>
      <c r="U6" s="16"/>
    </row>
    <row r="7" spans="2:21" x14ac:dyDescent="0.35">
      <c r="B7" s="37" t="s">
        <v>16</v>
      </c>
      <c r="C7" s="38" t="s">
        <v>15</v>
      </c>
      <c r="D7" s="20">
        <f>SUMIFS('Data Paridad NY'!B:B,'Data Paridad NY'!F:F,CONCATENATE(B7,C7),'Data Paridad NY'!A:A,$D$4)</f>
        <v>44.167034319999999</v>
      </c>
      <c r="E7" s="20">
        <f>SUMIFS('Data Paridad NY'!B:B,'Data Paridad NY'!F:F,CONCATENATE(B7,C7),'Data Paridad NY'!A:A,$E$4)</f>
        <v>43.993871310000003</v>
      </c>
      <c r="F7" s="29">
        <f t="shared" si="0"/>
        <v>-3.9206392882390473E-3</v>
      </c>
      <c r="G7" s="21"/>
      <c r="H7" s="21"/>
      <c r="I7" s="37" t="s">
        <v>15</v>
      </c>
      <c r="J7" s="38" t="s">
        <v>23</v>
      </c>
      <c r="K7" s="19">
        <f>SUMIFS('Data Paridad LDN'!B:B,'Data Paridad LDN'!F:F,_xlfn.CONCAT(I7,J7),'Data Paridad LDN'!A:A,$K$4)</f>
        <v>1.4016500000000001</v>
      </c>
      <c r="L7" s="19">
        <f>SUMIFS('Data Paridad LDN'!B:B,'Data Paridad LDN'!F:F,_xlfn.CONCAT(I7,J7),'Data Paridad LDN'!A:A,$L$4)</f>
        <v>1.4028499999999999</v>
      </c>
      <c r="M7" s="29">
        <f t="shared" si="1"/>
        <v>8.5613384225724509E-4</v>
      </c>
      <c r="N7" s="22"/>
      <c r="O7" s="22"/>
      <c r="R7" s="22"/>
      <c r="S7" s="22"/>
      <c r="T7" s="31"/>
      <c r="U7" s="16"/>
    </row>
    <row r="8" spans="2:21" x14ac:dyDescent="0.35">
      <c r="B8" s="39" t="s">
        <v>18</v>
      </c>
      <c r="C8" s="40" t="s">
        <v>15</v>
      </c>
      <c r="D8" s="26">
        <f>SUMIFS('Data Paridad NY'!B:B,'Data Paridad NY'!F:F,CONCATENATE(B8,C8),'Data Paridad NY'!A:A,$D$4)</f>
        <v>1.1527000000000001</v>
      </c>
      <c r="E8" s="26">
        <f>SUMIFS('Data Paridad NY'!B:B,'Data Paridad NY'!F:F,CONCATENATE(B8,C8),'Data Paridad NY'!A:A,$E$4)</f>
        <v>1.1527000000000001</v>
      </c>
      <c r="F8" s="27">
        <f t="shared" si="0"/>
        <v>0</v>
      </c>
      <c r="G8" s="21"/>
      <c r="H8" s="21"/>
      <c r="I8" s="41" t="s">
        <v>15</v>
      </c>
      <c r="J8" s="42" t="s">
        <v>17</v>
      </c>
      <c r="K8" s="46">
        <f>SUMIFS('Data Paridad LDN'!B:B,'Data Paridad LDN'!F:F,_xlfn.CONCAT(I8,J8),'Data Paridad LDN'!A:A,$K$4)</f>
        <v>924.375</v>
      </c>
      <c r="L8" s="46">
        <f>SUMIFS('Data Paridad LDN'!B:B,'Data Paridad LDN'!F:F,_xlfn.CONCAT(I8,J8),'Data Paridad LDN'!A:A,$L$4)</f>
        <v>928.47500000000002</v>
      </c>
      <c r="M8" s="44">
        <f t="shared" si="1"/>
        <v>4.4354293441515313E-3</v>
      </c>
      <c r="N8" s="22"/>
      <c r="O8" s="22"/>
      <c r="R8" s="22"/>
      <c r="S8" s="22"/>
      <c r="T8" s="31"/>
      <c r="U8" s="16"/>
    </row>
    <row r="9" spans="2:21" x14ac:dyDescent="0.35">
      <c r="B9" s="37" t="s">
        <v>19</v>
      </c>
      <c r="C9" s="38" t="s">
        <v>15</v>
      </c>
      <c r="D9" s="20">
        <f>SUMIFS('Data Paridad NY'!B:B,'Data Paridad NY'!F:F,CONCATENATE(B9,C9),'Data Paridad NY'!A:A,$D$4)</f>
        <v>1.3464</v>
      </c>
      <c r="E9" s="20">
        <f>SUMIFS('Data Paridad NY'!B:B,'Data Paridad NY'!F:F,CONCATENATE(B9,C9),'Data Paridad NY'!A:A,$E$4)</f>
        <v>1.3483000000000001</v>
      </c>
      <c r="F9" s="29">
        <f t="shared" si="0"/>
        <v>1.4111705288175624E-3</v>
      </c>
      <c r="G9" s="21"/>
      <c r="H9" s="21"/>
      <c r="I9" s="37" t="s">
        <v>15</v>
      </c>
      <c r="J9" s="38" t="s">
        <v>36</v>
      </c>
      <c r="K9" s="19">
        <f>SUMIFS('Data Paridad LDN'!B:B,'Data Paridad LDN'!F:F,_xlfn.CONCAT(I9,J9),'Data Paridad LDN'!A:A,$K$4)</f>
        <v>17.356999999999999</v>
      </c>
      <c r="L9" s="19">
        <f>SUMIFS('Data Paridad LDN'!B:B,'Data Paridad LDN'!F:F,_xlfn.CONCAT(I9,J9),'Data Paridad LDN'!A:A,$L$4)</f>
        <v>17.3504</v>
      </c>
      <c r="M9" s="29">
        <f t="shared" si="1"/>
        <v>-3.8025004321018407E-4</v>
      </c>
      <c r="N9" s="22"/>
      <c r="O9" s="22"/>
      <c r="R9" s="22"/>
      <c r="S9" s="22"/>
      <c r="T9" s="31"/>
      <c r="U9" s="16"/>
    </row>
    <row r="10" spans="2:21" x14ac:dyDescent="0.35">
      <c r="B10" s="39" t="s">
        <v>20</v>
      </c>
      <c r="C10" s="40" t="s">
        <v>15</v>
      </c>
      <c r="D10" s="26">
        <f>SUMIFS('Data Paridad NY'!B:B,'Data Paridad NY'!F:F,CONCATENATE(B10,C10),'Data Paridad NY'!A:A,$D$4)</f>
        <v>0.58779999999999999</v>
      </c>
      <c r="E10" s="26">
        <f>SUMIFS('Data Paridad NY'!B:B,'Data Paridad NY'!F:F,CONCATENATE(B10,C10),'Data Paridad NY'!A:A,$E$4)</f>
        <v>0.58789999999999998</v>
      </c>
      <c r="F10" s="27">
        <f t="shared" si="0"/>
        <v>1.7012589316101057E-4</v>
      </c>
      <c r="G10" s="21"/>
      <c r="H10" s="21"/>
      <c r="I10" s="39" t="s">
        <v>15</v>
      </c>
      <c r="J10" s="40" t="s">
        <v>38</v>
      </c>
      <c r="K10" s="45">
        <f>SUMIFS('Data Paridad LDN'!B:B,'Data Paridad LDN'!F:F,_xlfn.CONCAT(I10,J10),'Data Paridad LDN'!A:A,$K$4)</f>
        <v>3.3866000000000001</v>
      </c>
      <c r="L10" s="45">
        <f>SUMIFS('Data Paridad LDN'!B:B,'Data Paridad LDN'!F:F,_xlfn.CONCAT(I10,J10),'Data Paridad LDN'!A:A,$L$4)</f>
        <v>3.3972000000000002</v>
      </c>
      <c r="M10" s="27">
        <f t="shared" si="1"/>
        <v>3.1299828736786051E-3</v>
      </c>
      <c r="N10" s="22"/>
      <c r="O10" s="22"/>
      <c r="R10" s="22"/>
      <c r="S10" s="22"/>
      <c r="T10" s="31"/>
      <c r="U10" s="16"/>
    </row>
    <row r="11" spans="2:21" x14ac:dyDescent="0.35">
      <c r="B11" s="37" t="s">
        <v>15</v>
      </c>
      <c r="C11" s="38" t="s">
        <v>22</v>
      </c>
      <c r="D11" s="20">
        <f>SUMIFS('Data Paridad NY'!B:B,'Data Paridad NY'!F:F,CONCATENATE(B11,C11),'Data Paridad NY'!A:A,$D$4)</f>
        <v>5.0587</v>
      </c>
      <c r="E11" s="20">
        <f>SUMIFS('Data Paridad NY'!B:B,'Data Paridad NY'!F:F,CONCATENATE(B11,C11),'Data Paridad NY'!A:A,$E$4)</f>
        <v>5.0728999999999997</v>
      </c>
      <c r="F11" s="29">
        <f t="shared" si="0"/>
        <v>2.807045288315102E-3</v>
      </c>
      <c r="G11" s="21"/>
      <c r="H11" s="21"/>
      <c r="I11" s="37" t="s">
        <v>15</v>
      </c>
      <c r="J11" s="38" t="s">
        <v>11</v>
      </c>
      <c r="K11" s="19">
        <f>SUMIFS('Data Paridad LDN'!B:B,'Data Paridad LDN'!F:F,_xlfn.CONCAT(I11,J11),'Data Paridad LDN'!A:A,$K$4)</f>
        <v>1492.0101500000001</v>
      </c>
      <c r="L11" s="19">
        <f>SUMIFS('Data Paridad LDN'!B:B,'Data Paridad LDN'!F:F,_xlfn.CONCAT(I11,J11),'Data Paridad LDN'!A:A,$L$4)</f>
        <v>1577.5941230000001</v>
      </c>
      <c r="M11" s="29">
        <f t="shared" si="1"/>
        <v>5.7361521970879403E-2</v>
      </c>
      <c r="N11" s="22"/>
      <c r="O11" s="22"/>
      <c r="R11" s="22"/>
      <c r="S11" s="22"/>
      <c r="T11" s="31"/>
      <c r="U11" s="16"/>
    </row>
    <row r="12" spans="2:21" x14ac:dyDescent="0.35">
      <c r="B12" s="39" t="s">
        <v>15</v>
      </c>
      <c r="C12" s="40" t="s">
        <v>23</v>
      </c>
      <c r="D12" s="26">
        <f>SUMIFS('Data Paridad NY'!B:B,'Data Paridad NY'!F:F,CONCATENATE(B12,C12),'Data Paridad NY'!A:A,$D$4)</f>
        <v>1.4007000000000001</v>
      </c>
      <c r="E12" s="26">
        <f>SUMIFS('Data Paridad NY'!B:B,'Data Paridad NY'!F:F,CONCATENATE(B12,C12),'Data Paridad NY'!A:A,$E$4)</f>
        <v>1.4020999999999999</v>
      </c>
      <c r="F12" s="27">
        <f t="shared" si="0"/>
        <v>9.9950024987505159E-4</v>
      </c>
      <c r="G12" s="21"/>
      <c r="H12" s="21"/>
      <c r="I12" s="39" t="s">
        <v>15</v>
      </c>
      <c r="J12" s="40" t="s">
        <v>26</v>
      </c>
      <c r="K12" s="45">
        <f>SUMIFS('Data Paridad LDN'!B:B,'Data Paridad LDN'!F:F,_xlfn.CONCAT(I12,J12),'Data Paridad LDN'!A:A,$K$4)</f>
        <v>3138.45</v>
      </c>
      <c r="L12" s="45">
        <f>SUMIFS('Data Paridad LDN'!B:B,'Data Paridad LDN'!F:F,_xlfn.CONCAT(I12,J12),'Data Paridad LDN'!A:A,$L$4)</f>
        <v>3146.59</v>
      </c>
      <c r="M12" s="27">
        <f t="shared" si="1"/>
        <v>2.5936369864105746E-3</v>
      </c>
      <c r="N12" s="22"/>
      <c r="O12" s="22"/>
      <c r="R12" s="22"/>
      <c r="S12" s="22"/>
      <c r="T12" s="31"/>
      <c r="U12" s="16"/>
    </row>
    <row r="13" spans="2:21" x14ac:dyDescent="0.35">
      <c r="B13" s="37" t="s">
        <v>15</v>
      </c>
      <c r="C13" s="38" t="s">
        <v>24</v>
      </c>
      <c r="D13" s="20">
        <f>SUMIFS('Data Paridad NY'!B:B,'Data Paridad NY'!F:F,CONCATENATE(B13,C13),'Data Paridad NY'!A:A,$D$4)</f>
        <v>0.80549999999999999</v>
      </c>
      <c r="E13" s="20">
        <f>SUMIFS('Data Paridad NY'!B:B,'Data Paridad NY'!F:F,CONCATENATE(B13,C13),'Data Paridad NY'!A:A,$E$4)</f>
        <v>0.8075</v>
      </c>
      <c r="F13" s="29">
        <f t="shared" si="0"/>
        <v>2.4829298572315306E-3</v>
      </c>
      <c r="G13" s="21"/>
      <c r="H13" s="21"/>
      <c r="I13" s="37" t="s">
        <v>15</v>
      </c>
      <c r="J13" s="38" t="s">
        <v>37</v>
      </c>
      <c r="K13" s="19">
        <f>SUMIFS('Data Paridad LDN'!B:B,'Data Paridad LDN'!F:F,_xlfn.CONCAT(I13,J13),'Data Paridad LDN'!A:A,$K$4)</f>
        <v>9.5644500000000008</v>
      </c>
      <c r="L13" s="19">
        <f>SUMIFS('Data Paridad LDN'!B:B,'Data Paridad LDN'!F:F,_xlfn.CONCAT(I13,J13),'Data Paridad LDN'!A:A,$L$4)</f>
        <v>9.4841999999999995</v>
      </c>
      <c r="M13" s="29">
        <f t="shared" si="1"/>
        <v>-8.3904458698619289E-3</v>
      </c>
      <c r="N13" s="22"/>
      <c r="O13" s="22"/>
      <c r="R13" s="22"/>
      <c r="S13" s="22"/>
      <c r="T13" s="31"/>
      <c r="U13" s="16"/>
    </row>
    <row r="14" spans="2:21" x14ac:dyDescent="0.35">
      <c r="B14" s="41" t="s">
        <v>15</v>
      </c>
      <c r="C14" s="42" t="s">
        <v>17</v>
      </c>
      <c r="D14" s="43">
        <f>SUMIFS('Data Paridad NY'!B:B,'Data Paridad NY'!F:F,CONCATENATE(B14,C14),'Data Paridad NY'!A:A,$D$4)</f>
        <v>925.57</v>
      </c>
      <c r="E14" s="43">
        <f>SUMIFS('Data Paridad NY'!B:B,'Data Paridad NY'!F:F,CONCATENATE(B14,C14),'Data Paridad NY'!A:A,$E$4)</f>
        <v>930.86</v>
      </c>
      <c r="F14" s="44">
        <f t="shared" si="0"/>
        <v>5.7153969986061259E-3</v>
      </c>
      <c r="G14" s="21"/>
      <c r="H14" s="21"/>
      <c r="I14" s="39" t="s">
        <v>15</v>
      </c>
      <c r="J14" s="40" t="s">
        <v>46</v>
      </c>
      <c r="K14" s="45">
        <f>SUMIFS('Data Paridad LDN'!B:B,'Data Paridad LDN'!F:F,_xlfn.CONCAT(I14,J14),'Data Paridad LDN'!A:A,$K$4)</f>
        <v>1</v>
      </c>
      <c r="L14" s="45">
        <f>SUMIFS('Data Paridad LDN'!B:B,'Data Paridad LDN'!F:F,_xlfn.CONCAT(I14,J14),'Data Paridad LDN'!A:A,$L$4)</f>
        <v>1</v>
      </c>
      <c r="M14" s="27">
        <f t="shared" si="1"/>
        <v>0</v>
      </c>
      <c r="N14" s="22"/>
      <c r="O14" s="22"/>
      <c r="R14" s="22"/>
      <c r="S14" s="22"/>
      <c r="T14" s="31"/>
      <c r="U14" s="16"/>
    </row>
    <row r="15" spans="2:21" x14ac:dyDescent="0.35">
      <c r="B15" s="37" t="s">
        <v>15</v>
      </c>
      <c r="C15" s="38" t="s">
        <v>26</v>
      </c>
      <c r="D15" s="20">
        <f>SUMIFS('Data Paridad NY'!B:B,'Data Paridad NY'!F:F,CONCATENATE(B15,C15),'Data Paridad NY'!A:A,$D$4)</f>
        <v>3116.68</v>
      </c>
      <c r="E15" s="20">
        <f>SUMIFS('Data Paridad NY'!B:B,'Data Paridad NY'!F:F,CONCATENATE(B15,C15),'Data Paridad NY'!A:A,$E$4)</f>
        <v>3152.58</v>
      </c>
      <c r="F15" s="29">
        <f t="shared" si="0"/>
        <v>1.1518667299819096E-2</v>
      </c>
      <c r="G15" s="21"/>
      <c r="H15" s="21"/>
      <c r="I15" s="37" t="s">
        <v>46</v>
      </c>
      <c r="J15" s="38" t="s">
        <v>11</v>
      </c>
      <c r="K15" s="19">
        <f>SUMIFS('Data Paridad LDN'!B:B,'Data Paridad LDN'!F:F,_xlfn.CONCAT(I15,J15),'Data Paridad LDN'!A:A,$K$4)</f>
        <v>1507.895671</v>
      </c>
      <c r="L15" s="19">
        <f>SUMIFS('Data Paridad LDN'!B:B,'Data Paridad LDN'!F:F,_xlfn.CONCAT(I15,J15),'Data Paridad LDN'!A:A,$L$4)</f>
        <v>1517.6678449999999</v>
      </c>
      <c r="M15" s="29">
        <f t="shared" si="1"/>
        <v>6.4806698420449838E-3</v>
      </c>
      <c r="N15" s="22"/>
      <c r="O15" s="22"/>
      <c r="R15" s="22"/>
      <c r="S15" s="22"/>
      <c r="T15" s="31"/>
      <c r="U15" s="16"/>
    </row>
    <row r="16" spans="2:21" x14ac:dyDescent="0.35">
      <c r="B16" s="39" t="s">
        <v>15</v>
      </c>
      <c r="C16" s="40" t="s">
        <v>28</v>
      </c>
      <c r="D16" s="26">
        <f>SUMIFS('Data Paridad NY'!B:B,'Data Paridad NY'!F:F,CONCATENATE(B16,C16),'Data Paridad NY'!A:A,$D$4)</f>
        <v>451.25</v>
      </c>
      <c r="E16" s="26">
        <f>SUMIFS('Data Paridad NY'!B:B,'Data Paridad NY'!F:F,CONCATENATE(B16,C16),'Data Paridad NY'!A:A,$E$4)</f>
        <v>450.85</v>
      </c>
      <c r="F16" s="27">
        <f t="shared" si="0"/>
        <v>-8.8642659279769553E-4</v>
      </c>
      <c r="G16" s="21"/>
      <c r="H16" s="21"/>
      <c r="I16" s="39" t="s">
        <v>19</v>
      </c>
      <c r="J16" s="40" t="s">
        <v>15</v>
      </c>
      <c r="K16" s="45">
        <f>SUMIFS('Data Paridad LDN'!B:B,'Data Paridad LDN'!F:F,_xlfn.CONCAT(I16,J16),'Data Paridad LDN'!A:A,$K$4)</f>
        <v>1.3427505</v>
      </c>
      <c r="L16" s="45">
        <f>SUMIFS('Data Paridad LDN'!B:B,'Data Paridad LDN'!F:F,_xlfn.CONCAT(I16,J16),'Data Paridad LDN'!A:A,$L$4)</f>
        <v>1.3457501000000001</v>
      </c>
      <c r="M16" s="27">
        <f t="shared" si="1"/>
        <v>2.2339220875360333E-3</v>
      </c>
      <c r="N16" s="22"/>
      <c r="O16" s="22"/>
      <c r="R16" s="22"/>
      <c r="S16" s="22"/>
      <c r="T16" s="31"/>
      <c r="U16" s="16"/>
    </row>
    <row r="17" spans="2:21" x14ac:dyDescent="0.35">
      <c r="B17" s="37" t="s">
        <v>15</v>
      </c>
      <c r="C17" s="38" t="s">
        <v>35</v>
      </c>
      <c r="D17" s="20">
        <f>SUMIFS('Data Paridad NY'!B:B,'Data Paridad NY'!F:F,CONCATENATE(B17,C17),'Data Paridad NY'!A:A,$D$4)</f>
        <v>159.74</v>
      </c>
      <c r="E17" s="20">
        <f>SUMIFS('Data Paridad NY'!B:B,'Data Paridad NY'!F:F,CONCATENATE(B17,C17),'Data Paridad NY'!A:A,$E$4)</f>
        <v>157.4</v>
      </c>
      <c r="F17" s="29">
        <f t="shared" si="0"/>
        <v>-1.4648804306998886E-2</v>
      </c>
      <c r="G17" s="21"/>
      <c r="H17" s="22"/>
      <c r="K17" s="22"/>
      <c r="L17" s="22"/>
      <c r="M17" s="31"/>
      <c r="N17" s="22"/>
      <c r="O17" s="22"/>
      <c r="R17" s="22"/>
      <c r="S17" s="22"/>
      <c r="T17" s="31"/>
      <c r="U17" s="16"/>
    </row>
    <row r="18" spans="2:21" x14ac:dyDescent="0.35">
      <c r="B18" s="39" t="s">
        <v>15</v>
      </c>
      <c r="C18" s="40" t="s">
        <v>36</v>
      </c>
      <c r="D18" s="26">
        <f>SUMIFS('Data Paridad NY'!B:B,'Data Paridad NY'!F:F,CONCATENATE(B18,C18),'Data Paridad NY'!A:A,$D$4)</f>
        <v>17.347799999999999</v>
      </c>
      <c r="E18" s="26">
        <f>SUMIFS('Data Paridad NY'!B:B,'Data Paridad NY'!F:F,CONCATENATE(B18,C18),'Data Paridad NY'!A:A,$E$4)</f>
        <v>17.342600000000001</v>
      </c>
      <c r="F18" s="27">
        <f t="shared" si="0"/>
        <v>-2.9974982418512486E-4</v>
      </c>
      <c r="G18" s="21"/>
      <c r="H18" s="22"/>
      <c r="K18" s="22"/>
      <c r="L18" s="22"/>
      <c r="M18" s="31"/>
      <c r="N18" s="22"/>
      <c r="O18" s="22"/>
      <c r="R18" s="22"/>
      <c r="S18" s="22"/>
      <c r="T18" s="31"/>
      <c r="U18" s="16"/>
    </row>
    <row r="19" spans="2:21" x14ac:dyDescent="0.35">
      <c r="B19" s="37" t="s">
        <v>15</v>
      </c>
      <c r="C19" s="38" t="s">
        <v>37</v>
      </c>
      <c r="D19" s="20">
        <f>SUMIFS('Data Paridad NY'!B:B,'Data Paridad NY'!F:F,CONCATENATE(B19,C19),'Data Paridad NY'!A:A,$D$4)</f>
        <v>9.5248000000000008</v>
      </c>
      <c r="E19" s="20">
        <f>SUMIFS('Data Paridad NY'!B:B,'Data Paridad NY'!F:F,CONCATENATE(B19,C19),'Data Paridad NY'!A:A,$E$4)</f>
        <v>9.4756</v>
      </c>
      <c r="F19" s="29">
        <f t="shared" si="0"/>
        <v>-5.1654627918696905E-3</v>
      </c>
      <c r="G19" s="21"/>
      <c r="H19" s="22"/>
      <c r="K19" s="22"/>
      <c r="L19" s="22"/>
      <c r="M19" s="31"/>
      <c r="N19" s="22"/>
      <c r="O19" s="22"/>
      <c r="R19" s="22"/>
      <c r="S19" s="22"/>
      <c r="T19" s="31"/>
      <c r="U19" s="16"/>
    </row>
    <row r="20" spans="2:21" x14ac:dyDescent="0.35">
      <c r="B20" s="39" t="s">
        <v>15</v>
      </c>
      <c r="C20" s="40" t="s">
        <v>38</v>
      </c>
      <c r="D20" s="26">
        <f>SUMIFS('Data Paridad NY'!B:B,'Data Paridad NY'!F:F,CONCATENATE(B20,C20),'Data Paridad NY'!A:A,$D$4)</f>
        <v>3.395</v>
      </c>
      <c r="E20" s="26">
        <f>SUMIFS('Data Paridad NY'!B:B,'Data Paridad NY'!F:F,CONCATENATE(B20,C20),'Data Paridad NY'!A:A,$E$4)</f>
        <v>3.3984999999999999</v>
      </c>
      <c r="F20" s="27">
        <f t="shared" si="0"/>
        <v>1.0309278350515427E-3</v>
      </c>
      <c r="G20" s="21"/>
      <c r="H20" s="22"/>
      <c r="K20" s="22"/>
      <c r="L20" s="22"/>
      <c r="M20" s="31"/>
      <c r="N20" s="22"/>
      <c r="O20" s="22"/>
      <c r="R20" s="22"/>
      <c r="S20" s="22"/>
      <c r="T20" s="31"/>
      <c r="U20" s="16"/>
    </row>
    <row r="21" spans="2:21" x14ac:dyDescent="0.35">
      <c r="B21" s="37" t="s">
        <v>15</v>
      </c>
      <c r="C21" s="38" t="s">
        <v>45</v>
      </c>
      <c r="D21" s="20">
        <f>SUMIFS('Data Paridad NY'!B:B,'Data Paridad NY'!F:F,CONCATENATE(B21,C21),'Data Paridad NY'!A:A,$D$4)</f>
        <v>2.0091000000000001</v>
      </c>
      <c r="E21" s="20">
        <f>SUMIFS('Data Paridad NY'!B:B,'Data Paridad NY'!F:F,CONCATENATE(B21,C21),'Data Paridad NY'!A:A,$E$4)</f>
        <v>2.0066000000000002</v>
      </c>
      <c r="F21" s="29">
        <f t="shared" si="0"/>
        <v>-1.2443382609128584E-3</v>
      </c>
      <c r="G21" s="21"/>
      <c r="H21" s="22"/>
      <c r="K21" s="22"/>
      <c r="L21" s="22"/>
      <c r="M21" s="31"/>
      <c r="N21" s="22"/>
      <c r="O21" s="22"/>
      <c r="R21" s="22"/>
      <c r="S21" s="22"/>
      <c r="T21" s="31"/>
      <c r="U21" s="16"/>
    </row>
    <row r="22" spans="2:21" x14ac:dyDescent="0.35">
      <c r="B22" s="39" t="s">
        <v>15</v>
      </c>
      <c r="C22" s="40" t="s">
        <v>31</v>
      </c>
      <c r="D22" s="26">
        <f>SUMIFS('Data Paridad NY'!B:B,'Data Paridad NY'!F:F,CONCATENATE(B22,C22),'Data Paridad NY'!A:A,$D$4)</f>
        <v>7.8430999999999997</v>
      </c>
      <c r="E22" s="26">
        <f>SUMIFS('Data Paridad NY'!B:B,'Data Paridad NY'!F:F,CONCATENATE(B22,C22),'Data Paridad NY'!A:A,$E$4)</f>
        <v>7.8422000000000001</v>
      </c>
      <c r="F22" s="27">
        <f t="shared" si="0"/>
        <v>-1.1475054506504545E-4</v>
      </c>
      <c r="G22" s="21"/>
      <c r="H22" s="22"/>
      <c r="K22" s="22"/>
      <c r="L22" s="22"/>
      <c r="M22" s="31"/>
      <c r="N22" s="22"/>
      <c r="O22" s="22"/>
      <c r="R22" s="22"/>
      <c r="S22" s="22"/>
      <c r="T22" s="31"/>
      <c r="U22" s="16"/>
    </row>
    <row r="23" spans="2:21" x14ac:dyDescent="0.35">
      <c r="B23" s="37" t="s">
        <v>15</v>
      </c>
      <c r="C23" s="38" t="s">
        <v>48</v>
      </c>
      <c r="D23" s="20">
        <f>SUMIFS('Data Paridad NY'!B:B,'Data Paridad NY'!F:F,CONCATENATE(B23,C23),'Data Paridad NY'!A:A,$D$4)</f>
        <v>16.501200000000001</v>
      </c>
      <c r="E23" s="20">
        <f>SUMIFS('Data Paridad NY'!B:B,'Data Paridad NY'!F:F,CONCATENATE(B23,C23),'Data Paridad NY'!A:A,$E$4)</f>
        <v>16.529499999999999</v>
      </c>
      <c r="F23" s="29">
        <f t="shared" si="0"/>
        <v>1.7150267859304957E-3</v>
      </c>
      <c r="G23" s="21"/>
      <c r="H23" s="22"/>
      <c r="K23" s="22"/>
      <c r="L23" s="22"/>
      <c r="M23" s="31"/>
      <c r="N23" s="22"/>
      <c r="O23" s="22"/>
      <c r="R23" s="22"/>
      <c r="S23" s="22"/>
      <c r="T23" s="31"/>
      <c r="U23" s="16"/>
    </row>
    <row r="24" spans="2:21" x14ac:dyDescent="0.35">
      <c r="B24" s="39" t="s">
        <v>15</v>
      </c>
      <c r="C24" s="40" t="s">
        <v>30</v>
      </c>
      <c r="D24" s="26">
        <f>SUMIFS('Data Paridad NY'!B:B,'Data Paridad NY'!F:F,CONCATENATE(B24,C24),'Data Paridad NY'!A:A,$D$4)</f>
        <v>58.325000000000003</v>
      </c>
      <c r="E24" s="26">
        <f>SUMIFS('Data Paridad NY'!B:B,'Data Paridad NY'!F:F,CONCATENATE(B24,C24),'Data Paridad NY'!A:A,$E$4)</f>
        <v>58.241</v>
      </c>
      <c r="F24" s="27">
        <f t="shared" si="0"/>
        <v>-1.4402057436777582E-3</v>
      </c>
      <c r="G24" s="21"/>
      <c r="H24" s="22"/>
      <c r="K24" s="22"/>
      <c r="L24" s="22"/>
      <c r="M24" s="31"/>
      <c r="N24" s="22"/>
      <c r="O24" s="22"/>
      <c r="R24" s="22"/>
      <c r="S24" s="22"/>
      <c r="T24" s="31"/>
      <c r="U24" s="16"/>
    </row>
    <row r="25" spans="2:21" x14ac:dyDescent="0.35">
      <c r="B25" s="37" t="s">
        <v>15</v>
      </c>
      <c r="C25" s="38" t="s">
        <v>47</v>
      </c>
      <c r="D25" s="20">
        <f>SUMIFS('Data Paridad NY'!B:B,'Data Paridad NY'!F:F,CONCATENATE(B25,C25),'Data Paridad NY'!A:A,$D$4)</f>
        <v>40.218600000000002</v>
      </c>
      <c r="E25" s="20">
        <f>SUMIFS('Data Paridad NY'!B:B,'Data Paridad NY'!F:F,CONCATENATE(B25,C25),'Data Paridad NY'!A:A,$E$4)</f>
        <v>40.265000000000001</v>
      </c>
      <c r="F25" s="29">
        <f t="shared" si="0"/>
        <v>1.1536950565160797E-3</v>
      </c>
      <c r="G25" s="21"/>
      <c r="H25" s="22"/>
      <c r="K25" s="22"/>
      <c r="L25" s="22"/>
      <c r="M25" s="31"/>
      <c r="N25" s="22"/>
      <c r="O25" s="22"/>
      <c r="R25" s="22"/>
      <c r="S25" s="22"/>
      <c r="T25" s="31"/>
      <c r="U25" s="16"/>
    </row>
    <row r="26" spans="2:21" x14ac:dyDescent="0.35">
      <c r="B26" s="39" t="s">
        <v>15</v>
      </c>
      <c r="C26" s="40" t="s">
        <v>12</v>
      </c>
      <c r="D26" s="26">
        <f>SUMIFS('Data Paridad NY'!B:B,'Data Paridad NY'!F:F,CONCATENATE(B26,C26),'Data Paridad NY'!A:A,$D$4)</f>
        <v>1489.0406</v>
      </c>
      <c r="E26" s="26">
        <f>SUMIFS('Data Paridad NY'!B:B,'Data Paridad NY'!F:F,CONCATENATE(B26,C26),'Data Paridad NY'!A:A,$E$4)</f>
        <v>1487.6575</v>
      </c>
      <c r="F26" s="27">
        <f t="shared" si="0"/>
        <v>-9.2885311522061809E-4</v>
      </c>
      <c r="G26" s="21"/>
      <c r="H26" s="22"/>
      <c r="K26" s="22"/>
      <c r="L26" s="22"/>
      <c r="M26" s="31"/>
      <c r="N26" s="22"/>
      <c r="O26" s="22"/>
      <c r="R26" s="22"/>
      <c r="S26" s="22"/>
      <c r="T26" s="31"/>
      <c r="U26" s="16"/>
    </row>
    <row r="27" spans="2:21" x14ac:dyDescent="0.35">
      <c r="B27" s="37" t="s">
        <v>15</v>
      </c>
      <c r="C27" s="38" t="s">
        <v>11</v>
      </c>
      <c r="D27" s="20">
        <f>SUMIFS('Data Paridad NY'!B:B,'Data Paridad NY'!F:F,CONCATENATE(B27,C27),'Data Paridad NY'!A:A,$D$4)</f>
        <v>1565.101289</v>
      </c>
      <c r="E27" s="20">
        <f>SUMIFS('Data Paridad NY'!B:B,'Data Paridad NY'!F:F,CONCATENATE(B27,C27),'Data Paridad NY'!A:A,$E$4)</f>
        <v>1577.5941230000001</v>
      </c>
      <c r="F27" s="29">
        <f t="shared" si="0"/>
        <v>7.9821249192006949E-3</v>
      </c>
      <c r="G27" s="21"/>
      <c r="H27" s="22"/>
      <c r="K27" s="22"/>
      <c r="L27" s="22"/>
      <c r="M27" s="31"/>
      <c r="N27" s="22"/>
      <c r="O27" s="22"/>
      <c r="R27" s="22"/>
      <c r="S27" s="22"/>
      <c r="T27" s="31"/>
      <c r="U27" s="16"/>
    </row>
    <row r="28" spans="2:21" x14ac:dyDescent="0.35">
      <c r="B28" s="39" t="s">
        <v>15</v>
      </c>
      <c r="C28" s="40" t="s">
        <v>46</v>
      </c>
      <c r="D28" s="26">
        <f>SUMIFS('Data Paridad NY'!B:B,'Data Paridad NY'!F:F,CONCATENATE(B28,C28),'Data Paridad NY'!A:A,$D$4)</f>
        <v>1</v>
      </c>
      <c r="E28" s="26">
        <f>SUMIFS('Data Paridad NY'!B:B,'Data Paridad NY'!F:F,CONCATENATE(B28,C28),'Data Paridad NY'!A:A,$E$4)</f>
        <v>1</v>
      </c>
      <c r="F28" s="27">
        <f t="shared" si="0"/>
        <v>0</v>
      </c>
      <c r="G28" s="21"/>
      <c r="H28" s="22"/>
      <c r="K28" s="22"/>
      <c r="L28" s="22"/>
      <c r="M28" s="31"/>
      <c r="N28" s="22"/>
      <c r="O28" s="22"/>
      <c r="R28" s="22"/>
      <c r="S28" s="22"/>
      <c r="T28" s="31"/>
      <c r="U28" s="16"/>
    </row>
    <row r="29" spans="2:21" x14ac:dyDescent="0.35">
      <c r="B29" s="37" t="s">
        <v>11</v>
      </c>
      <c r="C29" s="38" t="s">
        <v>12</v>
      </c>
      <c r="D29" s="20">
        <f>SUMIFS('Data Paridad NY'!B:B,'Data Paridad NY'!F:F,CONCATENATE(B29,C29),'Data Paridad NY'!A:A,$D$4)</f>
        <v>1</v>
      </c>
      <c r="E29" s="20">
        <f>SUMIFS('Data Paridad NY'!B:B,'Data Paridad NY'!F:F,CONCATENATE(B29,C29),'Data Paridad NY'!A:A,$E$4)</f>
        <v>1</v>
      </c>
      <c r="F29" s="29">
        <f t="shared" si="0"/>
        <v>0</v>
      </c>
      <c r="G29" s="21"/>
      <c r="H29" s="22"/>
      <c r="K29" s="22"/>
      <c r="L29" s="22"/>
      <c r="M29" s="31"/>
      <c r="N29" s="22"/>
      <c r="O29" s="22"/>
      <c r="R29" s="22"/>
      <c r="S29" s="22"/>
      <c r="T29" s="31"/>
      <c r="U29" s="16"/>
    </row>
    <row r="30" spans="2:21" x14ac:dyDescent="0.35">
      <c r="B30" s="39" t="s">
        <v>46</v>
      </c>
      <c r="C30" s="40" t="s">
        <v>11</v>
      </c>
      <c r="D30" s="26">
        <f>SUMIFS('Data Paridad NY'!B:B,'Data Paridad NY'!F:F,CONCATENATE(B30,C30),'Data Paridad NY'!A:A,$D$4)</f>
        <v>1507.895671</v>
      </c>
      <c r="E30" s="26">
        <f>SUMIFS('Data Paridad NY'!B:B,'Data Paridad NY'!F:F,CONCATENATE(B30,C30),'Data Paridad NY'!A:A,$E$4)</f>
        <v>1517.6678449999999</v>
      </c>
      <c r="F30" s="27">
        <f t="shared" si="0"/>
        <v>6.4806698420449838E-3</v>
      </c>
      <c r="G30" s="21"/>
      <c r="H30" s="22"/>
      <c r="K30" s="22"/>
      <c r="L30" s="22"/>
      <c r="M30" s="31"/>
      <c r="N30" s="22"/>
      <c r="O30" s="22"/>
      <c r="R30" s="22"/>
      <c r="S30" s="22"/>
      <c r="T30" s="31"/>
      <c r="U30" s="16"/>
    </row>
    <row r="31" spans="2:21" x14ac:dyDescent="0.35">
      <c r="B31" s="37" t="s">
        <v>49</v>
      </c>
      <c r="C31" s="38" t="s">
        <v>15</v>
      </c>
      <c r="D31" s="20">
        <f>SUMIFS('Data Paridad NY'!B:B,'Data Paridad NY'!F:F,CONCATENATE(B31,C31),'Data Paridad NY'!A:A,$D$4)</f>
        <v>0.13363296799999999</v>
      </c>
      <c r="E31" s="20">
        <f>SUMIFS('Data Paridad NY'!B:B,'Data Paridad NY'!F:F,CONCATENATE(B31,C31),'Data Paridad NY'!A:A,$E$4)</f>
        <v>0.13212781300000001</v>
      </c>
      <c r="F31" s="29">
        <f t="shared" si="0"/>
        <v>-1.1263350822231066E-2</v>
      </c>
      <c r="G31" s="21"/>
      <c r="H31" s="22"/>
      <c r="K31" s="22"/>
      <c r="L31" s="22"/>
      <c r="M31" s="31"/>
      <c r="N31" s="22"/>
      <c r="O31" s="22"/>
      <c r="R31" s="22"/>
      <c r="S31" s="22"/>
      <c r="T31" s="31"/>
      <c r="U31" s="16"/>
    </row>
    <row r="32" spans="2:21" x14ac:dyDescent="0.3">
      <c r="B32" s="39" t="s">
        <v>15</v>
      </c>
      <c r="C32" s="40" t="s">
        <v>40</v>
      </c>
      <c r="D32" s="26">
        <f>SUMIFS('Data Paridad NY'!B:B,'Data Paridad NY'!F:F,CONCATENATE(B32,C32),'Data Paridad NY'!A:A,$D$4)</f>
        <v>79.577600000000004</v>
      </c>
      <c r="E32" s="26">
        <f>SUMIFS('Data Paridad NY'!B:B,'Data Paridad NY'!F:F,CONCATENATE(B32,C32),'Data Paridad NY'!A:A,$E$4)</f>
        <v>79.400300000000001</v>
      </c>
      <c r="F32" s="27">
        <f t="shared" si="0"/>
        <v>-2.2280139134631671E-3</v>
      </c>
    </row>
    <row r="33" spans="2:6" x14ac:dyDescent="0.3">
      <c r="B33" s="37" t="s">
        <v>15</v>
      </c>
      <c r="C33" s="38" t="s">
        <v>39</v>
      </c>
      <c r="D33" s="20">
        <f>SUMIFS('Data Paridad NY'!B:B,'Data Paridad NY'!F:F,CONCATENATE(B33,C33),'Data Paridad NY'!A:A,$D$4)</f>
        <v>5970.6</v>
      </c>
      <c r="E33" s="20">
        <f>SUMIFS('Data Paridad NY'!B:B,'Data Paridad NY'!F:F,CONCATENATE(B33,C33),'Data Paridad NY'!A:A,$E$4)</f>
        <v>5963</v>
      </c>
      <c r="F33" s="29">
        <f t="shared" si="0"/>
        <v>-1.2729038957559613E-3</v>
      </c>
    </row>
    <row r="34" spans="2:6" x14ac:dyDescent="0.3">
      <c r="B34" s="39" t="s">
        <v>15</v>
      </c>
      <c r="C34" s="40" t="s">
        <v>25</v>
      </c>
      <c r="D34" s="26">
        <f>SUMIFS('Data Paridad NY'!B:B,'Data Paridad NY'!F:F,CONCATENATE(B34,C34),'Data Paridad NY'!A:A,$D$4)</f>
        <v>6.7519</v>
      </c>
      <c r="E34" s="26">
        <f>SUMIFS('Data Paridad NY'!B:B,'Data Paridad NY'!F:F,CONCATENATE(B34,C34),'Data Paridad NY'!A:A,$E$4)</f>
        <v>6.7515000000000001</v>
      </c>
      <c r="F34" s="27">
        <f t="shared" si="0"/>
        <v>-5.9242583569041329E-5</v>
      </c>
    </row>
    <row r="35" spans="2:6" x14ac:dyDescent="0.3">
      <c r="B35" s="37" t="s">
        <v>15</v>
      </c>
      <c r="C35" s="38" t="s">
        <v>29</v>
      </c>
      <c r="D35" s="20">
        <f>SUMIFS('Data Paridad NY'!B:B,'Data Paridad NY'!F:F,CONCATENATE(B35,C35),'Data Paridad NY'!A:A,$D$4)</f>
        <v>6.4847999999999999</v>
      </c>
      <c r="E35" s="20">
        <f>SUMIFS('Data Paridad NY'!B:B,'Data Paridad NY'!F:F,CONCATENATE(B35,C35),'Data Paridad NY'!A:A,$E$4)</f>
        <v>6.4861000000000004</v>
      </c>
      <c r="F35" s="29">
        <f t="shared" si="0"/>
        <v>2.0046878855173311E-4</v>
      </c>
    </row>
    <row r="36" spans="2:6" x14ac:dyDescent="0.3">
      <c r="B36" s="39" t="s">
        <v>15</v>
      </c>
      <c r="C36" s="40" t="s">
        <v>32</v>
      </c>
      <c r="D36" s="26">
        <f>SUMIFS('Data Paridad NY'!B:B,'Data Paridad NY'!F:F,CONCATENATE(B36,C36),'Data Paridad NY'!A:A,$D$4)</f>
        <v>314.54000000000002</v>
      </c>
      <c r="E36" s="26">
        <f>SUMIFS('Data Paridad NY'!B:B,'Data Paridad NY'!F:F,CONCATENATE(B36,C36),'Data Paridad NY'!A:A,$E$4)</f>
        <v>316.60000000000002</v>
      </c>
      <c r="F36" s="27">
        <f t="shared" si="0"/>
        <v>6.5492465187257931E-3</v>
      </c>
    </row>
    <row r="37" spans="2:6" x14ac:dyDescent="0.3">
      <c r="B37" s="37" t="s">
        <v>15</v>
      </c>
      <c r="C37" s="38" t="s">
        <v>33</v>
      </c>
      <c r="D37" s="20">
        <f>SUMIFS('Data Paridad NY'!B:B,'Data Paridad NY'!F:F,CONCATENATE(B37,C37),'Data Paridad NY'!A:A,$D$4)</f>
        <v>95.678700000000006</v>
      </c>
      <c r="E37" s="20">
        <f>SUMIFS('Data Paridad NY'!B:B,'Data Paridad NY'!F:F,CONCATENATE(B37,C37),'Data Paridad NY'!A:A,$E$4)</f>
        <v>95.392499999999998</v>
      </c>
      <c r="F37" s="29">
        <f t="shared" si="0"/>
        <v>-2.9912613779242703E-3</v>
      </c>
    </row>
    <row r="38" spans="2:6" x14ac:dyDescent="0.3">
      <c r="B38" s="39" t="s">
        <v>15</v>
      </c>
      <c r="C38" s="40" t="s">
        <v>41</v>
      </c>
      <c r="D38" s="26">
        <f>SUMIFS('Data Paridad NY'!B:B,'Data Paridad NY'!F:F,CONCATENATE(B38,C38),'Data Paridad NY'!A:A,$D$4)</f>
        <v>9.5352999999999994</v>
      </c>
      <c r="E38" s="26">
        <f>SUMIFS('Data Paridad NY'!B:B,'Data Paridad NY'!F:F,CONCATENATE(B38,C38),'Data Paridad NY'!A:A,$E$4)</f>
        <v>9.5325000000000006</v>
      </c>
      <c r="F38" s="27">
        <f t="shared" si="0"/>
        <v>-2.9364571644296955E-4</v>
      </c>
    </row>
    <row r="39" spans="2:6" x14ac:dyDescent="0.3">
      <c r="B39" s="37" t="s">
        <v>15</v>
      </c>
      <c r="C39" s="38" t="s">
        <v>42</v>
      </c>
      <c r="D39" s="20">
        <f>SUMIFS('Data Paridad NY'!B:B,'Data Paridad NY'!F:F,CONCATENATE(B39,C39),'Data Paridad NY'!A:A,$D$4)</f>
        <v>1.2816000000000001</v>
      </c>
      <c r="E39" s="20">
        <f>SUMIFS('Data Paridad NY'!B:B,'Data Paridad NY'!F:F,CONCATENATE(B39,C39),'Data Paridad NY'!A:A,$E$4)</f>
        <v>1.2827999999999999</v>
      </c>
      <c r="F39" s="29">
        <f t="shared" si="0"/>
        <v>9.3632958801492805E-4</v>
      </c>
    </row>
    <row r="40" spans="2:6" x14ac:dyDescent="0.3">
      <c r="B40" s="39" t="s">
        <v>15</v>
      </c>
      <c r="C40" s="40" t="s">
        <v>43</v>
      </c>
      <c r="D40" s="26">
        <f>SUMIFS('Data Paridad NY'!B:B,'Data Paridad NY'!F:F,CONCATENATE(B40,C40),'Data Paridad NY'!A:A,$D$4)</f>
        <v>33.4</v>
      </c>
      <c r="E40" s="26">
        <f>SUMIFS('Data Paridad NY'!B:B,'Data Paridad NY'!F:F,CONCATENATE(B40,C40),'Data Paridad NY'!A:A,$E$4)</f>
        <v>33.436</v>
      </c>
      <c r="F40" s="27">
        <f t="shared" si="0"/>
        <v>1.0778443113772518E-3</v>
      </c>
    </row>
    <row r="41" spans="2:6" x14ac:dyDescent="0.3">
      <c r="B41" s="37" t="s">
        <v>15</v>
      </c>
      <c r="C41" s="38" t="s">
        <v>44</v>
      </c>
      <c r="D41" s="20">
        <f>SUMIFS('Data Paridad NY'!B:B,'Data Paridad NY'!F:F,CONCATENATE(B41,C41),'Data Paridad NY'!A:A,$D$4)</f>
        <v>32.466999999999999</v>
      </c>
      <c r="E41" s="20">
        <f>SUMIFS('Data Paridad NY'!B:B,'Data Paridad NY'!F:F,CONCATENATE(B41,C41),'Data Paridad NY'!A:A,$E$4)</f>
        <v>32.305999999999997</v>
      </c>
      <c r="F41" s="29">
        <f t="shared" si="0"/>
        <v>-4.9588813256538078E-3</v>
      </c>
    </row>
    <row r="42" spans="2:6" x14ac:dyDescent="0.3">
      <c r="B42" s="39" t="s">
        <v>15</v>
      </c>
      <c r="C42" s="40" t="s">
        <v>34</v>
      </c>
      <c r="D42" s="26">
        <f>SUMIFS('Data Paridad NY'!B:B,'Data Paridad NY'!F:F,CONCATENATE(B42,C42),'Data Paridad NY'!A:A,$D$4)</f>
        <v>123.71</v>
      </c>
      <c r="E42" s="26">
        <f>SUMIFS('Data Paridad NY'!B:B,'Data Paridad NY'!F:F,CONCATENATE(B42,C42),'Data Paridad NY'!A:A,$E$4)</f>
        <v>123.21</v>
      </c>
      <c r="F42" s="27">
        <f t="shared" si="0"/>
        <v>-4.0417104518631897E-3</v>
      </c>
    </row>
    <row r="43" spans="2:6" x14ac:dyDescent="0.3">
      <c r="B43" s="37" t="s">
        <v>18</v>
      </c>
      <c r="C43" s="38" t="s">
        <v>16</v>
      </c>
      <c r="D43" s="20">
        <f>SUMIFS('Data Paridad NY'!B:B,'Data Paridad NY'!F:F,CONCATENATE(B43,C43),'Data Paridad NY'!A:A,$D$4)</f>
        <v>38.301566020000003</v>
      </c>
      <c r="E43" s="20">
        <f>SUMIFS('Data Paridad NY'!B:B,'Data Paridad NY'!F:F,CONCATENATE(B43,C43),'Data Paridad NY'!A:A,$E$4)</f>
        <v>38.160218620000002</v>
      </c>
      <c r="F43" s="29">
        <f t="shared" si="0"/>
        <v>-3.6903817438219688E-3</v>
      </c>
    </row>
    <row r="44" spans="2:6" x14ac:dyDescent="0.3">
      <c r="B44" s="39" t="s">
        <v>21</v>
      </c>
      <c r="C44" s="40" t="s">
        <v>15</v>
      </c>
      <c r="D44" s="26">
        <f>SUMIFS('Data Paridad NY'!B:B,'Data Paridad NY'!F:F,CONCATENATE(B44,C44),'Data Paridad NY'!A:A,$D$4)</f>
        <v>0.16480931700000001</v>
      </c>
      <c r="E44" s="26">
        <f>SUMIFS('Data Paridad NY'!B:B,'Data Paridad NY'!F:F,CONCATENATE(B44,C44),'Data Paridad NY'!A:A,$E$4)</f>
        <v>0.16463926500000001</v>
      </c>
      <c r="F44" s="27">
        <f t="shared" si="0"/>
        <v>-1.0318105984262749E-3</v>
      </c>
    </row>
    <row r="45" spans="2:6" x14ac:dyDescent="0.3">
      <c r="B45" s="37" t="s">
        <v>15</v>
      </c>
      <c r="C45" s="38" t="s">
        <v>27</v>
      </c>
      <c r="D45" s="20">
        <f>SUMIFS('Data Paridad NY'!B:B,'Data Paridad NY'!F:F,CONCATENATE(B45,C45),'Data Paridad NY'!A:A,$D$4)</f>
        <v>3132.42</v>
      </c>
      <c r="E45" s="20">
        <f>SUMIFS('Data Paridad NY'!B:B,'Data Paridad NY'!F:F,CONCATENATE(B45,C45),'Data Paridad NY'!A:A,$E$4)</f>
        <v>3144.14</v>
      </c>
      <c r="F45" s="29">
        <f t="shared" si="0"/>
        <v>3.7415161440674805E-3</v>
      </c>
    </row>
  </sheetData>
  <mergeCells count="3">
    <mergeCell ref="B2:F2"/>
    <mergeCell ref="I2:M2"/>
    <mergeCell ref="P2:T2"/>
  </mergeCells>
  <conditionalFormatting sqref="F1 F3:F4 F32:F65534 L16">
    <cfRule type="cellIs" dxfId="7" priority="174" operator="lessThan">
      <formula>0</formula>
    </cfRule>
  </conditionalFormatting>
  <conditionalFormatting sqref="F5:F45">
    <cfRule type="cellIs" dxfId="6" priority="17" operator="lessThan">
      <formula>0</formula>
    </cfRule>
  </conditionalFormatting>
  <conditionalFormatting sqref="F6">
    <cfRule type="cellIs" dxfId="5" priority="16" operator="lessThan">
      <formula>0</formula>
    </cfRule>
  </conditionalFormatting>
  <conditionalFormatting sqref="M4">
    <cfRule type="cellIs" dxfId="4" priority="10" operator="lessThan">
      <formula>0</formula>
    </cfRule>
  </conditionalFormatting>
  <conditionalFormatting sqref="T4">
    <cfRule type="cellIs" dxfId="3" priority="9" operator="lessThan">
      <formula>0</formula>
    </cfRule>
  </conditionalFormatting>
  <conditionalFormatting sqref="M5:M16">
    <cfRule type="cellIs" dxfId="2" priority="4" operator="lessThan">
      <formula>0</formula>
    </cfRule>
  </conditionalFormatting>
  <conditionalFormatting sqref="M6">
    <cfRule type="cellIs" dxfId="1" priority="3" operator="lessThan">
      <formula>0</formula>
    </cfRule>
  </conditionalFormatting>
  <conditionalFormatting sqref="T5:T6">
    <cfRule type="cellIs" dxfId="0" priority="2" operator="lessThan">
      <formula>0</formula>
    </cfRule>
  </conditionalFormatting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F57274"/>
  <sheetViews>
    <sheetView zoomScaleNormal="89" workbookViewId="0">
      <selection sqref="A1:E83"/>
    </sheetView>
  </sheetViews>
  <sheetFormatPr baseColWidth="10" defaultRowHeight="15" x14ac:dyDescent="0.25"/>
  <cols>
    <col min="1" max="1" width="14.42578125" style="1" bestFit="1" customWidth="1"/>
    <col min="2" max="2" width="12" bestFit="1" customWidth="1"/>
    <col min="3" max="3" width="16.28515625" bestFit="1" customWidth="1"/>
    <col min="4" max="4" width="23.42578125" bestFit="1" customWidth="1"/>
    <col min="5" max="5" width="22.5703125" bestFit="1" customWidth="1"/>
    <col min="6" max="6" width="12" bestFit="1" customWidth="1"/>
  </cols>
  <sheetData>
    <row r="1" spans="1:6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6" x14ac:dyDescent="0.25">
      <c r="A2" s="2">
        <v>46234</v>
      </c>
      <c r="B2" s="3">
        <v>1</v>
      </c>
      <c r="C2" s="4" t="s">
        <v>11</v>
      </c>
      <c r="D2" s="4" t="s">
        <v>12</v>
      </c>
      <c r="E2" s="4" t="s">
        <v>13</v>
      </c>
      <c r="F2" t="str">
        <f t="shared" ref="F2:F33" si="0">_xlfn.CONCAT(C2,D2)</f>
        <v>ARSARS MAE</v>
      </c>
    </row>
    <row r="3" spans="1:6" x14ac:dyDescent="0.25">
      <c r="A3" s="2">
        <v>46233</v>
      </c>
      <c r="B3" s="3">
        <v>1</v>
      </c>
      <c r="C3" s="4" t="s">
        <v>11</v>
      </c>
      <c r="D3" s="4" t="s">
        <v>12</v>
      </c>
      <c r="E3" s="4" t="s">
        <v>13</v>
      </c>
      <c r="F3" t="str">
        <f t="shared" si="0"/>
        <v>ARSARS MAE</v>
      </c>
    </row>
    <row r="4" spans="1:6" x14ac:dyDescent="0.25">
      <c r="A4" s="2">
        <v>46234</v>
      </c>
      <c r="B4" s="3">
        <v>0.70189999999999997</v>
      </c>
      <c r="C4" s="4" t="s">
        <v>14</v>
      </c>
      <c r="D4" s="4" t="s">
        <v>15</v>
      </c>
      <c r="E4" s="4" t="s">
        <v>13</v>
      </c>
      <c r="F4" t="str">
        <f t="shared" si="0"/>
        <v>AUDUSD</v>
      </c>
    </row>
    <row r="5" spans="1:6" x14ac:dyDescent="0.25">
      <c r="A5" s="2">
        <v>46233</v>
      </c>
      <c r="B5" s="3">
        <v>0.70269999999999999</v>
      </c>
      <c r="C5" s="4" t="s">
        <v>14</v>
      </c>
      <c r="D5" s="4" t="s">
        <v>15</v>
      </c>
      <c r="E5" s="4" t="s">
        <v>13</v>
      </c>
      <c r="F5" t="str">
        <f t="shared" si="0"/>
        <v>AUDUSD</v>
      </c>
    </row>
    <row r="6" spans="1:6" x14ac:dyDescent="0.25">
      <c r="A6" s="2">
        <v>46234</v>
      </c>
      <c r="B6" s="3">
        <v>40844.79</v>
      </c>
      <c r="C6" s="4" t="s">
        <v>16</v>
      </c>
      <c r="D6" s="4" t="s">
        <v>17</v>
      </c>
      <c r="E6" s="4" t="s">
        <v>13</v>
      </c>
      <c r="F6" t="str">
        <f t="shared" si="0"/>
        <v>CLFCLP</v>
      </c>
    </row>
    <row r="7" spans="1:6" x14ac:dyDescent="0.25">
      <c r="A7" s="2">
        <v>46233</v>
      </c>
      <c r="B7" s="3">
        <v>40844.79</v>
      </c>
      <c r="C7" s="4" t="s">
        <v>16</v>
      </c>
      <c r="D7" s="4" t="s">
        <v>17</v>
      </c>
      <c r="E7" s="4" t="s">
        <v>13</v>
      </c>
      <c r="F7" t="str">
        <f t="shared" si="0"/>
        <v>CLFCLP</v>
      </c>
    </row>
    <row r="8" spans="1:6" x14ac:dyDescent="0.25">
      <c r="A8" s="2">
        <v>46234</v>
      </c>
      <c r="B8" s="3">
        <v>43.993871310000003</v>
      </c>
      <c r="C8" s="4" t="s">
        <v>16</v>
      </c>
      <c r="D8" s="4" t="s">
        <v>15</v>
      </c>
      <c r="E8" s="4" t="s">
        <v>13</v>
      </c>
      <c r="F8" t="str">
        <f t="shared" si="0"/>
        <v>CLFUSD</v>
      </c>
    </row>
    <row r="9" spans="1:6" x14ac:dyDescent="0.25">
      <c r="A9" s="2">
        <v>46233</v>
      </c>
      <c r="B9" s="3">
        <v>44.167034319999999</v>
      </c>
      <c r="C9" s="4" t="s">
        <v>16</v>
      </c>
      <c r="D9" s="4" t="s">
        <v>15</v>
      </c>
      <c r="E9" s="4" t="s">
        <v>13</v>
      </c>
      <c r="F9" t="str">
        <f t="shared" si="0"/>
        <v>CLFUSD</v>
      </c>
    </row>
    <row r="10" spans="1:6" x14ac:dyDescent="0.25">
      <c r="A10" s="2">
        <v>46234</v>
      </c>
      <c r="B10" s="3">
        <v>38.160218620000002</v>
      </c>
      <c r="C10" s="4" t="s">
        <v>18</v>
      </c>
      <c r="D10" s="4" t="s">
        <v>16</v>
      </c>
      <c r="E10" s="4" t="s">
        <v>13</v>
      </c>
      <c r="F10" t="str">
        <f t="shared" si="0"/>
        <v>EURCLF</v>
      </c>
    </row>
    <row r="11" spans="1:6" x14ac:dyDescent="0.25">
      <c r="A11" s="2">
        <v>46233</v>
      </c>
      <c r="B11" s="3">
        <v>38.301566020000003</v>
      </c>
      <c r="C11" s="4" t="s">
        <v>18</v>
      </c>
      <c r="D11" s="4" t="s">
        <v>16</v>
      </c>
      <c r="E11" s="4" t="s">
        <v>13</v>
      </c>
      <c r="F11" t="str">
        <f t="shared" si="0"/>
        <v>EURCLF</v>
      </c>
    </row>
    <row r="12" spans="1:6" x14ac:dyDescent="0.25">
      <c r="A12" s="2">
        <v>46234</v>
      </c>
      <c r="B12" s="3">
        <v>1.1527000000000001</v>
      </c>
      <c r="C12" s="4" t="s">
        <v>18</v>
      </c>
      <c r="D12" s="4" t="s">
        <v>15</v>
      </c>
      <c r="E12" s="4" t="s">
        <v>13</v>
      </c>
      <c r="F12" t="str">
        <f t="shared" si="0"/>
        <v>EURUSD</v>
      </c>
    </row>
    <row r="13" spans="1:6" x14ac:dyDescent="0.25">
      <c r="A13" s="2">
        <v>46233</v>
      </c>
      <c r="B13" s="3">
        <v>1.1527000000000001</v>
      </c>
      <c r="C13" s="4" t="s">
        <v>18</v>
      </c>
      <c r="D13" s="4" t="s">
        <v>15</v>
      </c>
      <c r="E13" s="4" t="s">
        <v>13</v>
      </c>
      <c r="F13" t="str">
        <f t="shared" si="0"/>
        <v>EURUSD</v>
      </c>
    </row>
    <row r="14" spans="1:6" x14ac:dyDescent="0.25">
      <c r="A14" s="2">
        <v>46234</v>
      </c>
      <c r="B14" s="3">
        <v>1.3483000000000001</v>
      </c>
      <c r="C14" s="4" t="s">
        <v>19</v>
      </c>
      <c r="D14" s="4" t="s">
        <v>15</v>
      </c>
      <c r="E14" s="4" t="s">
        <v>13</v>
      </c>
      <c r="F14" t="str">
        <f t="shared" si="0"/>
        <v>GBPUSD</v>
      </c>
    </row>
    <row r="15" spans="1:6" x14ac:dyDescent="0.25">
      <c r="A15" s="2">
        <v>46233</v>
      </c>
      <c r="B15" s="3">
        <v>1.3464</v>
      </c>
      <c r="C15" s="4" t="s">
        <v>19</v>
      </c>
      <c r="D15" s="4" t="s">
        <v>15</v>
      </c>
      <c r="E15" s="4" t="s">
        <v>13</v>
      </c>
      <c r="F15" t="str">
        <f t="shared" si="0"/>
        <v>GBPUSD</v>
      </c>
    </row>
    <row r="16" spans="1:6" x14ac:dyDescent="0.25">
      <c r="A16" s="2">
        <v>46234</v>
      </c>
      <c r="B16" s="3">
        <v>0.58789999999999998</v>
      </c>
      <c r="C16" s="4" t="s">
        <v>20</v>
      </c>
      <c r="D16" s="4" t="s">
        <v>15</v>
      </c>
      <c r="E16" s="4" t="s">
        <v>13</v>
      </c>
      <c r="F16" t="str">
        <f t="shared" si="0"/>
        <v>NZDUSD</v>
      </c>
    </row>
    <row r="17" spans="1:6" x14ac:dyDescent="0.25">
      <c r="A17" s="2">
        <v>46233</v>
      </c>
      <c r="B17" s="3">
        <v>0.58779999999999999</v>
      </c>
      <c r="C17" s="4" t="s">
        <v>20</v>
      </c>
      <c r="D17" s="4" t="s">
        <v>15</v>
      </c>
      <c r="E17" s="4" t="s">
        <v>13</v>
      </c>
      <c r="F17" t="str">
        <f t="shared" si="0"/>
        <v>NZDUSD</v>
      </c>
    </row>
    <row r="18" spans="1:6" x14ac:dyDescent="0.25">
      <c r="A18" s="2">
        <v>46234</v>
      </c>
      <c r="B18" s="3">
        <v>0.16463926500000001</v>
      </c>
      <c r="C18" s="4" t="s">
        <v>21</v>
      </c>
      <c r="D18" s="4" t="s">
        <v>15</v>
      </c>
      <c r="E18" s="4" t="s">
        <v>13</v>
      </c>
      <c r="F18" t="str">
        <f t="shared" si="0"/>
        <v>UI CurncyUSD</v>
      </c>
    </row>
    <row r="19" spans="1:6" x14ac:dyDescent="0.25">
      <c r="A19" s="2">
        <v>46233</v>
      </c>
      <c r="B19" s="3">
        <v>0.16480931700000001</v>
      </c>
      <c r="C19" s="4" t="s">
        <v>21</v>
      </c>
      <c r="D19" s="4" t="s">
        <v>15</v>
      </c>
      <c r="E19" s="4" t="s">
        <v>13</v>
      </c>
      <c r="F19" t="str">
        <f t="shared" si="0"/>
        <v>UI CurncyUSD</v>
      </c>
    </row>
    <row r="20" spans="1:6" x14ac:dyDescent="0.25">
      <c r="A20" s="2">
        <v>46234</v>
      </c>
      <c r="B20" s="3">
        <v>1577.5941230000001</v>
      </c>
      <c r="C20" s="4" t="s">
        <v>15</v>
      </c>
      <c r="D20" s="4" t="s">
        <v>11</v>
      </c>
      <c r="E20" s="4" t="s">
        <v>13</v>
      </c>
      <c r="F20" t="str">
        <f t="shared" si="0"/>
        <v>USDARS</v>
      </c>
    </row>
    <row r="21" spans="1:6" x14ac:dyDescent="0.25">
      <c r="A21" s="2">
        <v>46233</v>
      </c>
      <c r="B21" s="3">
        <v>1565.101289</v>
      </c>
      <c r="C21" s="4" t="s">
        <v>15</v>
      </c>
      <c r="D21" s="4" t="s">
        <v>11</v>
      </c>
      <c r="E21" s="4" t="s">
        <v>13</v>
      </c>
      <c r="F21" t="str">
        <f t="shared" si="0"/>
        <v>USDARS</v>
      </c>
    </row>
    <row r="22" spans="1:6" x14ac:dyDescent="0.25">
      <c r="A22" s="2">
        <v>46234</v>
      </c>
      <c r="B22" s="3">
        <v>1487.6575</v>
      </c>
      <c r="C22" s="4" t="s">
        <v>15</v>
      </c>
      <c r="D22" s="4" t="s">
        <v>12</v>
      </c>
      <c r="E22" s="4" t="s">
        <v>13</v>
      </c>
      <c r="F22" t="str">
        <f t="shared" si="0"/>
        <v>USDARS MAE</v>
      </c>
    </row>
    <row r="23" spans="1:6" x14ac:dyDescent="0.25">
      <c r="A23" s="2">
        <v>46233</v>
      </c>
      <c r="B23" s="3">
        <v>1489.0406</v>
      </c>
      <c r="C23" s="4" t="s">
        <v>15</v>
      </c>
      <c r="D23" s="4" t="s">
        <v>12</v>
      </c>
      <c r="E23" s="4" t="s">
        <v>13</v>
      </c>
      <c r="F23" t="str">
        <f t="shared" si="0"/>
        <v>USDARS MAE</v>
      </c>
    </row>
    <row r="24" spans="1:6" x14ac:dyDescent="0.25">
      <c r="A24" s="2">
        <v>46234</v>
      </c>
      <c r="B24" s="3">
        <v>5.0728999999999997</v>
      </c>
      <c r="C24" s="4" t="s">
        <v>15</v>
      </c>
      <c r="D24" s="4" t="s">
        <v>22</v>
      </c>
      <c r="E24" s="4" t="s">
        <v>13</v>
      </c>
      <c r="F24" t="str">
        <f t="shared" si="0"/>
        <v>USDBRL</v>
      </c>
    </row>
    <row r="25" spans="1:6" x14ac:dyDescent="0.25">
      <c r="A25" s="2">
        <v>46233</v>
      </c>
      <c r="B25" s="3">
        <v>5.0587</v>
      </c>
      <c r="C25" s="4" t="s">
        <v>15</v>
      </c>
      <c r="D25" s="4" t="s">
        <v>22</v>
      </c>
      <c r="E25" s="4" t="s">
        <v>13</v>
      </c>
      <c r="F25" t="str">
        <f t="shared" si="0"/>
        <v>USDBRL</v>
      </c>
    </row>
    <row r="26" spans="1:6" x14ac:dyDescent="0.25">
      <c r="A26" s="2">
        <v>46234</v>
      </c>
      <c r="B26" s="3">
        <v>1.4020999999999999</v>
      </c>
      <c r="C26" s="4" t="s">
        <v>15</v>
      </c>
      <c r="D26" s="4" t="s">
        <v>23</v>
      </c>
      <c r="E26" s="4" t="s">
        <v>13</v>
      </c>
      <c r="F26" t="str">
        <f t="shared" si="0"/>
        <v>USDCAD</v>
      </c>
    </row>
    <row r="27" spans="1:6" x14ac:dyDescent="0.25">
      <c r="A27" s="2">
        <v>46233</v>
      </c>
      <c r="B27" s="3">
        <v>1.4007000000000001</v>
      </c>
      <c r="C27" s="4" t="s">
        <v>15</v>
      </c>
      <c r="D27" s="4" t="s">
        <v>23</v>
      </c>
      <c r="E27" s="4" t="s">
        <v>13</v>
      </c>
      <c r="F27" t="str">
        <f t="shared" si="0"/>
        <v>USDCAD</v>
      </c>
    </row>
    <row r="28" spans="1:6" x14ac:dyDescent="0.25">
      <c r="A28" s="2">
        <v>46234</v>
      </c>
      <c r="B28" s="3">
        <v>0.8075</v>
      </c>
      <c r="C28" s="4" t="s">
        <v>15</v>
      </c>
      <c r="D28" s="4" t="s">
        <v>24</v>
      </c>
      <c r="E28" s="4" t="s">
        <v>13</v>
      </c>
      <c r="F28" t="str">
        <f t="shared" si="0"/>
        <v>USDCHF</v>
      </c>
    </row>
    <row r="29" spans="1:6" x14ac:dyDescent="0.25">
      <c r="A29" s="2">
        <v>46233</v>
      </c>
      <c r="B29" s="3">
        <v>0.80549999999999999</v>
      </c>
      <c r="C29" s="4" t="s">
        <v>15</v>
      </c>
      <c r="D29" s="4" t="s">
        <v>24</v>
      </c>
      <c r="E29" s="4" t="s">
        <v>13</v>
      </c>
      <c r="F29" t="str">
        <f t="shared" si="0"/>
        <v>USDCHF</v>
      </c>
    </row>
    <row r="30" spans="1:6" x14ac:dyDescent="0.25">
      <c r="A30" s="2">
        <v>46234</v>
      </c>
      <c r="B30" s="3">
        <v>930.86</v>
      </c>
      <c r="C30" s="4" t="s">
        <v>15</v>
      </c>
      <c r="D30" s="4" t="s">
        <v>17</v>
      </c>
      <c r="E30" s="4" t="s">
        <v>13</v>
      </c>
      <c r="F30" t="str">
        <f t="shared" si="0"/>
        <v>USDCLP</v>
      </c>
    </row>
    <row r="31" spans="1:6" x14ac:dyDescent="0.25">
      <c r="A31" s="2">
        <v>46233</v>
      </c>
      <c r="B31" s="3">
        <v>925.57</v>
      </c>
      <c r="C31" s="4" t="s">
        <v>15</v>
      </c>
      <c r="D31" s="4" t="s">
        <v>17</v>
      </c>
      <c r="E31" s="4" t="s">
        <v>13</v>
      </c>
      <c r="F31" t="str">
        <f t="shared" si="0"/>
        <v>USDCLP</v>
      </c>
    </row>
    <row r="32" spans="1:6" x14ac:dyDescent="0.25">
      <c r="A32" s="2">
        <v>46234</v>
      </c>
      <c r="B32" s="3">
        <v>6.7515000000000001</v>
      </c>
      <c r="C32" s="4" t="s">
        <v>15</v>
      </c>
      <c r="D32" s="4" t="s">
        <v>25</v>
      </c>
      <c r="E32" s="4" t="s">
        <v>13</v>
      </c>
      <c r="F32" t="str">
        <f t="shared" si="0"/>
        <v>USDCNY</v>
      </c>
    </row>
    <row r="33" spans="1:6" x14ac:dyDescent="0.25">
      <c r="A33" s="2">
        <v>46233</v>
      </c>
      <c r="B33" s="3">
        <v>6.7519</v>
      </c>
      <c r="C33" s="4" t="s">
        <v>15</v>
      </c>
      <c r="D33" s="4" t="s">
        <v>25</v>
      </c>
      <c r="E33" s="4" t="s">
        <v>13</v>
      </c>
      <c r="F33" t="str">
        <f t="shared" si="0"/>
        <v>USDCNY</v>
      </c>
    </row>
    <row r="34" spans="1:6" x14ac:dyDescent="0.25">
      <c r="A34" s="2">
        <v>46234</v>
      </c>
      <c r="B34" s="3">
        <v>3152.58</v>
      </c>
      <c r="C34" s="4" t="s">
        <v>15</v>
      </c>
      <c r="D34" s="4" t="s">
        <v>26</v>
      </c>
      <c r="E34" s="4" t="s">
        <v>13</v>
      </c>
      <c r="F34" t="str">
        <f t="shared" ref="F34:F65" si="1">_xlfn.CONCAT(C34,D34)</f>
        <v>USDCOP</v>
      </c>
    </row>
    <row r="35" spans="1:6" x14ac:dyDescent="0.25">
      <c r="A35" s="2">
        <v>46233</v>
      </c>
      <c r="B35" s="3">
        <v>3116.68</v>
      </c>
      <c r="C35" s="4" t="s">
        <v>15</v>
      </c>
      <c r="D35" s="4" t="s">
        <v>26</v>
      </c>
      <c r="E35" s="4" t="s">
        <v>13</v>
      </c>
      <c r="F35" t="str">
        <f t="shared" si="1"/>
        <v>USDCOP</v>
      </c>
    </row>
    <row r="36" spans="1:6" x14ac:dyDescent="0.25">
      <c r="A36" s="2">
        <v>46234</v>
      </c>
      <c r="B36" s="3">
        <v>3144.14</v>
      </c>
      <c r="C36" s="4" t="s">
        <v>15</v>
      </c>
      <c r="D36" s="4" t="s">
        <v>27</v>
      </c>
      <c r="E36" s="4" t="s">
        <v>13</v>
      </c>
      <c r="F36" t="str">
        <f t="shared" si="1"/>
        <v>USDCOP TRM</v>
      </c>
    </row>
    <row r="37" spans="1:6" x14ac:dyDescent="0.25">
      <c r="A37" s="2">
        <v>46233</v>
      </c>
      <c r="B37" s="3">
        <v>3132.42</v>
      </c>
      <c r="C37" s="4" t="s">
        <v>15</v>
      </c>
      <c r="D37" s="4" t="s">
        <v>27</v>
      </c>
      <c r="E37" s="4" t="s">
        <v>13</v>
      </c>
      <c r="F37" t="str">
        <f t="shared" si="1"/>
        <v>USDCOP TRM</v>
      </c>
    </row>
    <row r="38" spans="1:6" x14ac:dyDescent="0.25">
      <c r="A38" s="2">
        <v>46234</v>
      </c>
      <c r="B38" s="3">
        <v>450.85</v>
      </c>
      <c r="C38" s="4" t="s">
        <v>15</v>
      </c>
      <c r="D38" s="4" t="s">
        <v>28</v>
      </c>
      <c r="E38" s="4" t="s">
        <v>13</v>
      </c>
      <c r="F38" t="str">
        <f t="shared" si="1"/>
        <v>USDCRC</v>
      </c>
    </row>
    <row r="39" spans="1:6" x14ac:dyDescent="0.25">
      <c r="A39" s="2">
        <v>46233</v>
      </c>
      <c r="B39" s="3">
        <v>451.25</v>
      </c>
      <c r="C39" s="4" t="s">
        <v>15</v>
      </c>
      <c r="D39" s="4" t="s">
        <v>28</v>
      </c>
      <c r="E39" s="4" t="s">
        <v>13</v>
      </c>
      <c r="F39" t="str">
        <f t="shared" si="1"/>
        <v>USDCRC</v>
      </c>
    </row>
    <row r="40" spans="1:6" x14ac:dyDescent="0.25">
      <c r="A40" s="2">
        <v>46234</v>
      </c>
      <c r="B40" s="3">
        <v>6.4861000000000004</v>
      </c>
      <c r="C40" s="4" t="s">
        <v>15</v>
      </c>
      <c r="D40" s="4" t="s">
        <v>29</v>
      </c>
      <c r="E40" s="4" t="s">
        <v>13</v>
      </c>
      <c r="F40" t="str">
        <f t="shared" si="1"/>
        <v>USDDKK</v>
      </c>
    </row>
    <row r="41" spans="1:6" x14ac:dyDescent="0.25">
      <c r="A41" s="2">
        <v>46233</v>
      </c>
      <c r="B41" s="3">
        <v>6.4847999999999999</v>
      </c>
      <c r="C41" s="4" t="s">
        <v>15</v>
      </c>
      <c r="D41" s="4" t="s">
        <v>29</v>
      </c>
      <c r="E41" s="4" t="s">
        <v>13</v>
      </c>
      <c r="F41" t="str">
        <f t="shared" si="1"/>
        <v>USDDKK</v>
      </c>
    </row>
    <row r="42" spans="1:6" x14ac:dyDescent="0.25">
      <c r="A42" s="2">
        <v>46234</v>
      </c>
      <c r="B42" s="3">
        <v>58.241</v>
      </c>
      <c r="C42" s="4" t="s">
        <v>15</v>
      </c>
      <c r="D42" s="4" t="s">
        <v>30</v>
      </c>
      <c r="E42" s="4" t="s">
        <v>13</v>
      </c>
      <c r="F42" t="str">
        <f t="shared" si="1"/>
        <v>USDDOP</v>
      </c>
    </row>
    <row r="43" spans="1:6" x14ac:dyDescent="0.25">
      <c r="A43" s="2">
        <v>46233</v>
      </c>
      <c r="B43" s="3">
        <v>58.325000000000003</v>
      </c>
      <c r="C43" s="4" t="s">
        <v>15</v>
      </c>
      <c r="D43" s="4" t="s">
        <v>30</v>
      </c>
      <c r="E43" s="4" t="s">
        <v>13</v>
      </c>
      <c r="F43" t="str">
        <f t="shared" si="1"/>
        <v>USDDOP</v>
      </c>
    </row>
    <row r="44" spans="1:6" x14ac:dyDescent="0.25">
      <c r="A44" s="2">
        <v>46234</v>
      </c>
      <c r="B44" s="3">
        <v>7.8422000000000001</v>
      </c>
      <c r="C44" s="4" t="s">
        <v>15</v>
      </c>
      <c r="D44" s="4" t="s">
        <v>31</v>
      </c>
      <c r="E44" s="4" t="s">
        <v>13</v>
      </c>
      <c r="F44" t="str">
        <f t="shared" si="1"/>
        <v>USDHKD</v>
      </c>
    </row>
    <row r="45" spans="1:6" x14ac:dyDescent="0.25">
      <c r="A45" s="2">
        <v>46233</v>
      </c>
      <c r="B45" s="3">
        <v>7.8430999999999997</v>
      </c>
      <c r="C45" s="4" t="s">
        <v>15</v>
      </c>
      <c r="D45" s="4" t="s">
        <v>31</v>
      </c>
      <c r="E45" s="4" t="s">
        <v>13</v>
      </c>
      <c r="F45" t="str">
        <f t="shared" si="1"/>
        <v>USDHKD</v>
      </c>
    </row>
    <row r="46" spans="1:6" x14ac:dyDescent="0.25">
      <c r="A46" s="2">
        <v>46234</v>
      </c>
      <c r="B46" s="3">
        <v>316.60000000000002</v>
      </c>
      <c r="C46" s="4" t="s">
        <v>15</v>
      </c>
      <c r="D46" s="4" t="s">
        <v>32</v>
      </c>
      <c r="E46" s="4" t="s">
        <v>13</v>
      </c>
      <c r="F46" t="str">
        <f t="shared" si="1"/>
        <v>USDHUF</v>
      </c>
    </row>
    <row r="47" spans="1:6" x14ac:dyDescent="0.25">
      <c r="A47" s="2">
        <v>46233</v>
      </c>
      <c r="B47" s="3">
        <v>314.54000000000002</v>
      </c>
      <c r="C47" s="4" t="s">
        <v>15</v>
      </c>
      <c r="D47" s="4" t="s">
        <v>32</v>
      </c>
      <c r="E47" s="4" t="s">
        <v>13</v>
      </c>
      <c r="F47" t="str">
        <f t="shared" si="1"/>
        <v>USDHUF</v>
      </c>
    </row>
    <row r="48" spans="1:6" x14ac:dyDescent="0.25">
      <c r="A48" s="2">
        <v>46234</v>
      </c>
      <c r="B48" s="3">
        <v>95.392499999999998</v>
      </c>
      <c r="C48" s="4" t="s">
        <v>15</v>
      </c>
      <c r="D48" s="4" t="s">
        <v>33</v>
      </c>
      <c r="E48" s="4" t="s">
        <v>13</v>
      </c>
      <c r="F48" t="str">
        <f t="shared" si="1"/>
        <v>USDINR</v>
      </c>
    </row>
    <row r="49" spans="1:6" x14ac:dyDescent="0.25">
      <c r="A49" s="2">
        <v>46233</v>
      </c>
      <c r="B49" s="3">
        <v>95.678700000000006</v>
      </c>
      <c r="C49" s="4" t="s">
        <v>15</v>
      </c>
      <c r="D49" s="4" t="s">
        <v>33</v>
      </c>
      <c r="E49" s="4" t="s">
        <v>13</v>
      </c>
      <c r="F49" t="str">
        <f t="shared" si="1"/>
        <v>USDINR</v>
      </c>
    </row>
    <row r="50" spans="1:6" x14ac:dyDescent="0.25">
      <c r="A50" s="2">
        <v>46234</v>
      </c>
      <c r="B50" s="3">
        <v>123.21</v>
      </c>
      <c r="C50" s="4" t="s">
        <v>15</v>
      </c>
      <c r="D50" s="4" t="s">
        <v>34</v>
      </c>
      <c r="E50" s="4" t="s">
        <v>13</v>
      </c>
      <c r="F50" t="str">
        <f t="shared" si="1"/>
        <v>USDISK</v>
      </c>
    </row>
    <row r="51" spans="1:6" x14ac:dyDescent="0.25">
      <c r="A51" s="2">
        <v>46233</v>
      </c>
      <c r="B51" s="3">
        <v>123.71</v>
      </c>
      <c r="C51" s="4" t="s">
        <v>15</v>
      </c>
      <c r="D51" s="4" t="s">
        <v>34</v>
      </c>
      <c r="E51" s="4" t="s">
        <v>13</v>
      </c>
      <c r="F51" t="str">
        <f t="shared" si="1"/>
        <v>USDISK</v>
      </c>
    </row>
    <row r="52" spans="1:6" x14ac:dyDescent="0.25">
      <c r="A52" s="2">
        <v>46234</v>
      </c>
      <c r="B52" s="3">
        <v>157.4</v>
      </c>
      <c r="C52" s="4" t="s">
        <v>15</v>
      </c>
      <c r="D52" s="4" t="s">
        <v>35</v>
      </c>
      <c r="E52" s="4" t="s">
        <v>13</v>
      </c>
      <c r="F52" t="str">
        <f t="shared" si="1"/>
        <v>USDJPY</v>
      </c>
    </row>
    <row r="53" spans="1:6" x14ac:dyDescent="0.25">
      <c r="A53" s="2">
        <v>46233</v>
      </c>
      <c r="B53" s="3">
        <v>159.74</v>
      </c>
      <c r="C53" s="4" t="s">
        <v>15</v>
      </c>
      <c r="D53" s="4" t="s">
        <v>35</v>
      </c>
      <c r="E53" s="4" t="s">
        <v>13</v>
      </c>
      <c r="F53" t="str">
        <f t="shared" si="1"/>
        <v>USDJPY</v>
      </c>
    </row>
    <row r="54" spans="1:6" x14ac:dyDescent="0.25">
      <c r="A54" s="2">
        <v>46234</v>
      </c>
      <c r="B54" s="3">
        <v>17.342600000000001</v>
      </c>
      <c r="C54" s="4" t="s">
        <v>15</v>
      </c>
      <c r="D54" s="4" t="s">
        <v>36</v>
      </c>
      <c r="E54" s="4" t="s">
        <v>13</v>
      </c>
      <c r="F54" t="str">
        <f t="shared" si="1"/>
        <v>USDMXN</v>
      </c>
    </row>
    <row r="55" spans="1:6" x14ac:dyDescent="0.25">
      <c r="A55" s="2">
        <v>46233</v>
      </c>
      <c r="B55" s="3">
        <v>17.347799999999999</v>
      </c>
      <c r="C55" s="4" t="s">
        <v>15</v>
      </c>
      <c r="D55" s="4" t="s">
        <v>36</v>
      </c>
      <c r="E55" s="4" t="s">
        <v>13</v>
      </c>
      <c r="F55" t="str">
        <f t="shared" si="1"/>
        <v>USDMXN</v>
      </c>
    </row>
    <row r="56" spans="1:6" x14ac:dyDescent="0.25">
      <c r="A56" s="1">
        <v>46234</v>
      </c>
      <c r="B56">
        <v>9.4756</v>
      </c>
      <c r="C56" t="s">
        <v>15</v>
      </c>
      <c r="D56" t="s">
        <v>37</v>
      </c>
      <c r="E56" t="s">
        <v>13</v>
      </c>
      <c r="F56" t="str">
        <f t="shared" si="1"/>
        <v>USDNOK</v>
      </c>
    </row>
    <row r="57" spans="1:6" x14ac:dyDescent="0.25">
      <c r="A57" s="1">
        <v>46233</v>
      </c>
      <c r="B57">
        <v>9.5248000000000008</v>
      </c>
      <c r="C57" t="s">
        <v>15</v>
      </c>
      <c r="D57" t="s">
        <v>37</v>
      </c>
      <c r="E57" t="s">
        <v>13</v>
      </c>
      <c r="F57" t="str">
        <f t="shared" si="1"/>
        <v>USDNOK</v>
      </c>
    </row>
    <row r="58" spans="1:6" x14ac:dyDescent="0.25">
      <c r="A58" s="1">
        <v>46234</v>
      </c>
      <c r="B58">
        <v>3.3984999999999999</v>
      </c>
      <c r="C58" t="s">
        <v>15</v>
      </c>
      <c r="D58" t="s">
        <v>38</v>
      </c>
      <c r="E58" t="s">
        <v>13</v>
      </c>
      <c r="F58" t="str">
        <f t="shared" si="1"/>
        <v>USDPEN</v>
      </c>
    </row>
    <row r="59" spans="1:6" x14ac:dyDescent="0.25">
      <c r="A59" s="1">
        <v>46233</v>
      </c>
      <c r="B59">
        <v>3.395</v>
      </c>
      <c r="C59" t="s">
        <v>15</v>
      </c>
      <c r="D59" t="s">
        <v>38</v>
      </c>
      <c r="E59" t="s">
        <v>13</v>
      </c>
      <c r="F59" t="str">
        <f t="shared" si="1"/>
        <v>USDPEN</v>
      </c>
    </row>
    <row r="60" spans="1:6" x14ac:dyDescent="0.25">
      <c r="A60" s="1">
        <v>46234</v>
      </c>
      <c r="B60">
        <v>5963</v>
      </c>
      <c r="C60" t="s">
        <v>15</v>
      </c>
      <c r="D60" t="s">
        <v>39</v>
      </c>
      <c r="E60" t="s">
        <v>13</v>
      </c>
      <c r="F60" t="str">
        <f t="shared" si="1"/>
        <v>USDPYG</v>
      </c>
    </row>
    <row r="61" spans="1:6" x14ac:dyDescent="0.25">
      <c r="A61" s="1">
        <v>46233</v>
      </c>
      <c r="B61">
        <v>5970.6</v>
      </c>
      <c r="C61" t="s">
        <v>15</v>
      </c>
      <c r="D61" t="s">
        <v>39</v>
      </c>
      <c r="E61" t="s">
        <v>13</v>
      </c>
      <c r="F61" t="str">
        <f t="shared" si="1"/>
        <v>USDPYG</v>
      </c>
    </row>
    <row r="62" spans="1:6" x14ac:dyDescent="0.25">
      <c r="A62" s="1">
        <v>46234</v>
      </c>
      <c r="B62">
        <v>79.400300000000001</v>
      </c>
      <c r="C62" t="s">
        <v>15</v>
      </c>
      <c r="D62" t="s">
        <v>40</v>
      </c>
      <c r="E62" t="s">
        <v>13</v>
      </c>
      <c r="F62" t="str">
        <f t="shared" si="1"/>
        <v>USDRUB</v>
      </c>
    </row>
    <row r="63" spans="1:6" x14ac:dyDescent="0.25">
      <c r="A63" s="1">
        <v>46233</v>
      </c>
      <c r="B63">
        <v>79.577600000000004</v>
      </c>
      <c r="C63" t="s">
        <v>15</v>
      </c>
      <c r="D63" t="s">
        <v>40</v>
      </c>
      <c r="E63" t="s">
        <v>13</v>
      </c>
      <c r="F63" t="str">
        <f t="shared" si="1"/>
        <v>USDRUB</v>
      </c>
    </row>
    <row r="64" spans="1:6" x14ac:dyDescent="0.25">
      <c r="A64" s="1">
        <v>46234</v>
      </c>
      <c r="B64">
        <v>9.5325000000000006</v>
      </c>
      <c r="C64" t="s">
        <v>15</v>
      </c>
      <c r="D64" t="s">
        <v>41</v>
      </c>
      <c r="E64" t="s">
        <v>13</v>
      </c>
      <c r="F64" t="str">
        <f t="shared" si="1"/>
        <v>USDSEK</v>
      </c>
    </row>
    <row r="65" spans="1:6" x14ac:dyDescent="0.25">
      <c r="A65" s="1">
        <v>46233</v>
      </c>
      <c r="B65">
        <v>9.5352999999999994</v>
      </c>
      <c r="C65" t="s">
        <v>15</v>
      </c>
      <c r="D65" t="s">
        <v>41</v>
      </c>
      <c r="E65" t="s">
        <v>13</v>
      </c>
      <c r="F65" t="str">
        <f t="shared" si="1"/>
        <v>USDSEK</v>
      </c>
    </row>
    <row r="66" spans="1:6" x14ac:dyDescent="0.25">
      <c r="A66" s="1">
        <v>46234</v>
      </c>
      <c r="B66">
        <v>1.2827999999999999</v>
      </c>
      <c r="C66" t="s">
        <v>15</v>
      </c>
      <c r="D66" t="s">
        <v>42</v>
      </c>
      <c r="E66" t="s">
        <v>13</v>
      </c>
      <c r="F66" t="str">
        <f t="shared" ref="F66:F83" si="2">_xlfn.CONCAT(C66,D66)</f>
        <v>USDSGD</v>
      </c>
    </row>
    <row r="67" spans="1:6" x14ac:dyDescent="0.25">
      <c r="A67" s="1">
        <v>46233</v>
      </c>
      <c r="B67">
        <v>1.2816000000000001</v>
      </c>
      <c r="C67" t="s">
        <v>15</v>
      </c>
      <c r="D67" t="s">
        <v>42</v>
      </c>
      <c r="E67" t="s">
        <v>13</v>
      </c>
      <c r="F67" t="str">
        <f t="shared" si="2"/>
        <v>USDSGD</v>
      </c>
    </row>
    <row r="68" spans="1:6" x14ac:dyDescent="0.25">
      <c r="A68" s="1">
        <v>46234</v>
      </c>
      <c r="B68">
        <v>33.436</v>
      </c>
      <c r="C68" t="s">
        <v>15</v>
      </c>
      <c r="D68" t="s">
        <v>43</v>
      </c>
      <c r="E68" t="s">
        <v>13</v>
      </c>
      <c r="F68" t="str">
        <f t="shared" si="2"/>
        <v>USDTHB</v>
      </c>
    </row>
    <row r="69" spans="1:6" x14ac:dyDescent="0.25">
      <c r="A69" s="1">
        <v>46233</v>
      </c>
      <c r="B69">
        <v>33.4</v>
      </c>
      <c r="C69" t="s">
        <v>15</v>
      </c>
      <c r="D69" t="s">
        <v>43</v>
      </c>
      <c r="E69" t="s">
        <v>13</v>
      </c>
      <c r="F69" t="str">
        <f t="shared" si="2"/>
        <v>USDTHB</v>
      </c>
    </row>
    <row r="70" spans="1:6" x14ac:dyDescent="0.25">
      <c r="A70" s="1">
        <v>46234</v>
      </c>
      <c r="B70">
        <v>32.305999999999997</v>
      </c>
      <c r="C70" t="s">
        <v>15</v>
      </c>
      <c r="D70" t="s">
        <v>44</v>
      </c>
      <c r="E70" t="s">
        <v>13</v>
      </c>
      <c r="F70" t="str">
        <f t="shared" si="2"/>
        <v>USDTWD</v>
      </c>
    </row>
    <row r="71" spans="1:6" x14ac:dyDescent="0.25">
      <c r="A71" s="1">
        <v>46233</v>
      </c>
      <c r="B71">
        <v>32.466999999999999</v>
      </c>
      <c r="C71" t="s">
        <v>15</v>
      </c>
      <c r="D71" t="s">
        <v>44</v>
      </c>
      <c r="E71" t="s">
        <v>13</v>
      </c>
      <c r="F71" t="str">
        <f t="shared" si="2"/>
        <v>USDTWD</v>
      </c>
    </row>
    <row r="72" spans="1:6" x14ac:dyDescent="0.25">
      <c r="A72" s="1">
        <v>46234</v>
      </c>
      <c r="B72">
        <v>2.0066000000000002</v>
      </c>
      <c r="C72" t="s">
        <v>15</v>
      </c>
      <c r="D72" t="s">
        <v>45</v>
      </c>
      <c r="E72" t="s">
        <v>13</v>
      </c>
      <c r="F72" t="str">
        <f t="shared" si="2"/>
        <v>USDUDI</v>
      </c>
    </row>
    <row r="73" spans="1:6" x14ac:dyDescent="0.25">
      <c r="A73" s="1">
        <v>46233</v>
      </c>
      <c r="B73">
        <v>2.0091000000000001</v>
      </c>
      <c r="C73" t="s">
        <v>15</v>
      </c>
      <c r="D73" t="s">
        <v>45</v>
      </c>
      <c r="E73" t="s">
        <v>13</v>
      </c>
      <c r="F73" t="str">
        <f t="shared" si="2"/>
        <v>USDUDI</v>
      </c>
    </row>
    <row r="74" spans="1:6" x14ac:dyDescent="0.25">
      <c r="A74" s="1">
        <v>46234</v>
      </c>
      <c r="B74">
        <v>1</v>
      </c>
      <c r="C74" t="s">
        <v>15</v>
      </c>
      <c r="D74" t="s">
        <v>46</v>
      </c>
      <c r="E74" t="s">
        <v>13</v>
      </c>
      <c r="F74" t="str">
        <f t="shared" si="2"/>
        <v>USDUSM</v>
      </c>
    </row>
    <row r="75" spans="1:6" x14ac:dyDescent="0.25">
      <c r="A75" s="1">
        <v>46233</v>
      </c>
      <c r="B75">
        <v>1</v>
      </c>
      <c r="C75" t="s">
        <v>15</v>
      </c>
      <c r="D75" t="s">
        <v>46</v>
      </c>
      <c r="E75" t="s">
        <v>13</v>
      </c>
      <c r="F75" t="str">
        <f t="shared" si="2"/>
        <v>USDUSM</v>
      </c>
    </row>
    <row r="76" spans="1:6" x14ac:dyDescent="0.25">
      <c r="A76" s="1">
        <v>46234</v>
      </c>
      <c r="B76">
        <v>40.265000000000001</v>
      </c>
      <c r="C76" t="s">
        <v>15</v>
      </c>
      <c r="D76" t="s">
        <v>47</v>
      </c>
      <c r="E76" t="s">
        <v>13</v>
      </c>
      <c r="F76" t="str">
        <f t="shared" si="2"/>
        <v>USDUYU</v>
      </c>
    </row>
    <row r="77" spans="1:6" x14ac:dyDescent="0.25">
      <c r="A77" s="1">
        <v>46233</v>
      </c>
      <c r="B77">
        <v>40.218600000000002</v>
      </c>
      <c r="C77" t="s">
        <v>15</v>
      </c>
      <c r="D77" t="s">
        <v>47</v>
      </c>
      <c r="E77" t="s">
        <v>13</v>
      </c>
      <c r="F77" t="str">
        <f t="shared" si="2"/>
        <v>USDUYU</v>
      </c>
    </row>
    <row r="78" spans="1:6" x14ac:dyDescent="0.25">
      <c r="A78" s="1">
        <v>46234</v>
      </c>
      <c r="B78">
        <v>16.529499999999999</v>
      </c>
      <c r="C78" t="s">
        <v>15</v>
      </c>
      <c r="D78" t="s">
        <v>48</v>
      </c>
      <c r="E78" t="s">
        <v>13</v>
      </c>
      <c r="F78" t="str">
        <f t="shared" si="2"/>
        <v>USDZAR</v>
      </c>
    </row>
    <row r="79" spans="1:6" x14ac:dyDescent="0.25">
      <c r="A79" s="1">
        <v>46233</v>
      </c>
      <c r="B79">
        <v>16.501200000000001</v>
      </c>
      <c r="C79" t="s">
        <v>15</v>
      </c>
      <c r="D79" t="s">
        <v>48</v>
      </c>
      <c r="E79" t="s">
        <v>13</v>
      </c>
      <c r="F79" t="str">
        <f t="shared" si="2"/>
        <v>USDZAR</v>
      </c>
    </row>
    <row r="80" spans="1:6" x14ac:dyDescent="0.25">
      <c r="A80" s="1">
        <v>46234</v>
      </c>
      <c r="B80">
        <v>1517.6678449999999</v>
      </c>
      <c r="C80" t="s">
        <v>46</v>
      </c>
      <c r="D80" t="s">
        <v>11</v>
      </c>
      <c r="E80" t="s">
        <v>13</v>
      </c>
      <c r="F80" t="str">
        <f t="shared" si="2"/>
        <v>USMARS</v>
      </c>
    </row>
    <row r="81" spans="1:6" x14ac:dyDescent="0.25">
      <c r="A81" s="1">
        <v>46233</v>
      </c>
      <c r="B81">
        <v>1507.895671</v>
      </c>
      <c r="C81" t="s">
        <v>46</v>
      </c>
      <c r="D81" t="s">
        <v>11</v>
      </c>
      <c r="E81" t="s">
        <v>13</v>
      </c>
      <c r="F81" t="str">
        <f t="shared" si="2"/>
        <v>USMARS</v>
      </c>
    </row>
    <row r="82" spans="1:6" x14ac:dyDescent="0.25">
      <c r="A82" s="1">
        <v>46234</v>
      </c>
      <c r="B82">
        <v>0.13212781300000001</v>
      </c>
      <c r="C82" t="s">
        <v>49</v>
      </c>
      <c r="D82" t="s">
        <v>15</v>
      </c>
      <c r="E82" t="s">
        <v>13</v>
      </c>
      <c r="F82" t="str">
        <f t="shared" si="2"/>
        <v>UVR CurncyUSD</v>
      </c>
    </row>
    <row r="83" spans="1:6" x14ac:dyDescent="0.25">
      <c r="A83" s="1">
        <v>46233</v>
      </c>
      <c r="B83">
        <v>0.13363296799999999</v>
      </c>
      <c r="C83" t="s">
        <v>49</v>
      </c>
      <c r="D83" t="s">
        <v>15</v>
      </c>
      <c r="E83" t="s">
        <v>13</v>
      </c>
      <c r="F83" t="str">
        <f t="shared" si="2"/>
        <v>UVR CurncyUSD</v>
      </c>
    </row>
    <row r="84" spans="1:6" x14ac:dyDescent="0.25">
      <c r="A84"/>
    </row>
    <row r="85" spans="1:6" x14ac:dyDescent="0.25">
      <c r="A85"/>
    </row>
    <row r="86" spans="1:6" x14ac:dyDescent="0.25">
      <c r="A86"/>
    </row>
    <row r="87" spans="1:6" x14ac:dyDescent="0.25">
      <c r="A87"/>
    </row>
    <row r="88" spans="1:6" x14ac:dyDescent="0.25">
      <c r="A88"/>
    </row>
    <row r="89" spans="1:6" x14ac:dyDescent="0.25">
      <c r="A89"/>
    </row>
    <row r="90" spans="1:6" x14ac:dyDescent="0.25">
      <c r="A90"/>
    </row>
    <row r="91" spans="1:6" x14ac:dyDescent="0.25">
      <c r="A91"/>
    </row>
    <row r="92" spans="1:6" x14ac:dyDescent="0.25">
      <c r="A92"/>
    </row>
    <row r="93" spans="1:6" x14ac:dyDescent="0.25">
      <c r="A93"/>
    </row>
    <row r="94" spans="1:6" x14ac:dyDescent="0.25">
      <c r="A94"/>
    </row>
    <row r="95" spans="1:6" x14ac:dyDescent="0.25">
      <c r="A95"/>
    </row>
    <row r="96" spans="1:6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  <row r="57072" spans="1:1" x14ac:dyDescent="0.25">
      <c r="A57072"/>
    </row>
    <row r="57073" spans="1:1" x14ac:dyDescent="0.25">
      <c r="A57073"/>
    </row>
    <row r="57074" spans="1:1" x14ac:dyDescent="0.25">
      <c r="A57074"/>
    </row>
    <row r="57075" spans="1:1" x14ac:dyDescent="0.25">
      <c r="A57075"/>
    </row>
    <row r="57076" spans="1:1" x14ac:dyDescent="0.25">
      <c r="A57076"/>
    </row>
    <row r="57077" spans="1:1" x14ac:dyDescent="0.25">
      <c r="A57077"/>
    </row>
    <row r="57078" spans="1:1" x14ac:dyDescent="0.25">
      <c r="A57078"/>
    </row>
    <row r="57079" spans="1:1" x14ac:dyDescent="0.25">
      <c r="A57079"/>
    </row>
    <row r="57080" spans="1:1" x14ac:dyDescent="0.25">
      <c r="A57080"/>
    </row>
    <row r="57081" spans="1:1" x14ac:dyDescent="0.25">
      <c r="A57081"/>
    </row>
    <row r="57082" spans="1:1" x14ac:dyDescent="0.25">
      <c r="A57082"/>
    </row>
    <row r="57083" spans="1:1" x14ac:dyDescent="0.25">
      <c r="A57083"/>
    </row>
    <row r="57084" spans="1:1" x14ac:dyDescent="0.25">
      <c r="A57084"/>
    </row>
    <row r="57085" spans="1:1" x14ac:dyDescent="0.25">
      <c r="A57085"/>
    </row>
    <row r="57086" spans="1:1" x14ac:dyDescent="0.25">
      <c r="A57086"/>
    </row>
    <row r="57087" spans="1:1" x14ac:dyDescent="0.25">
      <c r="A57087"/>
    </row>
    <row r="57088" spans="1:1" x14ac:dyDescent="0.25">
      <c r="A57088"/>
    </row>
    <row r="57089" spans="1:1" x14ac:dyDescent="0.25">
      <c r="A57089"/>
    </row>
    <row r="57090" spans="1:1" x14ac:dyDescent="0.25">
      <c r="A57090"/>
    </row>
    <row r="57091" spans="1:1" x14ac:dyDescent="0.25">
      <c r="A57091"/>
    </row>
    <row r="57092" spans="1:1" x14ac:dyDescent="0.25">
      <c r="A57092"/>
    </row>
    <row r="57093" spans="1:1" x14ac:dyDescent="0.25">
      <c r="A57093"/>
    </row>
    <row r="57094" spans="1:1" x14ac:dyDescent="0.25">
      <c r="A57094"/>
    </row>
    <row r="57095" spans="1:1" x14ac:dyDescent="0.25">
      <c r="A57095"/>
    </row>
    <row r="57096" spans="1:1" x14ac:dyDescent="0.25">
      <c r="A57096"/>
    </row>
    <row r="57097" spans="1:1" x14ac:dyDescent="0.25">
      <c r="A57097"/>
    </row>
    <row r="57098" spans="1:1" x14ac:dyDescent="0.25">
      <c r="A57098"/>
    </row>
    <row r="57099" spans="1:1" x14ac:dyDescent="0.25">
      <c r="A57099"/>
    </row>
    <row r="57100" spans="1:1" x14ac:dyDescent="0.25">
      <c r="A57100"/>
    </row>
    <row r="57101" spans="1:1" x14ac:dyDescent="0.25">
      <c r="A57101"/>
    </row>
    <row r="57102" spans="1:1" x14ac:dyDescent="0.25">
      <c r="A57102"/>
    </row>
    <row r="57103" spans="1:1" x14ac:dyDescent="0.25">
      <c r="A57103"/>
    </row>
    <row r="57104" spans="1:1" x14ac:dyDescent="0.25">
      <c r="A57104"/>
    </row>
    <row r="57105" spans="1:1" x14ac:dyDescent="0.25">
      <c r="A57105"/>
    </row>
    <row r="57106" spans="1:1" x14ac:dyDescent="0.25">
      <c r="A57106"/>
    </row>
    <row r="57107" spans="1:1" x14ac:dyDescent="0.25">
      <c r="A57107"/>
    </row>
    <row r="57108" spans="1:1" x14ac:dyDescent="0.25">
      <c r="A57108"/>
    </row>
    <row r="57109" spans="1:1" x14ac:dyDescent="0.25">
      <c r="A57109"/>
    </row>
    <row r="57110" spans="1:1" x14ac:dyDescent="0.25">
      <c r="A57110"/>
    </row>
    <row r="57111" spans="1:1" x14ac:dyDescent="0.25">
      <c r="A57111"/>
    </row>
    <row r="57112" spans="1:1" x14ac:dyDescent="0.25">
      <c r="A57112"/>
    </row>
    <row r="57113" spans="1:1" x14ac:dyDescent="0.25">
      <c r="A57113"/>
    </row>
    <row r="57114" spans="1:1" x14ac:dyDescent="0.25">
      <c r="A57114"/>
    </row>
    <row r="57115" spans="1:1" x14ac:dyDescent="0.25">
      <c r="A57115"/>
    </row>
    <row r="57116" spans="1:1" x14ac:dyDescent="0.25">
      <c r="A57116"/>
    </row>
    <row r="57117" spans="1:1" x14ac:dyDescent="0.25">
      <c r="A57117"/>
    </row>
    <row r="57118" spans="1:1" x14ac:dyDescent="0.25">
      <c r="A57118"/>
    </row>
    <row r="57119" spans="1:1" x14ac:dyDescent="0.25">
      <c r="A57119"/>
    </row>
    <row r="57120" spans="1:1" x14ac:dyDescent="0.25">
      <c r="A57120"/>
    </row>
    <row r="57121" spans="1:1" x14ac:dyDescent="0.25">
      <c r="A57121"/>
    </row>
    <row r="57122" spans="1:1" x14ac:dyDescent="0.25">
      <c r="A57122"/>
    </row>
    <row r="57123" spans="1:1" x14ac:dyDescent="0.25">
      <c r="A57123"/>
    </row>
    <row r="57124" spans="1:1" x14ac:dyDescent="0.25">
      <c r="A57124"/>
    </row>
    <row r="57125" spans="1:1" x14ac:dyDescent="0.25">
      <c r="A57125"/>
    </row>
    <row r="57126" spans="1:1" x14ac:dyDescent="0.25">
      <c r="A57126"/>
    </row>
    <row r="57127" spans="1:1" x14ac:dyDescent="0.25">
      <c r="A57127"/>
    </row>
    <row r="57128" spans="1:1" x14ac:dyDescent="0.25">
      <c r="A57128"/>
    </row>
    <row r="57129" spans="1:1" x14ac:dyDescent="0.25">
      <c r="A57129"/>
    </row>
    <row r="57130" spans="1:1" x14ac:dyDescent="0.25">
      <c r="A57130"/>
    </row>
    <row r="57131" spans="1:1" x14ac:dyDescent="0.25">
      <c r="A57131"/>
    </row>
    <row r="57132" spans="1:1" x14ac:dyDescent="0.25">
      <c r="A57132"/>
    </row>
    <row r="57133" spans="1:1" x14ac:dyDescent="0.25">
      <c r="A57133"/>
    </row>
    <row r="57134" spans="1:1" x14ac:dyDescent="0.25">
      <c r="A57134"/>
    </row>
    <row r="57135" spans="1:1" x14ac:dyDescent="0.25">
      <c r="A57135"/>
    </row>
    <row r="57136" spans="1:1" x14ac:dyDescent="0.25">
      <c r="A57136"/>
    </row>
    <row r="57137" spans="1:1" x14ac:dyDescent="0.25">
      <c r="A57137"/>
    </row>
    <row r="57138" spans="1:1" x14ac:dyDescent="0.25">
      <c r="A57138"/>
    </row>
    <row r="57139" spans="1:1" x14ac:dyDescent="0.25">
      <c r="A57139"/>
    </row>
    <row r="57140" spans="1:1" x14ac:dyDescent="0.25">
      <c r="A57140"/>
    </row>
    <row r="57141" spans="1:1" x14ac:dyDescent="0.25">
      <c r="A57141"/>
    </row>
    <row r="57142" spans="1:1" x14ac:dyDescent="0.25">
      <c r="A57142"/>
    </row>
    <row r="57143" spans="1:1" x14ac:dyDescent="0.25">
      <c r="A57143"/>
    </row>
    <row r="57144" spans="1:1" x14ac:dyDescent="0.25">
      <c r="A57144"/>
    </row>
    <row r="57145" spans="1:1" x14ac:dyDescent="0.25">
      <c r="A57145"/>
    </row>
    <row r="57146" spans="1:1" x14ac:dyDescent="0.25">
      <c r="A57146"/>
    </row>
    <row r="57147" spans="1:1" x14ac:dyDescent="0.25">
      <c r="A57147"/>
    </row>
    <row r="57148" spans="1:1" x14ac:dyDescent="0.25">
      <c r="A57148"/>
    </row>
    <row r="57149" spans="1:1" x14ac:dyDescent="0.25">
      <c r="A57149"/>
    </row>
    <row r="57150" spans="1:1" x14ac:dyDescent="0.25">
      <c r="A57150"/>
    </row>
    <row r="57151" spans="1:1" x14ac:dyDescent="0.25">
      <c r="A57151"/>
    </row>
    <row r="57152" spans="1:1" x14ac:dyDescent="0.25">
      <c r="A57152"/>
    </row>
    <row r="57153" spans="1:1" x14ac:dyDescent="0.25">
      <c r="A57153"/>
    </row>
    <row r="57154" spans="1:1" x14ac:dyDescent="0.25">
      <c r="A57154"/>
    </row>
    <row r="57155" spans="1:1" x14ac:dyDescent="0.25">
      <c r="A57155"/>
    </row>
    <row r="57156" spans="1:1" x14ac:dyDescent="0.25">
      <c r="A57156"/>
    </row>
    <row r="57157" spans="1:1" x14ac:dyDescent="0.25">
      <c r="A57157"/>
    </row>
    <row r="57158" spans="1:1" x14ac:dyDescent="0.25">
      <c r="A57158"/>
    </row>
    <row r="57159" spans="1:1" x14ac:dyDescent="0.25">
      <c r="A57159"/>
    </row>
    <row r="57160" spans="1:1" x14ac:dyDescent="0.25">
      <c r="A57160"/>
    </row>
    <row r="57161" spans="1:1" x14ac:dyDescent="0.25">
      <c r="A57161"/>
    </row>
    <row r="57162" spans="1:1" x14ac:dyDescent="0.25">
      <c r="A57162"/>
    </row>
    <row r="57163" spans="1:1" x14ac:dyDescent="0.25">
      <c r="A57163"/>
    </row>
    <row r="57164" spans="1:1" x14ac:dyDescent="0.25">
      <c r="A57164"/>
    </row>
    <row r="57165" spans="1:1" x14ac:dyDescent="0.25">
      <c r="A57165"/>
    </row>
    <row r="57166" spans="1:1" x14ac:dyDescent="0.25">
      <c r="A57166"/>
    </row>
    <row r="57167" spans="1:1" x14ac:dyDescent="0.25">
      <c r="A57167"/>
    </row>
    <row r="57168" spans="1:1" x14ac:dyDescent="0.25">
      <c r="A57168"/>
    </row>
    <row r="57169" spans="1:1" x14ac:dyDescent="0.25">
      <c r="A57169"/>
    </row>
    <row r="57170" spans="1:1" x14ac:dyDescent="0.25">
      <c r="A57170"/>
    </row>
    <row r="57171" spans="1:1" x14ac:dyDescent="0.25">
      <c r="A57171"/>
    </row>
    <row r="57172" spans="1:1" x14ac:dyDescent="0.25">
      <c r="A57172"/>
    </row>
    <row r="57173" spans="1:1" x14ac:dyDescent="0.25">
      <c r="A57173"/>
    </row>
    <row r="57174" spans="1:1" x14ac:dyDescent="0.25">
      <c r="A57174"/>
    </row>
    <row r="57175" spans="1:1" x14ac:dyDescent="0.25">
      <c r="A57175"/>
    </row>
    <row r="57176" spans="1:1" x14ac:dyDescent="0.25">
      <c r="A57176"/>
    </row>
    <row r="57177" spans="1:1" x14ac:dyDescent="0.25">
      <c r="A57177"/>
    </row>
    <row r="57178" spans="1:1" x14ac:dyDescent="0.25">
      <c r="A57178"/>
    </row>
    <row r="57179" spans="1:1" x14ac:dyDescent="0.25">
      <c r="A57179"/>
    </row>
    <row r="57180" spans="1:1" x14ac:dyDescent="0.25">
      <c r="A57180"/>
    </row>
    <row r="57181" spans="1:1" x14ac:dyDescent="0.25">
      <c r="A57181"/>
    </row>
    <row r="57182" spans="1:1" x14ac:dyDescent="0.25">
      <c r="A57182"/>
    </row>
    <row r="57183" spans="1:1" x14ac:dyDescent="0.25">
      <c r="A57183"/>
    </row>
    <row r="57184" spans="1:1" x14ac:dyDescent="0.25">
      <c r="A57184"/>
    </row>
    <row r="57185" spans="1:1" x14ac:dyDescent="0.25">
      <c r="A57185"/>
    </row>
    <row r="57186" spans="1:1" x14ac:dyDescent="0.25">
      <c r="A57186"/>
    </row>
    <row r="57187" spans="1:1" x14ac:dyDescent="0.25">
      <c r="A57187"/>
    </row>
    <row r="57188" spans="1:1" x14ac:dyDescent="0.25">
      <c r="A57188"/>
    </row>
    <row r="57189" spans="1:1" x14ac:dyDescent="0.25">
      <c r="A57189"/>
    </row>
    <row r="57190" spans="1:1" x14ac:dyDescent="0.25">
      <c r="A57190"/>
    </row>
    <row r="57191" spans="1:1" x14ac:dyDescent="0.25">
      <c r="A57191"/>
    </row>
    <row r="57192" spans="1:1" x14ac:dyDescent="0.25">
      <c r="A57192"/>
    </row>
    <row r="57193" spans="1:1" x14ac:dyDescent="0.25">
      <c r="A57193"/>
    </row>
    <row r="57194" spans="1:1" x14ac:dyDescent="0.25">
      <c r="A57194"/>
    </row>
    <row r="57195" spans="1:1" x14ac:dyDescent="0.25">
      <c r="A57195"/>
    </row>
    <row r="57196" spans="1:1" x14ac:dyDescent="0.25">
      <c r="A57196"/>
    </row>
    <row r="57197" spans="1:1" x14ac:dyDescent="0.25">
      <c r="A57197"/>
    </row>
    <row r="57198" spans="1:1" x14ac:dyDescent="0.25">
      <c r="A57198"/>
    </row>
    <row r="57199" spans="1:1" x14ac:dyDescent="0.25">
      <c r="A57199"/>
    </row>
    <row r="57200" spans="1:1" x14ac:dyDescent="0.25">
      <c r="A57200"/>
    </row>
    <row r="57201" spans="1:1" x14ac:dyDescent="0.25">
      <c r="A57201"/>
    </row>
    <row r="57202" spans="1:1" x14ac:dyDescent="0.25">
      <c r="A57202"/>
    </row>
    <row r="57203" spans="1:1" x14ac:dyDescent="0.25">
      <c r="A57203"/>
    </row>
    <row r="57204" spans="1:1" x14ac:dyDescent="0.25">
      <c r="A57204"/>
    </row>
    <row r="57205" spans="1:1" x14ac:dyDescent="0.25">
      <c r="A57205"/>
    </row>
    <row r="57206" spans="1:1" x14ac:dyDescent="0.25">
      <c r="A57206"/>
    </row>
    <row r="57207" spans="1:1" x14ac:dyDescent="0.25">
      <c r="A57207"/>
    </row>
    <row r="57208" spans="1:1" x14ac:dyDescent="0.25">
      <c r="A57208"/>
    </row>
    <row r="57209" spans="1:1" x14ac:dyDescent="0.25">
      <c r="A57209"/>
    </row>
    <row r="57210" spans="1:1" x14ac:dyDescent="0.25">
      <c r="A57210"/>
    </row>
    <row r="57211" spans="1:1" x14ac:dyDescent="0.25">
      <c r="A57211"/>
    </row>
    <row r="57212" spans="1:1" x14ac:dyDescent="0.25">
      <c r="A57212"/>
    </row>
    <row r="57213" spans="1:1" x14ac:dyDescent="0.25">
      <c r="A57213"/>
    </row>
    <row r="57214" spans="1:1" x14ac:dyDescent="0.25">
      <c r="A57214"/>
    </row>
    <row r="57215" spans="1:1" x14ac:dyDescent="0.25">
      <c r="A57215"/>
    </row>
    <row r="57216" spans="1:1" x14ac:dyDescent="0.25">
      <c r="A57216"/>
    </row>
    <row r="57217" spans="1:1" x14ac:dyDescent="0.25">
      <c r="A57217"/>
    </row>
    <row r="57218" spans="1:1" x14ac:dyDescent="0.25">
      <c r="A57218"/>
    </row>
    <row r="57219" spans="1:1" x14ac:dyDescent="0.25">
      <c r="A57219"/>
    </row>
    <row r="57220" spans="1:1" x14ac:dyDescent="0.25">
      <c r="A57220"/>
    </row>
    <row r="57221" spans="1:1" x14ac:dyDescent="0.25">
      <c r="A57221"/>
    </row>
    <row r="57222" spans="1:1" x14ac:dyDescent="0.25">
      <c r="A57222"/>
    </row>
    <row r="57223" spans="1:1" x14ac:dyDescent="0.25">
      <c r="A57223"/>
    </row>
    <row r="57224" spans="1:1" x14ac:dyDescent="0.25">
      <c r="A57224"/>
    </row>
    <row r="57225" spans="1:1" x14ac:dyDescent="0.25">
      <c r="A57225"/>
    </row>
    <row r="57226" spans="1:1" x14ac:dyDescent="0.25">
      <c r="A57226"/>
    </row>
    <row r="57227" spans="1:1" x14ac:dyDescent="0.25">
      <c r="A57227"/>
    </row>
    <row r="57228" spans="1:1" x14ac:dyDescent="0.25">
      <c r="A57228"/>
    </row>
    <row r="57229" spans="1:1" x14ac:dyDescent="0.25">
      <c r="A57229"/>
    </row>
    <row r="57230" spans="1:1" x14ac:dyDescent="0.25">
      <c r="A57230"/>
    </row>
    <row r="57231" spans="1:1" x14ac:dyDescent="0.25">
      <c r="A57231"/>
    </row>
    <row r="57232" spans="1:1" x14ac:dyDescent="0.25">
      <c r="A57232"/>
    </row>
    <row r="57233" spans="1:1" x14ac:dyDescent="0.25">
      <c r="A57233"/>
    </row>
    <row r="57234" spans="1:1" x14ac:dyDescent="0.25">
      <c r="A57234"/>
    </row>
    <row r="57235" spans="1:1" x14ac:dyDescent="0.25">
      <c r="A57235"/>
    </row>
    <row r="57236" spans="1:1" x14ac:dyDescent="0.25">
      <c r="A57236"/>
    </row>
    <row r="57237" spans="1:1" x14ac:dyDescent="0.25">
      <c r="A57237"/>
    </row>
    <row r="57238" spans="1:1" x14ac:dyDescent="0.25">
      <c r="A57238"/>
    </row>
    <row r="57239" spans="1:1" x14ac:dyDescent="0.25">
      <c r="A57239"/>
    </row>
    <row r="57240" spans="1:1" x14ac:dyDescent="0.25">
      <c r="A57240"/>
    </row>
    <row r="57241" spans="1:1" x14ac:dyDescent="0.25">
      <c r="A57241"/>
    </row>
    <row r="57242" spans="1:1" x14ac:dyDescent="0.25">
      <c r="A57242"/>
    </row>
    <row r="57243" spans="1:1" x14ac:dyDescent="0.25">
      <c r="A57243"/>
    </row>
    <row r="57244" spans="1:1" x14ac:dyDescent="0.25">
      <c r="A57244"/>
    </row>
    <row r="57245" spans="1:1" x14ac:dyDescent="0.25">
      <c r="A57245"/>
    </row>
    <row r="57246" spans="1:1" x14ac:dyDescent="0.25">
      <c r="A57246"/>
    </row>
    <row r="57247" spans="1:1" x14ac:dyDescent="0.25">
      <c r="A57247"/>
    </row>
    <row r="57248" spans="1:1" x14ac:dyDescent="0.25">
      <c r="A57248"/>
    </row>
    <row r="57249" spans="1:1" x14ac:dyDescent="0.25">
      <c r="A57249"/>
    </row>
    <row r="57250" spans="1:1" x14ac:dyDescent="0.25">
      <c r="A57250"/>
    </row>
    <row r="57251" spans="1:1" x14ac:dyDescent="0.25">
      <c r="A57251"/>
    </row>
    <row r="57252" spans="1:1" x14ac:dyDescent="0.25">
      <c r="A57252"/>
    </row>
    <row r="57253" spans="1:1" x14ac:dyDescent="0.25">
      <c r="A57253"/>
    </row>
    <row r="57254" spans="1:1" x14ac:dyDescent="0.25">
      <c r="A57254"/>
    </row>
    <row r="57255" spans="1:1" x14ac:dyDescent="0.25">
      <c r="A57255"/>
    </row>
    <row r="57256" spans="1:1" x14ac:dyDescent="0.25">
      <c r="A57256"/>
    </row>
    <row r="57257" spans="1:1" x14ac:dyDescent="0.25">
      <c r="A57257"/>
    </row>
    <row r="57258" spans="1:1" x14ac:dyDescent="0.25">
      <c r="A57258"/>
    </row>
    <row r="57259" spans="1:1" x14ac:dyDescent="0.25">
      <c r="A57259"/>
    </row>
    <row r="57260" spans="1:1" x14ac:dyDescent="0.25">
      <c r="A57260"/>
    </row>
    <row r="57261" spans="1:1" x14ac:dyDescent="0.25">
      <c r="A57261"/>
    </row>
    <row r="57262" spans="1:1" x14ac:dyDescent="0.25">
      <c r="A57262"/>
    </row>
    <row r="57263" spans="1:1" x14ac:dyDescent="0.25">
      <c r="A57263"/>
    </row>
    <row r="57264" spans="1:1" x14ac:dyDescent="0.25">
      <c r="A57264"/>
    </row>
    <row r="57265" spans="1:1" x14ac:dyDescent="0.25">
      <c r="A57265"/>
    </row>
    <row r="57266" spans="1:1" x14ac:dyDescent="0.25">
      <c r="A57266"/>
    </row>
    <row r="57267" spans="1:1" x14ac:dyDescent="0.25">
      <c r="A57267"/>
    </row>
    <row r="57268" spans="1:1" x14ac:dyDescent="0.25">
      <c r="A57268"/>
    </row>
    <row r="57269" spans="1:1" x14ac:dyDescent="0.25">
      <c r="A57269"/>
    </row>
    <row r="57270" spans="1:1" x14ac:dyDescent="0.25">
      <c r="A57270"/>
    </row>
    <row r="57271" spans="1:1" x14ac:dyDescent="0.25">
      <c r="A57271"/>
    </row>
    <row r="57272" spans="1:1" x14ac:dyDescent="0.25">
      <c r="A57272"/>
    </row>
    <row r="57273" spans="1:1" x14ac:dyDescent="0.25">
      <c r="A57273"/>
    </row>
    <row r="57274" spans="1:1" x14ac:dyDescent="0.25">
      <c r="A5727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57274"/>
  <sheetViews>
    <sheetView workbookViewId="0">
      <selection sqref="A1:E25"/>
    </sheetView>
  </sheetViews>
  <sheetFormatPr baseColWidth="10" defaultRowHeight="15" x14ac:dyDescent="0.25"/>
  <cols>
    <col min="1" max="1" width="14.42578125" style="1" bestFit="1" customWidth="1"/>
    <col min="3" max="3" width="12.42578125" bestFit="1" customWidth="1"/>
    <col min="4" max="4" width="17.7109375" bestFit="1" customWidth="1"/>
    <col min="5" max="5" width="21.5703125" bestFit="1" customWidth="1"/>
  </cols>
  <sheetData>
    <row r="1" spans="1:7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7" x14ac:dyDescent="0.25">
      <c r="A2" s="2">
        <v>46234</v>
      </c>
      <c r="B2" s="3">
        <v>1.1505494000000001</v>
      </c>
      <c r="C2" s="4" t="s">
        <v>18</v>
      </c>
      <c r="D2" s="4" t="s">
        <v>15</v>
      </c>
      <c r="E2" s="4" t="s">
        <v>50</v>
      </c>
      <c r="F2" t="str">
        <f t="shared" ref="F2:F25" si="0">_xlfn.CONCAT(C2,D2)</f>
        <v>EURUSD</v>
      </c>
      <c r="G2" s="1"/>
    </row>
    <row r="3" spans="1:7" x14ac:dyDescent="0.25">
      <c r="A3" s="2">
        <v>46233</v>
      </c>
      <c r="B3" s="3">
        <v>1.1503509000000001</v>
      </c>
      <c r="C3" s="4" t="s">
        <v>18</v>
      </c>
      <c r="D3" s="4" t="s">
        <v>15</v>
      </c>
      <c r="E3" s="4" t="s">
        <v>50</v>
      </c>
      <c r="F3" t="str">
        <f t="shared" si="0"/>
        <v>EURUSD</v>
      </c>
      <c r="G3" s="1"/>
    </row>
    <row r="4" spans="1:7" x14ac:dyDescent="0.25">
      <c r="A4" s="2">
        <v>46234</v>
      </c>
      <c r="B4" s="3">
        <v>1.3457501000000001</v>
      </c>
      <c r="C4" s="4" t="s">
        <v>19</v>
      </c>
      <c r="D4" s="4" t="s">
        <v>15</v>
      </c>
      <c r="E4" s="4" t="s">
        <v>50</v>
      </c>
      <c r="F4" t="str">
        <f t="shared" si="0"/>
        <v>GBPUSD</v>
      </c>
      <c r="G4" s="1"/>
    </row>
    <row r="5" spans="1:7" x14ac:dyDescent="0.25">
      <c r="A5" s="2">
        <v>46233</v>
      </c>
      <c r="B5" s="3">
        <v>1.3427505</v>
      </c>
      <c r="C5" s="4" t="s">
        <v>19</v>
      </c>
      <c r="D5" s="4" t="s">
        <v>15</v>
      </c>
      <c r="E5" s="4" t="s">
        <v>50</v>
      </c>
      <c r="F5" t="str">
        <f t="shared" si="0"/>
        <v>GBPUSD</v>
      </c>
      <c r="G5" s="1"/>
    </row>
    <row r="6" spans="1:7" x14ac:dyDescent="0.25">
      <c r="A6" s="2">
        <v>46234</v>
      </c>
      <c r="B6" s="3">
        <v>1577.5941230000001</v>
      </c>
      <c r="C6" s="4" t="s">
        <v>15</v>
      </c>
      <c r="D6" s="4" t="s">
        <v>11</v>
      </c>
      <c r="E6" s="4" t="s">
        <v>50</v>
      </c>
      <c r="F6" t="str">
        <f t="shared" si="0"/>
        <v>USDARS</v>
      </c>
      <c r="G6" s="1"/>
    </row>
    <row r="7" spans="1:7" x14ac:dyDescent="0.25">
      <c r="A7" s="2">
        <v>46233</v>
      </c>
      <c r="B7" s="3">
        <v>1492.0101500000001</v>
      </c>
      <c r="C7" s="4" t="s">
        <v>15</v>
      </c>
      <c r="D7" s="4" t="s">
        <v>11</v>
      </c>
      <c r="E7" s="4" t="s">
        <v>50</v>
      </c>
      <c r="F7" t="str">
        <f t="shared" si="0"/>
        <v>USDARS</v>
      </c>
      <c r="G7" s="1"/>
    </row>
    <row r="8" spans="1:7" x14ac:dyDescent="0.25">
      <c r="A8" s="2">
        <v>46234</v>
      </c>
      <c r="B8" s="3">
        <v>5.0806500000000003</v>
      </c>
      <c r="C8" s="4" t="s">
        <v>15</v>
      </c>
      <c r="D8" s="4" t="s">
        <v>22</v>
      </c>
      <c r="E8" s="4" t="s">
        <v>50</v>
      </c>
      <c r="F8" t="str">
        <f t="shared" si="0"/>
        <v>USDBRL</v>
      </c>
      <c r="G8" s="1"/>
    </row>
    <row r="9" spans="1:7" x14ac:dyDescent="0.25">
      <c r="A9" s="2">
        <v>46233</v>
      </c>
      <c r="B9" s="3">
        <v>5.0692500000000003</v>
      </c>
      <c r="C9" s="4" t="s">
        <v>15</v>
      </c>
      <c r="D9" s="4" t="s">
        <v>22</v>
      </c>
      <c r="E9" s="4" t="s">
        <v>50</v>
      </c>
      <c r="F9" t="str">
        <f t="shared" si="0"/>
        <v>USDBRL</v>
      </c>
      <c r="G9" s="1"/>
    </row>
    <row r="10" spans="1:7" x14ac:dyDescent="0.25">
      <c r="A10" s="2">
        <v>46234</v>
      </c>
      <c r="B10" s="3">
        <v>1.4028499999999999</v>
      </c>
      <c r="C10" s="4" t="s">
        <v>15</v>
      </c>
      <c r="D10" s="4" t="s">
        <v>23</v>
      </c>
      <c r="E10" s="4" t="s">
        <v>50</v>
      </c>
      <c r="F10" t="str">
        <f t="shared" si="0"/>
        <v>USDCAD</v>
      </c>
      <c r="G10" s="1"/>
    </row>
    <row r="11" spans="1:7" x14ac:dyDescent="0.25">
      <c r="A11" s="2">
        <v>46233</v>
      </c>
      <c r="B11" s="3">
        <v>1.4016500000000001</v>
      </c>
      <c r="C11" s="4" t="s">
        <v>15</v>
      </c>
      <c r="D11" s="4" t="s">
        <v>23</v>
      </c>
      <c r="E11" s="4" t="s">
        <v>50</v>
      </c>
      <c r="F11" t="str">
        <f t="shared" si="0"/>
        <v>USDCAD</v>
      </c>
      <c r="G11" s="1"/>
    </row>
    <row r="12" spans="1:7" x14ac:dyDescent="0.25">
      <c r="A12" s="2">
        <v>46234</v>
      </c>
      <c r="B12" s="3">
        <v>928.47500000000002</v>
      </c>
      <c r="C12" s="4" t="s">
        <v>15</v>
      </c>
      <c r="D12" s="4" t="s">
        <v>17</v>
      </c>
      <c r="E12" s="4" t="s">
        <v>50</v>
      </c>
      <c r="F12" t="str">
        <f t="shared" si="0"/>
        <v>USDCLP</v>
      </c>
      <c r="G12" s="1"/>
    </row>
    <row r="13" spans="1:7" x14ac:dyDescent="0.25">
      <c r="A13" s="2">
        <v>46233</v>
      </c>
      <c r="B13" s="3">
        <v>924.375</v>
      </c>
      <c r="C13" s="4" t="s">
        <v>15</v>
      </c>
      <c r="D13" s="4" t="s">
        <v>17</v>
      </c>
      <c r="E13" s="4" t="s">
        <v>50</v>
      </c>
      <c r="F13" t="str">
        <f t="shared" si="0"/>
        <v>USDCLP</v>
      </c>
      <c r="G13" s="1"/>
    </row>
    <row r="14" spans="1:7" x14ac:dyDescent="0.25">
      <c r="A14" s="2">
        <v>46234</v>
      </c>
      <c r="B14" s="3">
        <v>3146.59</v>
      </c>
      <c r="C14" s="4" t="s">
        <v>15</v>
      </c>
      <c r="D14" s="4" t="s">
        <v>26</v>
      </c>
      <c r="E14" s="4" t="s">
        <v>50</v>
      </c>
      <c r="F14" t="str">
        <f t="shared" si="0"/>
        <v>USDCOP</v>
      </c>
      <c r="G14" s="1"/>
    </row>
    <row r="15" spans="1:7" x14ac:dyDescent="0.25">
      <c r="A15" s="2">
        <v>46233</v>
      </c>
      <c r="B15" s="3">
        <v>3138.45</v>
      </c>
      <c r="C15" s="4" t="s">
        <v>15</v>
      </c>
      <c r="D15" s="4" t="s">
        <v>26</v>
      </c>
      <c r="E15" s="4" t="s">
        <v>50</v>
      </c>
      <c r="F15" t="str">
        <f t="shared" si="0"/>
        <v>USDCOP</v>
      </c>
      <c r="G15" s="1"/>
    </row>
    <row r="16" spans="1:7" x14ac:dyDescent="0.25">
      <c r="A16" s="2">
        <v>46234</v>
      </c>
      <c r="B16" s="3">
        <v>17.3504</v>
      </c>
      <c r="C16" s="4" t="s">
        <v>15</v>
      </c>
      <c r="D16" s="4" t="s">
        <v>36</v>
      </c>
      <c r="E16" s="4" t="s">
        <v>50</v>
      </c>
      <c r="F16" t="str">
        <f t="shared" si="0"/>
        <v>USDMXN</v>
      </c>
      <c r="G16" s="1"/>
    </row>
    <row r="17" spans="1:7" x14ac:dyDescent="0.25">
      <c r="A17" s="2">
        <v>46233</v>
      </c>
      <c r="B17" s="3">
        <v>17.356999999999999</v>
      </c>
      <c r="C17" s="4" t="s">
        <v>15</v>
      </c>
      <c r="D17" s="4" t="s">
        <v>36</v>
      </c>
      <c r="E17" s="4" t="s">
        <v>50</v>
      </c>
      <c r="F17" t="str">
        <f t="shared" si="0"/>
        <v>USDMXN</v>
      </c>
      <c r="G17" s="1"/>
    </row>
    <row r="18" spans="1:7" x14ac:dyDescent="0.25">
      <c r="A18" s="2">
        <v>46234</v>
      </c>
      <c r="B18" s="3">
        <v>9.4841999999999995</v>
      </c>
      <c r="C18" s="4" t="s">
        <v>15</v>
      </c>
      <c r="D18" s="4" t="s">
        <v>37</v>
      </c>
      <c r="E18" s="4" t="s">
        <v>50</v>
      </c>
      <c r="F18" t="str">
        <f t="shared" si="0"/>
        <v>USDNOK</v>
      </c>
    </row>
    <row r="19" spans="1:7" x14ac:dyDescent="0.25">
      <c r="A19" s="2">
        <v>46233</v>
      </c>
      <c r="B19" s="3">
        <v>9.5644500000000008</v>
      </c>
      <c r="C19" s="4" t="s">
        <v>15</v>
      </c>
      <c r="D19" s="4" t="s">
        <v>37</v>
      </c>
      <c r="E19" s="4" t="s">
        <v>50</v>
      </c>
      <c r="F19" t="str">
        <f t="shared" si="0"/>
        <v>USDNOK</v>
      </c>
      <c r="G19" s="1"/>
    </row>
    <row r="20" spans="1:7" x14ac:dyDescent="0.25">
      <c r="A20" s="2">
        <v>46234</v>
      </c>
      <c r="B20" s="3">
        <v>3.3972000000000002</v>
      </c>
      <c r="C20" s="4" t="s">
        <v>15</v>
      </c>
      <c r="D20" s="4" t="s">
        <v>38</v>
      </c>
      <c r="E20" s="4" t="s">
        <v>50</v>
      </c>
      <c r="F20" t="str">
        <f t="shared" si="0"/>
        <v>USDPEN</v>
      </c>
    </row>
    <row r="21" spans="1:7" x14ac:dyDescent="0.25">
      <c r="A21" s="2">
        <v>46233</v>
      </c>
      <c r="B21" s="3">
        <v>3.3866000000000001</v>
      </c>
      <c r="C21" s="4" t="s">
        <v>15</v>
      </c>
      <c r="D21" s="4" t="s">
        <v>38</v>
      </c>
      <c r="E21" s="4" t="s">
        <v>50</v>
      </c>
      <c r="F21" t="str">
        <f t="shared" si="0"/>
        <v>USDPEN</v>
      </c>
    </row>
    <row r="22" spans="1:7" x14ac:dyDescent="0.25">
      <c r="A22" s="2">
        <v>46234</v>
      </c>
      <c r="B22" s="3">
        <v>1</v>
      </c>
      <c r="C22" s="4" t="s">
        <v>15</v>
      </c>
      <c r="D22" s="4" t="s">
        <v>46</v>
      </c>
      <c r="E22" s="4" t="s">
        <v>50</v>
      </c>
      <c r="F22" t="str">
        <f t="shared" si="0"/>
        <v>USDUSM</v>
      </c>
    </row>
    <row r="23" spans="1:7" x14ac:dyDescent="0.25">
      <c r="A23" s="2">
        <v>46233</v>
      </c>
      <c r="B23" s="3">
        <v>1</v>
      </c>
      <c r="C23" s="4" t="s">
        <v>15</v>
      </c>
      <c r="D23" s="4" t="s">
        <v>46</v>
      </c>
      <c r="E23" s="4" t="s">
        <v>50</v>
      </c>
      <c r="F23" t="str">
        <f t="shared" si="0"/>
        <v>USDUSM</v>
      </c>
    </row>
    <row r="24" spans="1:7" x14ac:dyDescent="0.25">
      <c r="A24" s="2">
        <v>46234</v>
      </c>
      <c r="B24">
        <v>1517.6678449999999</v>
      </c>
      <c r="C24" t="s">
        <v>46</v>
      </c>
      <c r="D24" t="s">
        <v>11</v>
      </c>
      <c r="E24" t="s">
        <v>50</v>
      </c>
      <c r="F24" t="str">
        <f t="shared" si="0"/>
        <v>USMARS</v>
      </c>
    </row>
    <row r="25" spans="1:7" x14ac:dyDescent="0.25">
      <c r="A25" s="2">
        <v>46233</v>
      </c>
      <c r="B25">
        <v>1507.895671</v>
      </c>
      <c r="C25" t="s">
        <v>46</v>
      </c>
      <c r="D25" t="s">
        <v>11</v>
      </c>
      <c r="E25" t="s">
        <v>50</v>
      </c>
      <c r="F25" t="str">
        <f t="shared" si="0"/>
        <v>USMARS</v>
      </c>
    </row>
    <row r="26" spans="1:7" x14ac:dyDescent="0.25">
      <c r="A26" s="2"/>
    </row>
    <row r="27" spans="1:7" x14ac:dyDescent="0.25">
      <c r="A27" s="2"/>
    </row>
    <row r="28" spans="1:7" x14ac:dyDescent="0.25">
      <c r="A28" s="2"/>
    </row>
    <row r="29" spans="1:7" x14ac:dyDescent="0.25">
      <c r="A29" s="2"/>
    </row>
    <row r="30" spans="1:7" x14ac:dyDescent="0.25">
      <c r="A30" s="2"/>
    </row>
    <row r="31" spans="1:7" x14ac:dyDescent="0.25">
      <c r="A31" s="2"/>
    </row>
    <row r="32" spans="1:7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  <row r="57072" spans="1:1" x14ac:dyDescent="0.25">
      <c r="A57072"/>
    </row>
    <row r="57073" spans="1:1" x14ac:dyDescent="0.25">
      <c r="A57073"/>
    </row>
    <row r="57074" spans="1:1" x14ac:dyDescent="0.25">
      <c r="A57074"/>
    </row>
    <row r="57075" spans="1:1" x14ac:dyDescent="0.25">
      <c r="A57075"/>
    </row>
    <row r="57076" spans="1:1" x14ac:dyDescent="0.25">
      <c r="A57076"/>
    </row>
    <row r="57077" spans="1:1" x14ac:dyDescent="0.25">
      <c r="A57077"/>
    </row>
    <row r="57078" spans="1:1" x14ac:dyDescent="0.25">
      <c r="A57078"/>
    </row>
    <row r="57079" spans="1:1" x14ac:dyDescent="0.25">
      <c r="A57079"/>
    </row>
    <row r="57080" spans="1:1" x14ac:dyDescent="0.25">
      <c r="A57080"/>
    </row>
    <row r="57081" spans="1:1" x14ac:dyDescent="0.25">
      <c r="A57081"/>
    </row>
    <row r="57082" spans="1:1" x14ac:dyDescent="0.25">
      <c r="A57082"/>
    </row>
    <row r="57083" spans="1:1" x14ac:dyDescent="0.25">
      <c r="A57083"/>
    </row>
    <row r="57084" spans="1:1" x14ac:dyDescent="0.25">
      <c r="A57084"/>
    </row>
    <row r="57085" spans="1:1" x14ac:dyDescent="0.25">
      <c r="A57085"/>
    </row>
    <row r="57086" spans="1:1" x14ac:dyDescent="0.25">
      <c r="A57086"/>
    </row>
    <row r="57087" spans="1:1" x14ac:dyDescent="0.25">
      <c r="A57087"/>
    </row>
    <row r="57088" spans="1:1" x14ac:dyDescent="0.25">
      <c r="A57088"/>
    </row>
    <row r="57089" spans="1:1" x14ac:dyDescent="0.25">
      <c r="A57089"/>
    </row>
    <row r="57090" spans="1:1" x14ac:dyDescent="0.25">
      <c r="A57090"/>
    </row>
    <row r="57091" spans="1:1" x14ac:dyDescent="0.25">
      <c r="A57091"/>
    </row>
    <row r="57092" spans="1:1" x14ac:dyDescent="0.25">
      <c r="A57092"/>
    </row>
    <row r="57093" spans="1:1" x14ac:dyDescent="0.25">
      <c r="A57093"/>
    </row>
    <row r="57094" spans="1:1" x14ac:dyDescent="0.25">
      <c r="A57094"/>
    </row>
    <row r="57095" spans="1:1" x14ac:dyDescent="0.25">
      <c r="A57095"/>
    </row>
    <row r="57096" spans="1:1" x14ac:dyDescent="0.25">
      <c r="A57096"/>
    </row>
    <row r="57097" spans="1:1" x14ac:dyDescent="0.25">
      <c r="A57097"/>
    </row>
    <row r="57098" spans="1:1" x14ac:dyDescent="0.25">
      <c r="A57098"/>
    </row>
    <row r="57099" spans="1:1" x14ac:dyDescent="0.25">
      <c r="A57099"/>
    </row>
    <row r="57100" spans="1:1" x14ac:dyDescent="0.25">
      <c r="A57100"/>
    </row>
    <row r="57101" spans="1:1" x14ac:dyDescent="0.25">
      <c r="A57101"/>
    </row>
    <row r="57102" spans="1:1" x14ac:dyDescent="0.25">
      <c r="A57102"/>
    </row>
    <row r="57103" spans="1:1" x14ac:dyDescent="0.25">
      <c r="A57103"/>
    </row>
    <row r="57104" spans="1:1" x14ac:dyDescent="0.25">
      <c r="A57104"/>
    </row>
    <row r="57105" spans="1:1" x14ac:dyDescent="0.25">
      <c r="A57105"/>
    </row>
    <row r="57106" spans="1:1" x14ac:dyDescent="0.25">
      <c r="A57106"/>
    </row>
    <row r="57107" spans="1:1" x14ac:dyDescent="0.25">
      <c r="A57107"/>
    </row>
    <row r="57108" spans="1:1" x14ac:dyDescent="0.25">
      <c r="A57108"/>
    </row>
    <row r="57109" spans="1:1" x14ac:dyDescent="0.25">
      <c r="A57109"/>
    </row>
    <row r="57110" spans="1:1" x14ac:dyDescent="0.25">
      <c r="A57110"/>
    </row>
    <row r="57111" spans="1:1" x14ac:dyDescent="0.25">
      <c r="A57111"/>
    </row>
    <row r="57112" spans="1:1" x14ac:dyDescent="0.25">
      <c r="A57112"/>
    </row>
    <row r="57113" spans="1:1" x14ac:dyDescent="0.25">
      <c r="A57113"/>
    </row>
    <row r="57114" spans="1:1" x14ac:dyDescent="0.25">
      <c r="A57114"/>
    </row>
    <row r="57115" spans="1:1" x14ac:dyDescent="0.25">
      <c r="A57115"/>
    </row>
    <row r="57116" spans="1:1" x14ac:dyDescent="0.25">
      <c r="A57116"/>
    </row>
    <row r="57117" spans="1:1" x14ac:dyDescent="0.25">
      <c r="A57117"/>
    </row>
    <row r="57118" spans="1:1" x14ac:dyDescent="0.25">
      <c r="A57118"/>
    </row>
    <row r="57119" spans="1:1" x14ac:dyDescent="0.25">
      <c r="A57119"/>
    </row>
    <row r="57120" spans="1:1" x14ac:dyDescent="0.25">
      <c r="A57120"/>
    </row>
    <row r="57121" spans="1:1" x14ac:dyDescent="0.25">
      <c r="A57121"/>
    </row>
    <row r="57122" spans="1:1" x14ac:dyDescent="0.25">
      <c r="A57122"/>
    </row>
    <row r="57123" spans="1:1" x14ac:dyDescent="0.25">
      <c r="A57123"/>
    </row>
    <row r="57124" spans="1:1" x14ac:dyDescent="0.25">
      <c r="A57124"/>
    </row>
    <row r="57125" spans="1:1" x14ac:dyDescent="0.25">
      <c r="A57125"/>
    </row>
    <row r="57126" spans="1:1" x14ac:dyDescent="0.25">
      <c r="A57126"/>
    </row>
    <row r="57127" spans="1:1" x14ac:dyDescent="0.25">
      <c r="A57127"/>
    </row>
    <row r="57128" spans="1:1" x14ac:dyDescent="0.25">
      <c r="A57128"/>
    </row>
    <row r="57129" spans="1:1" x14ac:dyDescent="0.25">
      <c r="A57129"/>
    </row>
    <row r="57130" spans="1:1" x14ac:dyDescent="0.25">
      <c r="A57130"/>
    </row>
    <row r="57131" spans="1:1" x14ac:dyDescent="0.25">
      <c r="A57131"/>
    </row>
    <row r="57132" spans="1:1" x14ac:dyDescent="0.25">
      <c r="A57132"/>
    </row>
    <row r="57133" spans="1:1" x14ac:dyDescent="0.25">
      <c r="A57133"/>
    </row>
    <row r="57134" spans="1:1" x14ac:dyDescent="0.25">
      <c r="A57134"/>
    </row>
    <row r="57135" spans="1:1" x14ac:dyDescent="0.25">
      <c r="A57135"/>
    </row>
    <row r="57136" spans="1:1" x14ac:dyDescent="0.25">
      <c r="A57136"/>
    </row>
    <row r="57137" spans="1:1" x14ac:dyDescent="0.25">
      <c r="A57137"/>
    </row>
    <row r="57138" spans="1:1" x14ac:dyDescent="0.25">
      <c r="A57138"/>
    </row>
    <row r="57139" spans="1:1" x14ac:dyDescent="0.25">
      <c r="A57139"/>
    </row>
    <row r="57140" spans="1:1" x14ac:dyDescent="0.25">
      <c r="A57140"/>
    </row>
    <row r="57141" spans="1:1" x14ac:dyDescent="0.25">
      <c r="A57141"/>
    </row>
    <row r="57142" spans="1:1" x14ac:dyDescent="0.25">
      <c r="A57142"/>
    </row>
    <row r="57143" spans="1:1" x14ac:dyDescent="0.25">
      <c r="A57143"/>
    </row>
    <row r="57144" spans="1:1" x14ac:dyDescent="0.25">
      <c r="A57144"/>
    </row>
    <row r="57145" spans="1:1" x14ac:dyDescent="0.25">
      <c r="A57145"/>
    </row>
    <row r="57146" spans="1:1" x14ac:dyDescent="0.25">
      <c r="A57146"/>
    </row>
    <row r="57147" spans="1:1" x14ac:dyDescent="0.25">
      <c r="A57147"/>
    </row>
    <row r="57148" spans="1:1" x14ac:dyDescent="0.25">
      <c r="A57148"/>
    </row>
    <row r="57149" spans="1:1" x14ac:dyDescent="0.25">
      <c r="A57149"/>
    </row>
    <row r="57150" spans="1:1" x14ac:dyDescent="0.25">
      <c r="A57150"/>
    </row>
    <row r="57151" spans="1:1" x14ac:dyDescent="0.25">
      <c r="A57151"/>
    </row>
    <row r="57152" spans="1:1" x14ac:dyDescent="0.25">
      <c r="A57152"/>
    </row>
    <row r="57153" spans="1:1" x14ac:dyDescent="0.25">
      <c r="A57153"/>
    </row>
    <row r="57154" spans="1:1" x14ac:dyDescent="0.25">
      <c r="A57154"/>
    </row>
    <row r="57155" spans="1:1" x14ac:dyDescent="0.25">
      <c r="A57155"/>
    </row>
    <row r="57156" spans="1:1" x14ac:dyDescent="0.25">
      <c r="A57156"/>
    </row>
    <row r="57157" spans="1:1" x14ac:dyDescent="0.25">
      <c r="A57157"/>
    </row>
    <row r="57158" spans="1:1" x14ac:dyDescent="0.25">
      <c r="A57158"/>
    </row>
    <row r="57159" spans="1:1" x14ac:dyDescent="0.25">
      <c r="A57159"/>
    </row>
    <row r="57160" spans="1:1" x14ac:dyDescent="0.25">
      <c r="A57160"/>
    </row>
    <row r="57161" spans="1:1" x14ac:dyDescent="0.25">
      <c r="A57161"/>
    </row>
    <row r="57162" spans="1:1" x14ac:dyDescent="0.25">
      <c r="A57162"/>
    </row>
    <row r="57163" spans="1:1" x14ac:dyDescent="0.25">
      <c r="A57163"/>
    </row>
    <row r="57164" spans="1:1" x14ac:dyDescent="0.25">
      <c r="A57164"/>
    </row>
    <row r="57165" spans="1:1" x14ac:dyDescent="0.25">
      <c r="A57165"/>
    </row>
    <row r="57166" spans="1:1" x14ac:dyDescent="0.25">
      <c r="A57166"/>
    </row>
    <row r="57167" spans="1:1" x14ac:dyDescent="0.25">
      <c r="A57167"/>
    </row>
    <row r="57168" spans="1:1" x14ac:dyDescent="0.25">
      <c r="A57168"/>
    </row>
    <row r="57169" spans="1:1" x14ac:dyDescent="0.25">
      <c r="A57169"/>
    </row>
    <row r="57170" spans="1:1" x14ac:dyDescent="0.25">
      <c r="A57170"/>
    </row>
    <row r="57171" spans="1:1" x14ac:dyDescent="0.25">
      <c r="A57171"/>
    </row>
    <row r="57172" spans="1:1" x14ac:dyDescent="0.25">
      <c r="A57172"/>
    </row>
    <row r="57173" spans="1:1" x14ac:dyDescent="0.25">
      <c r="A57173"/>
    </row>
    <row r="57174" spans="1:1" x14ac:dyDescent="0.25">
      <c r="A57174"/>
    </row>
    <row r="57175" spans="1:1" x14ac:dyDescent="0.25">
      <c r="A57175"/>
    </row>
    <row r="57176" spans="1:1" x14ac:dyDescent="0.25">
      <c r="A57176"/>
    </row>
    <row r="57177" spans="1:1" x14ac:dyDescent="0.25">
      <c r="A57177"/>
    </row>
    <row r="57178" spans="1:1" x14ac:dyDescent="0.25">
      <c r="A57178"/>
    </row>
    <row r="57179" spans="1:1" x14ac:dyDescent="0.25">
      <c r="A57179"/>
    </row>
    <row r="57180" spans="1:1" x14ac:dyDescent="0.25">
      <c r="A57180"/>
    </row>
    <row r="57181" spans="1:1" x14ac:dyDescent="0.25">
      <c r="A57181"/>
    </row>
    <row r="57182" spans="1:1" x14ac:dyDescent="0.25">
      <c r="A57182"/>
    </row>
    <row r="57183" spans="1:1" x14ac:dyDescent="0.25">
      <c r="A57183"/>
    </row>
    <row r="57184" spans="1:1" x14ac:dyDescent="0.25">
      <c r="A57184"/>
    </row>
    <row r="57185" spans="1:1" x14ac:dyDescent="0.25">
      <c r="A57185"/>
    </row>
    <row r="57186" spans="1:1" x14ac:dyDescent="0.25">
      <c r="A57186"/>
    </row>
    <row r="57187" spans="1:1" x14ac:dyDescent="0.25">
      <c r="A57187"/>
    </row>
    <row r="57188" spans="1:1" x14ac:dyDescent="0.25">
      <c r="A57188"/>
    </row>
    <row r="57189" spans="1:1" x14ac:dyDescent="0.25">
      <c r="A57189"/>
    </row>
    <row r="57190" spans="1:1" x14ac:dyDescent="0.25">
      <c r="A57190"/>
    </row>
    <row r="57191" spans="1:1" x14ac:dyDescent="0.25">
      <c r="A57191"/>
    </row>
    <row r="57192" spans="1:1" x14ac:dyDescent="0.25">
      <c r="A57192"/>
    </row>
    <row r="57193" spans="1:1" x14ac:dyDescent="0.25">
      <c r="A57193"/>
    </row>
    <row r="57194" spans="1:1" x14ac:dyDescent="0.25">
      <c r="A57194"/>
    </row>
    <row r="57195" spans="1:1" x14ac:dyDescent="0.25">
      <c r="A57195"/>
    </row>
    <row r="57196" spans="1:1" x14ac:dyDescent="0.25">
      <c r="A57196"/>
    </row>
    <row r="57197" spans="1:1" x14ac:dyDescent="0.25">
      <c r="A57197"/>
    </row>
    <row r="57198" spans="1:1" x14ac:dyDescent="0.25">
      <c r="A57198"/>
    </row>
    <row r="57199" spans="1:1" x14ac:dyDescent="0.25">
      <c r="A57199"/>
    </row>
    <row r="57200" spans="1:1" x14ac:dyDescent="0.25">
      <c r="A57200"/>
    </row>
    <row r="57201" spans="1:1" x14ac:dyDescent="0.25">
      <c r="A57201"/>
    </row>
    <row r="57202" spans="1:1" x14ac:dyDescent="0.25">
      <c r="A57202"/>
    </row>
    <row r="57203" spans="1:1" x14ac:dyDescent="0.25">
      <c r="A57203"/>
    </row>
    <row r="57204" spans="1:1" x14ac:dyDescent="0.25">
      <c r="A57204"/>
    </row>
    <row r="57205" spans="1:1" x14ac:dyDescent="0.25">
      <c r="A57205"/>
    </row>
    <row r="57206" spans="1:1" x14ac:dyDescent="0.25">
      <c r="A57206"/>
    </row>
    <row r="57207" spans="1:1" x14ac:dyDescent="0.25">
      <c r="A57207"/>
    </row>
    <row r="57208" spans="1:1" x14ac:dyDescent="0.25">
      <c r="A57208"/>
    </row>
    <row r="57209" spans="1:1" x14ac:dyDescent="0.25">
      <c r="A57209"/>
    </row>
    <row r="57210" spans="1:1" x14ac:dyDescent="0.25">
      <c r="A57210"/>
    </row>
    <row r="57211" spans="1:1" x14ac:dyDescent="0.25">
      <c r="A57211"/>
    </row>
    <row r="57212" spans="1:1" x14ac:dyDescent="0.25">
      <c r="A57212"/>
    </row>
    <row r="57213" spans="1:1" x14ac:dyDescent="0.25">
      <c r="A57213"/>
    </row>
    <row r="57214" spans="1:1" x14ac:dyDescent="0.25">
      <c r="A57214"/>
    </row>
    <row r="57215" spans="1:1" x14ac:dyDescent="0.25">
      <c r="A57215"/>
    </row>
    <row r="57216" spans="1:1" x14ac:dyDescent="0.25">
      <c r="A57216"/>
    </row>
    <row r="57217" spans="1:1" x14ac:dyDescent="0.25">
      <c r="A57217"/>
    </row>
    <row r="57218" spans="1:1" x14ac:dyDescent="0.25">
      <c r="A57218"/>
    </row>
    <row r="57219" spans="1:1" x14ac:dyDescent="0.25">
      <c r="A57219"/>
    </row>
    <row r="57220" spans="1:1" x14ac:dyDescent="0.25">
      <c r="A57220"/>
    </row>
    <row r="57221" spans="1:1" x14ac:dyDescent="0.25">
      <c r="A57221"/>
    </row>
    <row r="57222" spans="1:1" x14ac:dyDescent="0.25">
      <c r="A57222"/>
    </row>
    <row r="57223" spans="1:1" x14ac:dyDescent="0.25">
      <c r="A57223"/>
    </row>
    <row r="57224" spans="1:1" x14ac:dyDescent="0.25">
      <c r="A57224"/>
    </row>
    <row r="57225" spans="1:1" x14ac:dyDescent="0.25">
      <c r="A57225"/>
    </row>
    <row r="57226" spans="1:1" x14ac:dyDescent="0.25">
      <c r="A57226"/>
    </row>
    <row r="57227" spans="1:1" x14ac:dyDescent="0.25">
      <c r="A57227"/>
    </row>
    <row r="57228" spans="1:1" x14ac:dyDescent="0.25">
      <c r="A57228"/>
    </row>
    <row r="57229" spans="1:1" x14ac:dyDescent="0.25">
      <c r="A57229"/>
    </row>
    <row r="57230" spans="1:1" x14ac:dyDescent="0.25">
      <c r="A57230"/>
    </row>
    <row r="57231" spans="1:1" x14ac:dyDescent="0.25">
      <c r="A57231"/>
    </row>
    <row r="57232" spans="1:1" x14ac:dyDescent="0.25">
      <c r="A57232"/>
    </row>
    <row r="57233" spans="1:1" x14ac:dyDescent="0.25">
      <c r="A57233"/>
    </row>
    <row r="57234" spans="1:1" x14ac:dyDescent="0.25">
      <c r="A57234"/>
    </row>
    <row r="57235" spans="1:1" x14ac:dyDescent="0.25">
      <c r="A57235"/>
    </row>
    <row r="57236" spans="1:1" x14ac:dyDescent="0.25">
      <c r="A57236"/>
    </row>
    <row r="57237" spans="1:1" x14ac:dyDescent="0.25">
      <c r="A57237"/>
    </row>
    <row r="57238" spans="1:1" x14ac:dyDescent="0.25">
      <c r="A57238"/>
    </row>
    <row r="57239" spans="1:1" x14ac:dyDescent="0.25">
      <c r="A57239"/>
    </row>
    <row r="57240" spans="1:1" x14ac:dyDescent="0.25">
      <c r="A57240"/>
    </row>
    <row r="57241" spans="1:1" x14ac:dyDescent="0.25">
      <c r="A57241"/>
    </row>
    <row r="57242" spans="1:1" x14ac:dyDescent="0.25">
      <c r="A57242"/>
    </row>
    <row r="57243" spans="1:1" x14ac:dyDescent="0.25">
      <c r="A57243"/>
    </row>
    <row r="57244" spans="1:1" x14ac:dyDescent="0.25">
      <c r="A57244"/>
    </row>
    <row r="57245" spans="1:1" x14ac:dyDescent="0.25">
      <c r="A57245"/>
    </row>
    <row r="57246" spans="1:1" x14ac:dyDescent="0.25">
      <c r="A57246"/>
    </row>
    <row r="57247" spans="1:1" x14ac:dyDescent="0.25">
      <c r="A57247"/>
    </row>
    <row r="57248" spans="1:1" x14ac:dyDescent="0.25">
      <c r="A57248"/>
    </row>
    <row r="57249" spans="1:1" x14ac:dyDescent="0.25">
      <c r="A57249"/>
    </row>
    <row r="57250" spans="1:1" x14ac:dyDescent="0.25">
      <c r="A57250"/>
    </row>
    <row r="57251" spans="1:1" x14ac:dyDescent="0.25">
      <c r="A57251"/>
    </row>
    <row r="57252" spans="1:1" x14ac:dyDescent="0.25">
      <c r="A57252"/>
    </row>
    <row r="57253" spans="1:1" x14ac:dyDescent="0.25">
      <c r="A57253"/>
    </row>
    <row r="57254" spans="1:1" x14ac:dyDescent="0.25">
      <c r="A57254"/>
    </row>
    <row r="57255" spans="1:1" x14ac:dyDescent="0.25">
      <c r="A57255"/>
    </row>
    <row r="57256" spans="1:1" x14ac:dyDescent="0.25">
      <c r="A57256"/>
    </row>
    <row r="57257" spans="1:1" x14ac:dyDescent="0.25">
      <c r="A57257"/>
    </row>
    <row r="57258" spans="1:1" x14ac:dyDescent="0.25">
      <c r="A57258"/>
    </row>
    <row r="57259" spans="1:1" x14ac:dyDescent="0.25">
      <c r="A57259"/>
    </row>
    <row r="57260" spans="1:1" x14ac:dyDescent="0.25">
      <c r="A57260"/>
    </row>
    <row r="57261" spans="1:1" x14ac:dyDescent="0.25">
      <c r="A57261"/>
    </row>
    <row r="57262" spans="1:1" x14ac:dyDescent="0.25">
      <c r="A57262"/>
    </row>
    <row r="57263" spans="1:1" x14ac:dyDescent="0.25">
      <c r="A57263"/>
    </row>
    <row r="57264" spans="1:1" x14ac:dyDescent="0.25">
      <c r="A57264"/>
    </row>
    <row r="57265" spans="1:1" x14ac:dyDescent="0.25">
      <c r="A57265"/>
    </row>
    <row r="57266" spans="1:1" x14ac:dyDescent="0.25">
      <c r="A57266"/>
    </row>
    <row r="57267" spans="1:1" x14ac:dyDescent="0.25">
      <c r="A57267"/>
    </row>
    <row r="57268" spans="1:1" x14ac:dyDescent="0.25">
      <c r="A57268"/>
    </row>
    <row r="57269" spans="1:1" x14ac:dyDescent="0.25">
      <c r="A57269"/>
    </row>
    <row r="57270" spans="1:1" x14ac:dyDescent="0.25">
      <c r="A57270"/>
    </row>
    <row r="57271" spans="1:1" x14ac:dyDescent="0.25">
      <c r="A57271"/>
    </row>
    <row r="57272" spans="1:1" x14ac:dyDescent="0.25">
      <c r="A57272"/>
    </row>
    <row r="57273" spans="1:1" x14ac:dyDescent="0.25">
      <c r="A57273"/>
    </row>
    <row r="57274" spans="1:1" x14ac:dyDescent="0.25">
      <c r="A5727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8B0E-32A0-4415-B912-9D0BEFD55D3C}">
  <sheetPr codeName="Hoja5"/>
  <dimension ref="A1:F5"/>
  <sheetViews>
    <sheetView workbookViewId="0">
      <selection sqref="A1:E5"/>
    </sheetView>
  </sheetViews>
  <sheetFormatPr baseColWidth="10" defaultRowHeight="15" x14ac:dyDescent="0.25"/>
  <cols>
    <col min="5" max="5" width="18.42578125" bestFit="1" customWidth="1"/>
  </cols>
  <sheetData>
    <row r="1" spans="1:6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6" x14ac:dyDescent="0.25">
      <c r="A2" s="2">
        <v>46234</v>
      </c>
      <c r="B2" s="3">
        <v>1070.3499999999999</v>
      </c>
      <c r="C2" s="4" t="s">
        <v>18</v>
      </c>
      <c r="D2" s="4" t="s">
        <v>17</v>
      </c>
      <c r="E2" s="4" t="s">
        <v>51</v>
      </c>
      <c r="F2" t="str">
        <f t="shared" ref="F2:F5" si="0">_xlfn.CONCAT(C2,D2)</f>
        <v>EURCLP</v>
      </c>
    </row>
    <row r="3" spans="1:6" x14ac:dyDescent="0.25">
      <c r="A3" s="2">
        <v>46233</v>
      </c>
      <c r="B3" s="3">
        <v>1066.4000000000001</v>
      </c>
      <c r="C3" s="4" t="s">
        <v>18</v>
      </c>
      <c r="D3" s="4" t="s">
        <v>17</v>
      </c>
      <c r="E3" s="4" t="s">
        <v>51</v>
      </c>
      <c r="F3" t="str">
        <f t="shared" si="0"/>
        <v>EURCLP</v>
      </c>
    </row>
    <row r="4" spans="1:6" x14ac:dyDescent="0.25">
      <c r="A4" s="2">
        <v>46234</v>
      </c>
      <c r="B4" s="3">
        <v>928.42</v>
      </c>
      <c r="C4" s="4" t="s">
        <v>15</v>
      </c>
      <c r="D4" s="4" t="s">
        <v>17</v>
      </c>
      <c r="E4" s="4" t="s">
        <v>51</v>
      </c>
      <c r="F4" t="str">
        <f t="shared" si="0"/>
        <v>USDCLP</v>
      </c>
    </row>
    <row r="5" spans="1:6" x14ac:dyDescent="0.25">
      <c r="A5" s="2">
        <v>46233</v>
      </c>
      <c r="B5" s="3">
        <v>924.78</v>
      </c>
      <c r="C5" s="4" t="s">
        <v>15</v>
      </c>
      <c r="D5" s="4" t="s">
        <v>17</v>
      </c>
      <c r="E5" s="4" t="s">
        <v>51</v>
      </c>
      <c r="F5" t="str">
        <f t="shared" si="0"/>
        <v>USDCLP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F4CD4A01E1D449D030757DCF0966A" ma:contentTypeVersion="14" ma:contentTypeDescription="Crear nuevo documento." ma:contentTypeScope="" ma:versionID="2e774f407e9492d8b309290fa5b7b762">
  <xsd:schema xmlns:xsd="http://www.w3.org/2001/XMLSchema" xmlns:xs="http://www.w3.org/2001/XMLSchema" xmlns:p="http://schemas.microsoft.com/office/2006/metadata/properties" xmlns:ns1="http://schemas.microsoft.com/sharepoint/v3" xmlns:ns2="076c0074-2a74-44ed-8ba7-22f395ffa85a" xmlns:ns3="5dd82b2a-01a8-42c4-9f4a-77b76e5a2590" targetNamespace="http://schemas.microsoft.com/office/2006/metadata/properties" ma:root="true" ma:fieldsID="7a1e00d798fec90917eacdc0f36a625e" ns1:_="" ns2:_="" ns3:_="">
    <xsd:import namespace="http://schemas.microsoft.com/sharepoint/v3"/>
    <xsd:import namespace="076c0074-2a74-44ed-8ba7-22f395ffa85a"/>
    <xsd:import namespace="5dd82b2a-01a8-42c4-9f4a-77b76e5a25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6c0074-2a74-44ed-8ba7-22f395ffa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82b2a-01a8-42c4-9f4a-77b76e5a25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97A9A-8346-4D63-AA7C-3351DBB501E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FBB66A9-1E5D-4B53-92CF-322438E34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731957-304E-4D09-8FC8-DAF4D1489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76c0074-2a74-44ed-8ba7-22f395ffa85a"/>
    <ds:schemaRef ds:uri="5dd82b2a-01a8-42c4-9f4a-77b76e5a25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PARIDADES</vt:lpstr>
      <vt:lpstr>Data Paridad NY</vt:lpstr>
      <vt:lpstr>Data Paridad LDN</vt:lpstr>
      <vt:lpstr>Data EUR|USD 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Aracena</dc:creator>
  <cp:lastModifiedBy>Moneda RPA1</cp:lastModifiedBy>
  <cp:lastPrinted>2019-05-14T12:14:25Z</cp:lastPrinted>
  <dcterms:created xsi:type="dcterms:W3CDTF">2016-07-13T13:10:20Z</dcterms:created>
  <dcterms:modified xsi:type="dcterms:W3CDTF">2026-08-03T11:31:46Z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0x010100108F4CD4A01E1D449D030757DCF0966A</vt:lpwstr>
  </property>
  <property fmtid="{D5CDD505-2E9C-101B-9397-08002B2CF9AE}" pid="3" name="Workbook id">
    <vt:lpwstr>bf6c0055-a58a-481d-a1be-b26c90684fb0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</Properties>
</file>